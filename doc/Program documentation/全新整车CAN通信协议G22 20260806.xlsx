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UTV\仪表\文件整合\20260813\"/>
    </mc:Choice>
  </mc:AlternateContent>
  <xr:revisionPtr revIDLastSave="0" documentId="8_{DCFD36F7-47E0-4BFE-ADB2-735FCB3067D9}" xr6:coauthVersionLast="47" xr6:coauthVersionMax="47" xr10:uidLastSave="{00000000-0000-0000-0000-000000000000}"/>
  <bookViews>
    <workbookView xWindow="-120" yWindow="-120" windowWidth="29040" windowHeight="15840" xr2:uid="{752BAC88-3D22-6345-9E5D-6A586CA68B77}"/>
  </bookViews>
  <sheets>
    <sheet name="修改记录" sheetId="1" r:id="rId1"/>
    <sheet name="VCU Tips" sheetId="3" r:id="rId2"/>
    <sheet name="概述" sheetId="4" r:id="rId3"/>
    <sheet name="CAN1" sheetId="5" r:id="rId4"/>
    <sheet name="CAN2" sheetId="6" r:id="rId5"/>
    <sheet name="故障码说明" sheetId="7" r:id="rId6"/>
    <sheet name="VCU故障码" sheetId="8" r:id="rId7"/>
    <sheet name="版本号及生产日期说明" sheetId="9" r:id="rId8"/>
  </sheets>
  <definedNames>
    <definedName name="_xlnm._FilterDatabase" localSheetId="3">'CAN1'!$N$1:$N$1645</definedName>
    <definedName name="_xlnm._FilterDatabase" localSheetId="4">'CAN2'!$G$2:$M$386</definedName>
    <definedName name="_xlnm._FilterDatabase" localSheetId="6">VCU故障码!$A$1:$A$475</definedName>
    <definedName name="_xlnm.Print_Area" localSheetId="3">'CAN1'!$A$1:$AL$745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861" i="6" l="1"/>
  <c r="AB849" i="6"/>
  <c r="AB848" i="6"/>
  <c r="AB843" i="6"/>
  <c r="AB842" i="6"/>
  <c r="AB841" i="6"/>
  <c r="AB840" i="6"/>
  <c r="AB839" i="6"/>
  <c r="AB838" i="6"/>
  <c r="AB837" i="6"/>
  <c r="AB836" i="6"/>
  <c r="AB835" i="6"/>
  <c r="AB834" i="6"/>
  <c r="AB833" i="6"/>
  <c r="AB832" i="6"/>
  <c r="AB831" i="6"/>
  <c r="AB830" i="6"/>
  <c r="AB829" i="6"/>
  <c r="AB828" i="6"/>
  <c r="AB827" i="6"/>
  <c r="AB826" i="6"/>
  <c r="AB825" i="6"/>
  <c r="AB824" i="6"/>
  <c r="AB821" i="6"/>
  <c r="AB820" i="6"/>
  <c r="AB819" i="6"/>
  <c r="AB818" i="6"/>
  <c r="AB817" i="6"/>
  <c r="AB816" i="6"/>
  <c r="AB815" i="6"/>
  <c r="AB814" i="6"/>
  <c r="AB813" i="6"/>
  <c r="AB812" i="6"/>
  <c r="AB811" i="6"/>
  <c r="AB810" i="6"/>
  <c r="AB809" i="6"/>
  <c r="AB808" i="6"/>
  <c r="AB807" i="6"/>
  <c r="AB806" i="6"/>
  <c r="AB805" i="6"/>
  <c r="AB804" i="6"/>
  <c r="AB803" i="6"/>
  <c r="AB802" i="6"/>
  <c r="AB801" i="6"/>
  <c r="AB800" i="6"/>
  <c r="AB799" i="6"/>
  <c r="AB798" i="6"/>
  <c r="AB797" i="6"/>
  <c r="AB796" i="6"/>
  <c r="AB795" i="6"/>
  <c r="AB794" i="6"/>
  <c r="AB793" i="6"/>
  <c r="AB792" i="6"/>
  <c r="AB791" i="6"/>
  <c r="AB790" i="6"/>
  <c r="AB789" i="6"/>
  <c r="AB788" i="6"/>
  <c r="AB787" i="6"/>
  <c r="AB786" i="6"/>
  <c r="AB785" i="6"/>
  <c r="AB784" i="6"/>
  <c r="AB783" i="6"/>
  <c r="AB782" i="6"/>
  <c r="AB781" i="6"/>
  <c r="AB780" i="6"/>
  <c r="AB779" i="6"/>
  <c r="AB778" i="6"/>
  <c r="AB777" i="6"/>
  <c r="AB776" i="6"/>
  <c r="AB775" i="6"/>
  <c r="AB774" i="6"/>
  <c r="AB773" i="6"/>
  <c r="AB772" i="6"/>
  <c r="AB771" i="6"/>
  <c r="AB770" i="6"/>
  <c r="AB769" i="6"/>
  <c r="AB768" i="6"/>
  <c r="AB767" i="6"/>
  <c r="AB766" i="6"/>
  <c r="AB765" i="6"/>
  <c r="AB764" i="6"/>
  <c r="AB763" i="6"/>
  <c r="AB762" i="6"/>
  <c r="AB761" i="6"/>
  <c r="AB760" i="6"/>
  <c r="AB758" i="6"/>
  <c r="AB757" i="6"/>
  <c r="AB756" i="6"/>
  <c r="AB755" i="6"/>
  <c r="AB754" i="6"/>
  <c r="AB753" i="6"/>
  <c r="AB752" i="6"/>
  <c r="AB751" i="6"/>
  <c r="AB750" i="6"/>
  <c r="AB749" i="6"/>
  <c r="AB748" i="6"/>
  <c r="AB747" i="6"/>
  <c r="AB746" i="6"/>
  <c r="AB745" i="6"/>
  <c r="AB744" i="6"/>
  <c r="AB743" i="6"/>
  <c r="AB742" i="6"/>
  <c r="AB741" i="6"/>
  <c r="AB740" i="6"/>
  <c r="AB739" i="6"/>
  <c r="AB738" i="6"/>
  <c r="AB737" i="6"/>
  <c r="AB736" i="6"/>
  <c r="AB733" i="6"/>
  <c r="AB732" i="6"/>
  <c r="AB731" i="6"/>
  <c r="AB730" i="6"/>
  <c r="AB729" i="6"/>
  <c r="AB728" i="6"/>
  <c r="AB727" i="6"/>
  <c r="AB726" i="6"/>
  <c r="AB725" i="6"/>
  <c r="AB724" i="6"/>
  <c r="AB723" i="6"/>
  <c r="AB722" i="6"/>
  <c r="AB721" i="6"/>
  <c r="AB720" i="6"/>
  <c r="AB719" i="6"/>
  <c r="AB677" i="6"/>
  <c r="AB676" i="6"/>
  <c r="AB675" i="6"/>
  <c r="AB674" i="6"/>
  <c r="AB673" i="6"/>
  <c r="AB672" i="6"/>
  <c r="AB671" i="6"/>
  <c r="AB669" i="6"/>
  <c r="AB668" i="6"/>
  <c r="AB667" i="6"/>
  <c r="AB666" i="6"/>
  <c r="AB665" i="6"/>
  <c r="AB664" i="6"/>
  <c r="AB663" i="6"/>
  <c r="AB662" i="6"/>
  <c r="AB661" i="6"/>
  <c r="AB660" i="6"/>
  <c r="AB659" i="6"/>
  <c r="AB658" i="6"/>
  <c r="AB656" i="6"/>
  <c r="AB655" i="6"/>
  <c r="AB654" i="6"/>
  <c r="AB653" i="6"/>
  <c r="AB652" i="6"/>
  <c r="AB651" i="6"/>
  <c r="AB650" i="6"/>
  <c r="AB649" i="6"/>
  <c r="AB648" i="6"/>
  <c r="AB647" i="6"/>
  <c r="AB646" i="6"/>
  <c r="AB645" i="6"/>
  <c r="AB644" i="6"/>
  <c r="AB643" i="6"/>
  <c r="AB642" i="6"/>
  <c r="AB641" i="6"/>
  <c r="AB640" i="6"/>
  <c r="AB639" i="6"/>
  <c r="AB638" i="6"/>
  <c r="AB637" i="6"/>
  <c r="AB636" i="6"/>
  <c r="AB635" i="6"/>
  <c r="AB634" i="6"/>
  <c r="AB633" i="6"/>
  <c r="AB632" i="6"/>
  <c r="AB631" i="6"/>
  <c r="AB630" i="6"/>
  <c r="AB629" i="6"/>
  <c r="AB628" i="6"/>
  <c r="AB627" i="6"/>
  <c r="AB626" i="6"/>
  <c r="AB625" i="6"/>
  <c r="AB624" i="6"/>
  <c r="AB623" i="6"/>
  <c r="AB622" i="6"/>
  <c r="AB621" i="6"/>
  <c r="AB620" i="6"/>
  <c r="AB619" i="6"/>
  <c r="AB618" i="6"/>
  <c r="AB617" i="6"/>
  <c r="AB616" i="6"/>
  <c r="AB615" i="6"/>
  <c r="AB614" i="6"/>
  <c r="AB613" i="6"/>
  <c r="AB612" i="6"/>
  <c r="AB611" i="6"/>
  <c r="AB610" i="6"/>
  <c r="AB609" i="6"/>
  <c r="AB608" i="6"/>
  <c r="AB607" i="6"/>
  <c r="AB606" i="6"/>
  <c r="AB605" i="6"/>
  <c r="AB604" i="6"/>
  <c r="AB603" i="6"/>
  <c r="AB602" i="6"/>
  <c r="AB600" i="6"/>
  <c r="AB599" i="6"/>
  <c r="AB598" i="6"/>
  <c r="AB597" i="6"/>
  <c r="AB596" i="6"/>
  <c r="AB595" i="6"/>
  <c r="AB594" i="6"/>
  <c r="AB593" i="6"/>
  <c r="AB592" i="6"/>
  <c r="AB591" i="6"/>
  <c r="AB590" i="6"/>
  <c r="AB589" i="6"/>
  <c r="AB588" i="6"/>
  <c r="AB587" i="6"/>
  <c r="AB586" i="6"/>
  <c r="AB585" i="6"/>
  <c r="AB583" i="6"/>
  <c r="AB582" i="6"/>
  <c r="AB581" i="6"/>
  <c r="AB580" i="6"/>
  <c r="AB579" i="6"/>
  <c r="AB578" i="6"/>
  <c r="AB577" i="6"/>
  <c r="AB576" i="6"/>
  <c r="AB575" i="6"/>
  <c r="AB574" i="6"/>
  <c r="AB573" i="6"/>
  <c r="AB572" i="6"/>
  <c r="AB571" i="6"/>
  <c r="AB570" i="6"/>
  <c r="AB569" i="6"/>
  <c r="AB568" i="6"/>
  <c r="AB567" i="6"/>
  <c r="AB566" i="6"/>
  <c r="AB565" i="6"/>
  <c r="AB564" i="6"/>
  <c r="AB561" i="6"/>
  <c r="AB557" i="6"/>
  <c r="AB556" i="6"/>
  <c r="AB555" i="6"/>
  <c r="AB533" i="6"/>
  <c r="AB531" i="6"/>
  <c r="AB530" i="6"/>
  <c r="AB529" i="6"/>
  <c r="AB528" i="6"/>
  <c r="AB523" i="6"/>
  <c r="AB522" i="6"/>
  <c r="AB520" i="6"/>
  <c r="AB519" i="6"/>
  <c r="AB518" i="6"/>
  <c r="AB516" i="6"/>
  <c r="AB515" i="6"/>
  <c r="AB476" i="6"/>
  <c r="AB475" i="6"/>
  <c r="AB474" i="6"/>
  <c r="AB473" i="6"/>
  <c r="AB223" i="6"/>
  <c r="AB220" i="6"/>
  <c r="AB215" i="6"/>
  <c r="AB216" i="6" s="1"/>
  <c r="AB217" i="6" s="1"/>
  <c r="AB218" i="6" s="1"/>
  <c r="AB211" i="6"/>
  <c r="AB122" i="6"/>
  <c r="AB115" i="6"/>
  <c r="AB116" i="6" s="1"/>
  <c r="AB117" i="6" s="1"/>
  <c r="AB118" i="6" s="1"/>
  <c r="AB119" i="6" s="1"/>
  <c r="AB120" i="6" s="1"/>
  <c r="AB113" i="6"/>
  <c r="AB108" i="6"/>
  <c r="AB109" i="6" s="1"/>
  <c r="AB110" i="6" s="1"/>
  <c r="AB111" i="6" s="1"/>
  <c r="AB930" i="5"/>
  <c r="AB929" i="5"/>
  <c r="AB909" i="5"/>
  <c r="AB903" i="5"/>
  <c r="AB744" i="5"/>
  <c r="AB743" i="5"/>
  <c r="AB742" i="5"/>
  <c r="AB741" i="5"/>
  <c r="AB740" i="5"/>
  <c r="AB739" i="5"/>
  <c r="AB738" i="5"/>
  <c r="AB737" i="5"/>
  <c r="AB736" i="5"/>
  <c r="AB735" i="5"/>
  <c r="AB734" i="5"/>
  <c r="AB733" i="5"/>
  <c r="AB732" i="5"/>
  <c r="AB731" i="5"/>
  <c r="AB730" i="5"/>
  <c r="AB729" i="5"/>
  <c r="AB728" i="5"/>
  <c r="AB727" i="5"/>
  <c r="AB726" i="5"/>
  <c r="AB725" i="5"/>
  <c r="AB724" i="5"/>
  <c r="AB723" i="5"/>
  <c r="AB722" i="5"/>
  <c r="AB721" i="5"/>
  <c r="AB720" i="5"/>
  <c r="AB719" i="5"/>
  <c r="AB718" i="5"/>
  <c r="AB717" i="5"/>
  <c r="AB716" i="5"/>
  <c r="AB715" i="5"/>
  <c r="AB714" i="5"/>
  <c r="AB713" i="5"/>
  <c r="AB712" i="5"/>
  <c r="AB707" i="5"/>
  <c r="AB692" i="5"/>
  <c r="AB691" i="5"/>
  <c r="AB684" i="5"/>
  <c r="AB683" i="5"/>
  <c r="AB682" i="5"/>
  <c r="AB681" i="5"/>
  <c r="AB680" i="5"/>
  <c r="AB679" i="5"/>
  <c r="AB678" i="5"/>
  <c r="AB677" i="5"/>
  <c r="AB676" i="5"/>
  <c r="AB675" i="5"/>
  <c r="AB674" i="5"/>
  <c r="AB673" i="5"/>
  <c r="AB672" i="5"/>
  <c r="AB671" i="5"/>
  <c r="AB670" i="5"/>
  <c r="AB669" i="5"/>
  <c r="AB668" i="5"/>
  <c r="AB667" i="5"/>
  <c r="AB666" i="5"/>
  <c r="AB665" i="5"/>
  <c r="AB664" i="5"/>
  <c r="AB663" i="5"/>
  <c r="AB662" i="5"/>
  <c r="AB661" i="5"/>
  <c r="AB660" i="5"/>
  <c r="AB659" i="5"/>
  <c r="AB658" i="5"/>
  <c r="AB657" i="5"/>
  <c r="AB656" i="5"/>
  <c r="AB655" i="5"/>
  <c r="AB654" i="5"/>
  <c r="AB653" i="5"/>
  <c r="AB652" i="5"/>
  <c r="AB651" i="5"/>
  <c r="AB650" i="5"/>
  <c r="AB649" i="5"/>
  <c r="AB648" i="5"/>
  <c r="AB647" i="5"/>
  <c r="AB646" i="5"/>
  <c r="AB645" i="5"/>
  <c r="AB644" i="5"/>
  <c r="AB643" i="5"/>
  <c r="AB642" i="5"/>
  <c r="AB641" i="5"/>
  <c r="AB640" i="5"/>
  <c r="AB639" i="5"/>
  <c r="AB638" i="5"/>
  <c r="AB637" i="5"/>
  <c r="AB636" i="5"/>
  <c r="AB635" i="5"/>
  <c r="AB634" i="5"/>
  <c r="AB633" i="5"/>
  <c r="AB632" i="5"/>
  <c r="AB631" i="5"/>
  <c r="AB630" i="5"/>
  <c r="AB629" i="5"/>
  <c r="AB628" i="5"/>
  <c r="AB627" i="5"/>
  <c r="AB626" i="5"/>
  <c r="AB625" i="5"/>
  <c r="AB624" i="5"/>
  <c r="AB623" i="5"/>
  <c r="AB622" i="5"/>
  <c r="AB621" i="5"/>
  <c r="AB620" i="5"/>
  <c r="AB619" i="5"/>
  <c r="AB618" i="5"/>
  <c r="AB617" i="5"/>
  <c r="AB616" i="5"/>
  <c r="AB615" i="5"/>
  <c r="AB614" i="5"/>
  <c r="AB613" i="5"/>
  <c r="AB612" i="5"/>
  <c r="AB611" i="5"/>
  <c r="AB610" i="5"/>
  <c r="AB609" i="5"/>
  <c r="AB508" i="5"/>
  <c r="AB507" i="5"/>
  <c r="AB506" i="5"/>
  <c r="AB505" i="5"/>
  <c r="AB504" i="5"/>
  <c r="AB503" i="5"/>
  <c r="AB502" i="5"/>
  <c r="AB501" i="5"/>
  <c r="AB500" i="5"/>
  <c r="AB499" i="5"/>
  <c r="AB498" i="5"/>
  <c r="AB497" i="5"/>
  <c r="AB496" i="5"/>
  <c r="AB495" i="5"/>
  <c r="AB494" i="5"/>
  <c r="AB493" i="5"/>
  <c r="AB492" i="5"/>
  <c r="AB491" i="5"/>
  <c r="AB490" i="5"/>
  <c r="AB489" i="5"/>
  <c r="AB488" i="5"/>
  <c r="AB487" i="5"/>
  <c r="AB486" i="5"/>
  <c r="AB485" i="5"/>
  <c r="AB484" i="5"/>
  <c r="AB452" i="5"/>
  <c r="AB429" i="5"/>
  <c r="AB428" i="5"/>
  <c r="AB427" i="5"/>
  <c r="AB426" i="5"/>
  <c r="AB425" i="5"/>
  <c r="AB424" i="5"/>
  <c r="AB423" i="5"/>
  <c r="AB422" i="5"/>
  <c r="AB421" i="5"/>
  <c r="AB420" i="5"/>
  <c r="AB419" i="5"/>
  <c r="AB418" i="5"/>
  <c r="AB417" i="5"/>
  <c r="AB416" i="5"/>
  <c r="AB415" i="5"/>
  <c r="AB414" i="5"/>
  <c r="AB413" i="5"/>
  <c r="AB412" i="5"/>
  <c r="AB411" i="5"/>
  <c r="AB410" i="5"/>
  <c r="AB409" i="5"/>
  <c r="AB408" i="5"/>
  <c r="AB407" i="5"/>
  <c r="AB406" i="5"/>
  <c r="AB405" i="5"/>
  <c r="AB403" i="5"/>
  <c r="AB402" i="5"/>
  <c r="AB401" i="5"/>
  <c r="AB400" i="5"/>
  <c r="AB399" i="5"/>
  <c r="AB398" i="5"/>
  <c r="AB397" i="5"/>
  <c r="AB396" i="5"/>
  <c r="AB395" i="5"/>
  <c r="AB394" i="5"/>
  <c r="AB393" i="5"/>
  <c r="AB392" i="5"/>
  <c r="AB391" i="5"/>
  <c r="AB390" i="5"/>
  <c r="AB389" i="5"/>
  <c r="AB388" i="5"/>
  <c r="AB387" i="5"/>
  <c r="AB386" i="5"/>
  <c r="AB385" i="5"/>
  <c r="AB384" i="5"/>
  <c r="AB383" i="5"/>
  <c r="AB382" i="5"/>
  <c r="AB381" i="5"/>
  <c r="AB380" i="5"/>
  <c r="AB331" i="5"/>
  <c r="AB330" i="5"/>
  <c r="AB329" i="5"/>
  <c r="AB328" i="5"/>
  <c r="AB327" i="5"/>
  <c r="AB326" i="5"/>
  <c r="AB325" i="5"/>
  <c r="AB324" i="5"/>
  <c r="AB323" i="5"/>
  <c r="AB322" i="5"/>
  <c r="AB321" i="5"/>
  <c r="AB320" i="5"/>
  <c r="AB319" i="5"/>
  <c r="AB318" i="5"/>
  <c r="AB317" i="5"/>
  <c r="AB316" i="5"/>
  <c r="AB315" i="5"/>
  <c r="AB314" i="5"/>
  <c r="AB313" i="5"/>
  <c r="AB312" i="5"/>
  <c r="AB311" i="5"/>
  <c r="AB310" i="5"/>
  <c r="AB309" i="5"/>
  <c r="AB308" i="5"/>
  <c r="AB271" i="5"/>
  <c r="AB270" i="5"/>
  <c r="AB269" i="5"/>
  <c r="AB268" i="5"/>
  <c r="AB267" i="5"/>
  <c r="AB266" i="5"/>
  <c r="AB265" i="5"/>
  <c r="AB264" i="5"/>
  <c r="AB263" i="5"/>
  <c r="AB262" i="5"/>
  <c r="AB261" i="5"/>
  <c r="AB260" i="5"/>
  <c r="AB259" i="5"/>
  <c r="AB258" i="5"/>
  <c r="AB257" i="5"/>
  <c r="AB256" i="5"/>
  <c r="AB255" i="5"/>
  <c r="AB254" i="5"/>
  <c r="AB253" i="5"/>
  <c r="AB252" i="5"/>
  <c r="AB251" i="5"/>
  <c r="AB250" i="5"/>
  <c r="AB249" i="5"/>
  <c r="AB248" i="5"/>
  <c r="AB247" i="5"/>
  <c r="AB231" i="5"/>
  <c r="AB230" i="5"/>
  <c r="AB229" i="5"/>
  <c r="AB228" i="5"/>
  <c r="AB215" i="5"/>
  <c r="AB214" i="5"/>
  <c r="AB213" i="5"/>
  <c r="AB212" i="5"/>
  <c r="AB211" i="5"/>
  <c r="AB210" i="5"/>
  <c r="AB202" i="5"/>
  <c r="AB201" i="5"/>
  <c r="AB200" i="5"/>
  <c r="AB199" i="5"/>
  <c r="AB198" i="5"/>
  <c r="AB197" i="5"/>
  <c r="AB196" i="5"/>
  <c r="AB179" i="5"/>
  <c r="AB176" i="5"/>
  <c r="AB153" i="5"/>
  <c r="AB151" i="5"/>
  <c r="AB150" i="5"/>
  <c r="AB149" i="5"/>
  <c r="AB148" i="5"/>
  <c r="AB140" i="5"/>
  <c r="AB139" i="5"/>
  <c r="AB138" i="5"/>
  <c r="AB137" i="5"/>
  <c r="AB136" i="5"/>
  <c r="AB135" i="5"/>
  <c r="AB134" i="5"/>
  <c r="AB133" i="5"/>
  <c r="AB132" i="5"/>
  <c r="AB131" i="5"/>
  <c r="AB130" i="5"/>
  <c r="AB129" i="5"/>
  <c r="AB128" i="5"/>
  <c r="AB127" i="5"/>
  <c r="AB126" i="5"/>
  <c r="AB125" i="5"/>
  <c r="AB124" i="5"/>
  <c r="AB123" i="5"/>
  <c r="AB122" i="5"/>
  <c r="AB121" i="5"/>
  <c r="AB120" i="5"/>
  <c r="AB119" i="5"/>
  <c r="AB118" i="5"/>
  <c r="AB117" i="5"/>
  <c r="AB116" i="5"/>
  <c r="AB115" i="5"/>
  <c r="AB114" i="5"/>
  <c r="AB113" i="5"/>
  <c r="AB93" i="5"/>
  <c r="AB92" i="5"/>
  <c r="AB78" i="5"/>
  <c r="AB77" i="5"/>
  <c r="AB75" i="5"/>
  <c r="AB74" i="5"/>
  <c r="AB73" i="5"/>
  <c r="AB72" i="5"/>
  <c r="AB70" i="5"/>
  <c r="AB69" i="5"/>
  <c r="AB63" i="5"/>
  <c r="AB39" i="5"/>
  <c r="AB38" i="5"/>
  <c r="AB37" i="5"/>
  <c r="AB36" i="5"/>
  <c r="AB35" i="5"/>
</calcChain>
</file>

<file path=xl/sharedStrings.xml><?xml version="1.0" encoding="utf-8"?>
<sst xmlns="http://schemas.openxmlformats.org/spreadsheetml/2006/main" count="20097" uniqueCount="6554">
  <si>
    <t>序号</t>
  </si>
  <si>
    <t>更改内容</t>
  </si>
  <si>
    <t>更改人</t>
  </si>
  <si>
    <t>日期</t>
  </si>
  <si>
    <t>CAN1增加0x2C1,当前剩余时间</t>
  </si>
  <si>
    <t>SKY</t>
  </si>
  <si>
    <t>1,Air Compressor缩写COMP;
2,后DMCU改为RMCU,前DMCU改为FMCU</t>
  </si>
  <si>
    <t>RED</t>
  </si>
  <si>
    <t>热泵控制尚未发给中控厂家</t>
  </si>
  <si>
    <t>CAN1增加0x358,TMS系统故障码</t>
  </si>
  <si>
    <t>增加0x471</t>
  </si>
  <si>
    <t>增加区分中控命令和设置电机控制增加坡道保持</t>
  </si>
  <si>
    <t>将238中的最后两针报文移动到338</t>
  </si>
  <si>
    <t>0x308增加水温，更改水泵故障位置</t>
  </si>
  <si>
    <t>0x441增加车辆停止状态</t>
  </si>
  <si>
    <t>CAN节点中加入DS(仪表)OTA相关信息</t>
  </si>
  <si>
    <t>Lu</t>
  </si>
  <si>
    <t>修正CAN1 0X2F1报文</t>
  </si>
  <si>
    <t>修正版本号及生产日期说明页关于版本号ASCII码举例</t>
  </si>
  <si>
    <t>更新故障码说明</t>
  </si>
  <si>
    <t>Red</t>
  </si>
  <si>
    <t>CAN1添加TBOX故障状态帧0x45c</t>
  </si>
  <si>
    <t>修改故障等级，修改压缩机、TMS、VCU可能故障和出现原因</t>
  </si>
  <si>
    <t>CAN2添加0x601、621、631、641、651、661报文</t>
  </si>
  <si>
    <t>修改CAN1 0x541车辆型号信号格式</t>
  </si>
  <si>
    <t>1.VCU故障码加入TBOX故障
2.修改CAN2 电机故障报文</t>
  </si>
  <si>
    <t>1.修正541和2D5报文信息</t>
  </si>
  <si>
    <t>Eli</t>
  </si>
  <si>
    <t>1.CAN1 DCDC和DCAC节点整合进OBC，删除DCAC和DCDC节点
2.修改CAN1 0x245/0x2b1/0x211/0x2f1/0x205/0x405
3.增加冰箱相关报文0x2F5/0x3AE
4.补充缺失的信号名称 In VCU</t>
  </si>
  <si>
    <t>前后电机故障更改</t>
  </si>
  <si>
    <t>VCU档位故障0152~0163改成水阀故障</t>
  </si>
  <si>
    <t>20c通讯协议添加</t>
  </si>
  <si>
    <t>修改4FC</t>
  </si>
  <si>
    <t>增加VCU故障操作顺序（单开一页）</t>
  </si>
  <si>
    <t>增加冰箱故障码2001~2006，增加TBOX故障码1301~1307</t>
  </si>
  <si>
    <t>修改3AE</t>
  </si>
  <si>
    <t>0147更改为冰箱超时故障</t>
  </si>
  <si>
    <t>4FC增加智能补电标志位，205新增智能补电，预约充电结束</t>
  </si>
  <si>
    <t>46C增加预约用车时间和次数，2B1 bit60增加预约用车反馈,、冰箱开启成功反馈、
远程锁车状态反馈</t>
  </si>
  <si>
    <t>增加47C远程唤醒帧.305增加远程启动空调和空调启动剩余时长</t>
  </si>
  <si>
    <t>新增705中控发送给TBOX冰箱温度设置、增加远程关机状态、锁车状态反馈、预约用车时间和次数</t>
  </si>
  <si>
    <t>2D1增加充电结束和保温开启指令</t>
  </si>
  <si>
    <t>删除旧版0x245整条报文</t>
  </si>
  <si>
    <t>更新can2EPB的2A1报文</t>
  </si>
  <si>
    <t>增加161 114增加助理转向设置报文</t>
  </si>
  <si>
    <t>2B1的BIT30增加车辆补电标志位</t>
  </si>
  <si>
    <t>修正40E报文、215报文、0x241报文灯光位</t>
  </si>
  <si>
    <t>CAN1 0x2b1 cod_ccs_u8VehiclePoweroff增加枚举值screen off</t>
  </si>
  <si>
    <t>更新40E 241 215报文 41A 42A 43A 44A用于灯光下载动画，cod_ccs_u32CurrentTrip_m更新为cod_ccs_u16CurrentTrip</t>
  </si>
  <si>
    <t>VCU故障码完善灯光相关故障内容(蓝色标注)</t>
  </si>
  <si>
    <t>0x541车型描述优化，UW1104F11--&gt;UW1104F...，避免信号解析错误</t>
  </si>
  <si>
    <t>VCU故障码删除冗余故障码0120,0167和0168英文名称简化，0164-0166英文名称修正，0406完善,0118和0119优化诊断前提条件说明</t>
  </si>
  <si>
    <t>修正231报文DCAC相关信号V2L V2V信号名称</t>
  </si>
  <si>
    <t>0x415添加信号：屏幕控制;0x205添加信号：蓝牙钥匙连接状态</t>
  </si>
  <si>
    <t>添加中控报文0x105、0x115表示中控状态、开关机事项</t>
  </si>
  <si>
    <t>1.0x435添加信号： 与VCU通讯故障 
2.启用0x4a5，添加信号：与VCU通讯故障
3.更新冰箱故障码详情
4.添加1909故障</t>
  </si>
  <si>
    <t>1.修改前后电机OTA时使用的mask码 
2.0x2b1 ready state新增状态</t>
  </si>
  <si>
    <t>1.修改0x3e7: PP信号状态 添加1(放电插座连接),充电机内部温度；
2.修改0x2d1:添加信号电子锁开锁模式；
3.修改0x239:BMS请求上下高压新增信号值
4.修改0x419:删除信号BMS请求下高压</t>
  </si>
  <si>
    <t>依据生成的CANCFG和DBC报错项修复一些信号格式</t>
  </si>
  <si>
    <t>0x20a/40A补全信号名称，删除标注删除的信号</t>
  </si>
  <si>
    <t>0x241 修改信号名称：cod_LC_u8WelcomeAnimation、cod_LC_u8WelcomeAnimation</t>
  </si>
  <si>
    <t>1.CAN2 0x101删除信号 VCU反馈状态
2.CAN2 删除0x111；
3.CAN2 0X112周期10ms--&gt;100ms；添加信号电机控制器AC电压；删除信号滚码校验、checksum；
4.CAN2 0x412周期100Ms--&gt;10ms;添加信号 系统效率
；删除信号最大可用制动扭矩、滚码校验、checksum
5.CAN2 删除0x422
6..CAN2 0X121 删除信号 VCU反馈状态
7.CAN2 删除0x131
8.CAN2 0x113周期10ms--&gt;100ms;添加信号电机控制器AC电压；删除信号滚码校验、checksum
8.CAN2 0x413添加信号系统效率；删除信号最大可用制动扭矩、滚码校验、checksum
10.CAN2 删除0x423
11.CAN2 0x523 周期5000ms--&gt;1000ms</t>
  </si>
  <si>
    <t>0x205添加信号anti slip</t>
  </si>
  <si>
    <t>1.0x245 添加信号Charging lock switch充电锁开关，更新是否开启充电保温信号值</t>
  </si>
  <si>
    <t>1.0x4fc 信号远程开启空调和远程开启冰箱添加枚举量：无设置；添加新信号 空调开关</t>
  </si>
  <si>
    <t>添加0x251，VCU发送充放电状态</t>
  </si>
  <si>
    <t>1.0x415添加信号：车速表样式；
2.0x205添加禁止上高压指令
3.0x205 hld_ccs_u8VehicleSet 删除枚举量：开机充电、关机充电、预约用车</t>
  </si>
  <si>
    <t>1.修改热管理相关报文：
1.0x318加入压缩机排气冷媒温度、压缩机排气冷媒压力
2.0x328加入两位三通阀制冷/制热模式；
3.0x338加入SOV制冷电磁阀状态、SOV制热电磁阀状态
4.0x348替换为气分入口侧冷媒温度、气分入口侧冷媒压力、压缩机入口侧冷媒温度、压缩机入口侧冷媒压力
5.0x238加入AllowOperation_Flag
6.添加报文0x248、0x258
7.删除报文0x2e8
8.修改0x358部分信号
9.0x338删除AC-compressor-enable
、PTC等级设定
2.0x40c添加信号 海拔高度</t>
  </si>
  <si>
    <t>1.添加报文0x255 信号 Pitch roll 俯仰角和侧倾角
2.禁止上高压指令从0x205移到0x245
3.0x211添加信号：禁止上高压反馈
4.0x245添加信号 展厅模式
5.0x211添加信号 展厅模式反馈</t>
  </si>
  <si>
    <t>1更新Tips将3 4 5 16-20的tip都进行了更新
2更新0181故障码</t>
  </si>
  <si>
    <t>Sha</t>
  </si>
  <si>
    <t>添加23 24关于制动踏板标定最大最小值不在理想区间范围内的Tips</t>
  </si>
  <si>
    <t>修改0x115信号字节</t>
  </si>
  <si>
    <t>添加新报文 0x551</t>
  </si>
  <si>
    <t>更新VCU故障码页TMS相关故障</t>
  </si>
  <si>
    <t>增加防抖开关 0x101 和0x121</t>
  </si>
  <si>
    <t>报文通道迁移，以下报文从CAN1移到CAN2：
1.VCU：0x211 221 231 2b1 2d1 2f1 401 441  251
2.CCS: 0x205 225 415
3.DS: 0x4a5 4b5 5a5 5b5 5c5 745 735 
4.OBC:0x3e7 407 417 507 517 527 717 727
5.BMS:0x209  219 229 239 409 419 429 439 449 459 469 509 519 529 719 729 599
6.EVCC: 0x1c3  539 549 559
报文通道迁移，以下报文从CAN2移到CAN1:
VCU:0x601 611 62 632 641 651 661</t>
  </si>
  <si>
    <t>修改0x60c、0x61c部分信号</t>
  </si>
  <si>
    <t>0x2c1添加EPS标定相关信号</t>
  </si>
  <si>
    <t>修改0x2AE 绞盘母线电压信号长度和分辨率；绞盘相线电流信号分辨率</t>
  </si>
  <si>
    <t>0x40e 起始字节修正</t>
  </si>
  <si>
    <t>0x60C信号修改：预期时间改为8位；增加目标和当前版本号；0X61C增加升级statuscode</t>
  </si>
  <si>
    <t>VCU Tips添加OTA成功提示</t>
  </si>
  <si>
    <t>VCU故障码页以下故障添加故障原因和维修建议：1909-1916、0840-0847、0178-0180</t>
  </si>
  <si>
    <t>0X215名称由CCS_LC改为CCS_VCU</t>
  </si>
  <si>
    <t>修正0x513 0x523后电机版本号报文格式；0x512 0x522前电机版本号格式</t>
  </si>
  <si>
    <t>CAN1 ，加入0x441和0x461报文，VCU发给TMS</t>
  </si>
  <si>
    <t>0x211新增信号byte7:当前可达到最高车速</t>
  </si>
  <si>
    <t>0x251 新增信号：左转向、右转向、远光灯、近光灯、危险报警灯</t>
  </si>
  <si>
    <t>0x248、0x258报文发送节点由TMS改为Compressor</t>
  </si>
  <si>
    <t>修改0x3AE、0x535冰箱温度信号长度5bits，偏移值为-8</t>
  </si>
  <si>
    <t>VCU</t>
  </si>
  <si>
    <t>FMCU</t>
  </si>
  <si>
    <t>RMCU</t>
  </si>
  <si>
    <t>EPS</t>
  </si>
  <si>
    <t>4</t>
  </si>
  <si>
    <t>CCS</t>
  </si>
  <si>
    <t>DS</t>
  </si>
  <si>
    <t>A</t>
  </si>
  <si>
    <t>OBC</t>
  </si>
  <si>
    <t>TMS</t>
  </si>
  <si>
    <t>COMP</t>
  </si>
  <si>
    <t>BMS</t>
  </si>
  <si>
    <t>7</t>
  </si>
  <si>
    <t>EPB</t>
  </si>
  <si>
    <t>8</t>
  </si>
  <si>
    <t>FETO</t>
  </si>
  <si>
    <t>RETO</t>
  </si>
  <si>
    <t>LBMS</t>
  </si>
  <si>
    <t>Winch</t>
  </si>
  <si>
    <t>SL</t>
  </si>
  <si>
    <t>ADS</t>
  </si>
  <si>
    <t>0X1</t>
  </si>
  <si>
    <t>Fridge</t>
  </si>
  <si>
    <t>错误提示列表（ID 0x2F1 bit40）</t>
  </si>
  <si>
    <t>故障名称</t>
  </si>
  <si>
    <t>DTC故障码</t>
  </si>
  <si>
    <t>故障指示或维修</t>
  </si>
  <si>
    <t>故障特殊指示</t>
  </si>
  <si>
    <t>可能原因</t>
  </si>
  <si>
    <t>建议</t>
  </si>
  <si>
    <t>代码名称</t>
  </si>
  <si>
    <t>English name</t>
  </si>
  <si>
    <t>中文名称</t>
  </si>
  <si>
    <t>dgd_bGearFAdhesionWarn</t>
  </si>
  <si>
    <t>Forward gear button sticking warning</t>
  </si>
  <si>
    <t>前进挡位按键粘连警告</t>
  </si>
  <si>
    <t>01</t>
  </si>
  <si>
    <t>dgd_bGearRAdhesionWarn</t>
  </si>
  <si>
    <t>Reverse gear button sticking warning</t>
  </si>
  <si>
    <t>后退挡位按键粘连警告</t>
  </si>
  <si>
    <t>02</t>
  </si>
  <si>
    <t>dgd_bDRShiftOvWarn</t>
  </si>
  <si>
    <t>Overspeed warning when shifting from D to R</t>
  </si>
  <si>
    <t>D挡进R档发生过速警告</t>
  </si>
  <si>
    <t>03</t>
  </si>
  <si>
    <t>dgd_bDRShiftNoBrkWarn</t>
  </si>
  <si>
    <t>Warning for shifting from D to R without braking</t>
  </si>
  <si>
    <t>D挡进R档发生未踩刹车警告</t>
  </si>
  <si>
    <t>04</t>
  </si>
  <si>
    <t>dgd_bDRShiftNoBrkOvWarn</t>
  </si>
  <si>
    <t>No brake and overspeed warning when shifting from D to R</t>
  </si>
  <si>
    <t>D挡进R档发生未踩刹车及过速警告</t>
  </si>
  <si>
    <t>05</t>
  </si>
  <si>
    <t>dgd_bNDShiftOvWarn</t>
  </si>
  <si>
    <t>Overspeed warning when shifting from N to D</t>
  </si>
  <si>
    <t>N挡进D档发生过速警告</t>
  </si>
  <si>
    <t>06</t>
  </si>
  <si>
    <t>dgd_bNDShiftNoBrkWarn</t>
  </si>
  <si>
    <t>Warning when shifting from N to D without braking</t>
  </si>
  <si>
    <t>N挡进D档发生未踩刹车警告</t>
  </si>
  <si>
    <t>07</t>
  </si>
  <si>
    <t>dgd_bNDShiftNoBrkOvWarn</t>
  </si>
  <si>
    <t>Shifting from N to D without braking and overspeed warning</t>
  </si>
  <si>
    <t>N挡进D档发生未踩刹车及过速警告</t>
  </si>
  <si>
    <t>08</t>
  </si>
  <si>
    <t>dgd_bNRShiftOvWarn</t>
  </si>
  <si>
    <t>Overspeed warning when shifting from N to R</t>
  </si>
  <si>
    <t>N挡进R档发生过速警告</t>
  </si>
  <si>
    <t>09</t>
  </si>
  <si>
    <t>dgd_bNRShiftNoBrkWarn</t>
  </si>
  <si>
    <t>Warning for not braking when shifting from N to R</t>
  </si>
  <si>
    <t>N挡进R档发生未踩刹车警告</t>
  </si>
  <si>
    <t>10</t>
  </si>
  <si>
    <t>dgd_bNRShiftNoBrkOvWarn</t>
  </si>
  <si>
    <t>No brake and overspeed warning when shifting from N to R</t>
  </si>
  <si>
    <t>N挡进R档发生未踩刹车及过速警告</t>
  </si>
  <si>
    <t>11</t>
  </si>
  <si>
    <t>dgd_bRNShiftOvWarn</t>
  </si>
  <si>
    <t>Overspeed warning when shifting from R to N</t>
  </si>
  <si>
    <t>R挡进N档发生过速警告</t>
  </si>
  <si>
    <t>12</t>
  </si>
  <si>
    <t>dgd_bRNShiftNoBrkWarn</t>
  </si>
  <si>
    <t>Warning for not braking when shifting from R to N</t>
  </si>
  <si>
    <t>R挡进N档发生未踩刹车警告</t>
  </si>
  <si>
    <t>13</t>
  </si>
  <si>
    <t>dgd_bRNShiftNoBrkOvWarn</t>
  </si>
  <si>
    <t>No brake and overspeed warning when shifting from R to N</t>
  </si>
  <si>
    <t>R挡进N档发生未踩刹车及过速警告</t>
  </si>
  <si>
    <t>14</t>
  </si>
  <si>
    <t>dgd_bSRShiftOvWarn</t>
  </si>
  <si>
    <t>Overspeed warning when shifting from S to R</t>
  </si>
  <si>
    <t>S挡进R档发生过速警告</t>
  </si>
  <si>
    <t>15</t>
  </si>
  <si>
    <t>dgd_bSRShiftNoBrkWarn</t>
  </si>
  <si>
    <t>Warning for not braking when shifting from S to R</t>
  </si>
  <si>
    <t>S挡进R档发生未踩刹车警告</t>
  </si>
  <si>
    <t>16</t>
  </si>
  <si>
    <t>dgd_bSRShiftNoBrkOvWarn</t>
  </si>
  <si>
    <t>No brake and overspeed warning when shifting from S to R</t>
  </si>
  <si>
    <t>S挡进R档发生未踩刹车及过速警告</t>
  </si>
  <si>
    <t>17</t>
  </si>
  <si>
    <t>dgd_bRDShiftOvWarn</t>
  </si>
  <si>
    <t>Overspeed warning when shifting from R to D</t>
  </si>
  <si>
    <t>R挡进D档发生过速警告</t>
  </si>
  <si>
    <t>18</t>
  </si>
  <si>
    <t>dgd_bRDShiftNoBrkWarn</t>
  </si>
  <si>
    <t>Warning for not braking when shifting from R to D</t>
  </si>
  <si>
    <t>R挡进D档发生未踩刹车警告</t>
  </si>
  <si>
    <t>19</t>
  </si>
  <si>
    <t>dgd_bRDShiftNoBrkOvWarn</t>
  </si>
  <si>
    <t>No brake and overspeed warning when shifting from R to D</t>
  </si>
  <si>
    <t>R挡进D档发生未踩刹车及过速警告</t>
  </si>
  <si>
    <t>20</t>
  </si>
  <si>
    <t>dgd_bNoTowing</t>
  </si>
  <si>
    <t>Please limit the towing speed to less than 10KM/h</t>
  </si>
  <si>
    <t>请限制拖行速度低于10KM</t>
  </si>
  <si>
    <t>21</t>
  </si>
  <si>
    <t>文字提示</t>
  </si>
  <si>
    <t>电机或电控过热</t>
  </si>
  <si>
    <t>电机温度低于100度并且电控温度低于60度</t>
  </si>
  <si>
    <t>dgd_bNoTowing10km</t>
  </si>
  <si>
    <t>The towing speed must be less than 10KM/h</t>
  </si>
  <si>
    <t>拖行速度必须低于10KM</t>
  </si>
  <si>
    <t>22</t>
  </si>
  <si>
    <t>dgd_bBrkCalLoWarn</t>
  </si>
  <si>
    <t>The calibrated minimum value of the brake pedal is not within
 the ideal range</t>
  </si>
  <si>
    <t>标定制动踏板标定最小值不在理想区间内</t>
  </si>
  <si>
    <t>23</t>
  </si>
  <si>
    <t>dgd_bBrkCalHiWarn</t>
  </si>
  <si>
    <t>The calibrated maximum value of the brake pedal is not within the ideal range</t>
  </si>
  <si>
    <t>标定制动踏板标定最大值不在理想区间内</t>
  </si>
  <si>
    <t>24</t>
  </si>
  <si>
    <t>Can_bOTASuccesstip</t>
  </si>
  <si>
    <t>OTA completed notification</t>
  </si>
  <si>
    <t>OTA任务完成提示</t>
  </si>
  <si>
    <t>25</t>
  </si>
  <si>
    <r>
      <rPr>
        <b/>
        <sz val="22"/>
        <color rgb="FF000000"/>
        <rFont val="华文楷体"/>
        <family val="3"/>
        <charset val="134"/>
      </rPr>
      <t xml:space="preserve">1.概述
</t>
    </r>
    <r>
      <rPr>
        <sz val="22"/>
        <color rgb="FF000000"/>
        <rFont val="华文楷体"/>
        <family val="3"/>
        <charset val="134"/>
      </rPr>
      <t xml:space="preserve">本协议详细规定了纯电动系统中，以纯电动整车控制器(以下简称整车控制器EVCU)为核心，与各相关部件（如驱动电机&amp;控制器DMCM、电池&amp;管理系统BMS等）进行CAN通讯的数据定义及格式。
本协议所规定的数据定义及格式遵循CAN2.0B协议标准。
</t>
    </r>
    <r>
      <rPr>
        <b/>
        <sz val="22"/>
        <color rgb="FF000000"/>
        <rFont val="华文楷体"/>
        <family val="3"/>
        <charset val="134"/>
      </rPr>
      <t xml:space="preserve">2.适用范围
</t>
    </r>
    <r>
      <rPr>
        <sz val="22"/>
        <color rgb="FF000000"/>
        <rFont val="华文楷体"/>
        <family val="3"/>
        <charset val="134"/>
      </rPr>
      <t xml:space="preserve">本协议适用于纯电动系统开发、测试及维护。
</t>
    </r>
    <r>
      <rPr>
        <b/>
        <sz val="22"/>
        <color rgb="FF000000"/>
        <rFont val="华文楷体"/>
        <family val="3"/>
        <charset val="134"/>
      </rPr>
      <t xml:space="preserve">3.引用标准
</t>
    </r>
    <r>
      <rPr>
        <sz val="22"/>
        <color rgb="FF000000"/>
        <rFont val="华文楷体"/>
        <family val="3"/>
        <charset val="134"/>
      </rPr>
      <t xml:space="preserve">ISO11898 — 国际标准化组织ISO标准
道路车辆数字信息交换-高速通讯控制器局域网CAN2.0规范。
</t>
    </r>
    <r>
      <rPr>
        <b/>
        <sz val="22"/>
        <color rgb="FF000000"/>
        <rFont val="华文楷体"/>
        <family val="3"/>
        <charset val="134"/>
      </rPr>
      <t xml:space="preserve">4.CAN ID 分配
</t>
    </r>
    <r>
      <rPr>
        <sz val="22"/>
        <color rgb="FF000000"/>
        <rFont val="华文楷体"/>
        <family val="3"/>
        <charset val="134"/>
      </rPr>
      <t xml:space="preserve">分动力CAN和车身CAN两路CAN
</t>
    </r>
  </si>
  <si>
    <r>
      <rPr>
        <b/>
        <sz val="22"/>
        <color rgb="FF000000"/>
        <rFont val="华文楷体"/>
        <family val="3"/>
        <charset val="134"/>
      </rPr>
      <t>5.物理接口</t>
    </r>
    <r>
      <rPr>
        <sz val="22"/>
        <color rgb="FF000000"/>
        <rFont val="华文楷体"/>
        <family val="3"/>
        <charset val="134"/>
      </rPr>
      <t xml:space="preserve">
1.各通讯部件间的通讯接口为CAN2.0B标准接口；
2.通讯速率为500 kbit/s；
</t>
    </r>
  </si>
  <si>
    <t>CAN Communication Matrix</t>
  </si>
  <si>
    <t>CAN message list</t>
  </si>
  <si>
    <t>T:Transmitter(发送)  
R:Receiver(接收)</t>
  </si>
  <si>
    <t>Signal definition    real value= hexValue*Factor+Offset</t>
  </si>
  <si>
    <t>No.
序号</t>
  </si>
  <si>
    <t>Message Name
报文名称</t>
  </si>
  <si>
    <t xml:space="preserve"> ID
报文标识符</t>
  </si>
  <si>
    <t>Period
(ms)
通讯周期</t>
  </si>
  <si>
    <t>Msg Length
(bytes)
报文长度</t>
  </si>
  <si>
    <t>Byte Format</t>
  </si>
  <si>
    <t>Signal dependency matrix</t>
  </si>
  <si>
    <t>User Signal Name
信号名称</t>
  </si>
  <si>
    <t>Signal Name In VCU
信号名称 In VCU</t>
  </si>
  <si>
    <t>Start Byte
(0-7)
起始字节</t>
  </si>
  <si>
    <t>StartBit
(0-7)
起始位</t>
  </si>
  <si>
    <t>User StartBit
(0-64)
起始位</t>
  </si>
  <si>
    <t>Data Length
数据长度</t>
  </si>
  <si>
    <t>Date type
数据类型</t>
  </si>
  <si>
    <t>Signal Description
信号描述</t>
  </si>
  <si>
    <t>Factor
分辨率</t>
  </si>
  <si>
    <t>Offset
偏移量</t>
  </si>
  <si>
    <t>Range
范围</t>
  </si>
  <si>
    <t>Default Value 
缺省值</t>
  </si>
  <si>
    <r>
      <rPr>
        <b/>
        <sz val="12"/>
        <color rgb="FF000000"/>
        <rFont val="楷体"/>
        <family val="3"/>
        <charset val="134"/>
      </rPr>
      <t xml:space="preserve">Unit
</t>
    </r>
    <r>
      <rPr>
        <b/>
        <sz val="12"/>
        <color rgb="FF000000"/>
        <rFont val="楷体"/>
        <family val="3"/>
        <charset val="134"/>
      </rPr>
      <t>单位</t>
    </r>
  </si>
  <si>
    <t>DCDC</t>
  </si>
  <si>
    <t>DCAC</t>
  </si>
  <si>
    <t>T-BOX</t>
  </si>
  <si>
    <t>LC</t>
  </si>
  <si>
    <t>CCS_Vehicle01</t>
  </si>
  <si>
    <t>0x105</t>
  </si>
  <si>
    <t>100ms</t>
  </si>
  <si>
    <t>Intel</t>
  </si>
  <si>
    <t>T</t>
  </si>
  <si>
    <t>设备状态</t>
  </si>
  <si>
    <t>CAN Communication Fault
CAN通讯故障</t>
  </si>
  <si>
    <t>u8CanComFalt</t>
  </si>
  <si>
    <t>0 ：无故障，CAN接收正常
1 ： 故障，未收到CAN数据</t>
  </si>
  <si>
    <t>Key Bluetooth status
钥匙蓝牙状态</t>
  </si>
  <si>
    <t>u8keyBTStatus</t>
  </si>
  <si>
    <t>1:中断唤醒
2:查询钥匙连接状态中
3：接收到钥匙连接状态无连接
4：接收到钥匙连接状态有连接;
5；蓝牙休眠</t>
  </si>
  <si>
    <t>Voltage protection state
电压保护状态</t>
  </si>
  <si>
    <t>u8VolProtectionSt</t>
  </si>
  <si>
    <t>0 ：掉电（电压小于4v）
1 ： 欠压（电压小于8v）
2 ：工作电压
3 ： 高压（电压高于16v）</t>
  </si>
  <si>
    <t>Button
按键</t>
  </si>
  <si>
    <t>u16ButtonDown</t>
  </si>
  <si>
    <t>对应bit位为1表示按下:
1:开关机
2: 喜爱1
4: 喜爱2
8: 喜爱3
16: 音量加
32: 音量减
64: 锁屏</t>
  </si>
  <si>
    <t>Key Bluetooth communication abnormality restart timing
钥匙蓝牙通讯异常重启计时</t>
  </si>
  <si>
    <t>u8KeyBTComAbRestarttiming</t>
  </si>
  <si>
    <t>钥匙蓝牙通讯掉线X秒</t>
  </si>
  <si>
    <t>SOC communication abnormality restart timing
SOC通讯异常重启计时</t>
  </si>
  <si>
    <t>u8SOCComAbRestarttiming</t>
  </si>
  <si>
    <t>SOC通讯掉线X秒</t>
  </si>
  <si>
    <t>CCS_Vehicle02</t>
  </si>
  <si>
    <t>0x115</t>
  </si>
  <si>
    <t>最近收到的开关机事件</t>
  </si>
  <si>
    <t>解锁按键长按开机
Unlock and press and hold the button to power on</t>
  </si>
  <si>
    <t>u8ButtonUnlock</t>
  </si>
  <si>
    <t>unsigned</t>
  </si>
  <si>
    <t>0:无事件
1：触发事件</t>
  </si>
  <si>
    <t>蓝牙钥匙 APP连接
Bluetooth key APP connection</t>
  </si>
  <si>
    <t>u8BTkeyAPPConnect</t>
  </si>
  <si>
    <t>蓝牙钥匙 APP连接信号大于开机阈值
Bluetooth key APP connection signal is greater than the power-on threshold</t>
  </si>
  <si>
    <t>u8BTkeyAPPConnSigPwronTh</t>
  </si>
  <si>
    <t>APP 蓝牙钥匙按下开机按键
Press the power button with the APP Bluetooth key</t>
  </si>
  <si>
    <t>u8BTkeyAppPwrButtonPressed</t>
  </si>
  <si>
    <t>TBOX开机
TBOX power-on</t>
  </si>
  <si>
    <t>u8TboxPwrOnVehicle</t>
  </si>
  <si>
    <t>充电
charge</t>
  </si>
  <si>
    <t>u8ChargePwrOnVehicle</t>
  </si>
  <si>
    <t>SOC解锁
SOC unlock</t>
  </si>
  <si>
    <t>u8SOCUnlock</t>
  </si>
  <si>
    <t>刹车深度解锁
Unlock brake depth</t>
  </si>
  <si>
    <t>u8BrakeDepthUnlock</t>
  </si>
  <si>
    <t>蓝牙钥匙 APP连接断开
Bluetooth key APP connection disconnected</t>
  </si>
  <si>
    <t>u8BTKeyAppDisconnected</t>
  </si>
  <si>
    <t>蓝牙钥匙 APP连接信号小于开机阈值
Bluetooth key APP connection signal is below the startup threshold</t>
  </si>
  <si>
    <t>u8BTKeyAppConnSigPwrUnTh</t>
  </si>
  <si>
    <t>蓝牙钥匙 APP下电
Bluetooth key APP is powered off</t>
  </si>
  <si>
    <t>u8BTkeyAppPwrOff</t>
  </si>
  <si>
    <t>SOC控制关机
SOC control shutdown</t>
  </si>
  <si>
    <t>u8SOCCtrlShutdown</t>
  </si>
  <si>
    <t>按键关机</t>
  </si>
  <si>
    <t>充电结束
Charging completed</t>
  </si>
  <si>
    <t>u8CharingCompleted</t>
  </si>
  <si>
    <t>触发高低压保护
Trigger high and low voltage protection</t>
  </si>
  <si>
    <t>u8VolLowHighProrection</t>
  </si>
  <si>
    <t>TBOX关机
TBOX shutdown</t>
  </si>
  <si>
    <t>u8TboxPwrOffVehicle</t>
  </si>
  <si>
    <t>VCU强制关机
VCU forced shutdown</t>
  </si>
  <si>
    <t>u8VCUforceShutdown</t>
  </si>
  <si>
    <t>VCU控制息屏
VCU controls the screen to turn off</t>
  </si>
  <si>
    <t>u8VCUCtrlScreenOff</t>
  </si>
  <si>
    <t>SOC重启
SOC restart</t>
  </si>
  <si>
    <t>u8SOCRestart</t>
  </si>
  <si>
    <t>VCU_Winch</t>
  </si>
  <si>
    <t>0x201</t>
  </si>
  <si>
    <t>R</t>
  </si>
  <si>
    <t>Winch Command</t>
  </si>
  <si>
    <t>%Winch Motor RPM
绞盘电机转速</t>
  </si>
  <si>
    <t>sign</t>
  </si>
  <si>
    <r>
      <rPr>
        <strike/>
        <sz val="12"/>
        <color rgb="FF000000"/>
        <rFont val="楷体"/>
        <family val="3"/>
        <charset val="134"/>
      </rPr>
      <t>正：伸出；负：收回</t>
    </r>
    <r>
      <rPr>
        <strike/>
        <sz val="12"/>
        <color rgb="FFFF0000"/>
        <rFont val="楷体"/>
        <family val="3"/>
        <charset val="134"/>
      </rPr>
      <t>（定速还是变速？）</t>
    </r>
  </si>
  <si>
    <t>RPM</t>
  </si>
  <si>
    <t>Winch control command
绞盘启动/停止</t>
  </si>
  <si>
    <t>cod_winch_u8WinchCtrlCmd</t>
  </si>
  <si>
    <t>2：stop；
15：winch in；
7：winch out；</t>
  </si>
  <si>
    <t>%High Voltage Power Supply
高压供电</t>
  </si>
  <si>
    <t>unsign</t>
  </si>
  <si>
    <t>0：未供高压
1：已供高压</t>
  </si>
  <si>
    <t>%Winch Direction
绞盘电机方向</t>
  </si>
  <si>
    <r>
      <rPr>
        <strike/>
        <sz val="12"/>
        <color rgb="FF000000"/>
        <rFont val="楷体"/>
        <family val="3"/>
        <charset val="134"/>
      </rPr>
      <t xml:space="preserve">00：无动作
01：伸出
</t>
    </r>
    <r>
      <rPr>
        <strike/>
        <sz val="12"/>
        <color rgb="FFFF0000"/>
        <rFont val="楷体"/>
        <family val="3"/>
        <charset val="134"/>
      </rPr>
      <t>10：收回
11: 无效</t>
    </r>
  </si>
  <si>
    <t>20240617改与0x2AE一致</t>
  </si>
  <si>
    <t>计数</t>
  </si>
  <si>
    <t>cod_winch_u8Count</t>
  </si>
  <si>
    <t>0~255 循环计数，计数停止则绞盘动作停止</t>
  </si>
  <si>
    <t>VCU_LC</t>
  </si>
  <si>
    <t>0x241</t>
  </si>
  <si>
    <t>Light Control</t>
  </si>
  <si>
    <t>Left Turn Signal
左转向灯</t>
  </si>
  <si>
    <t>cod_LC_u8leftTurnSig</t>
  </si>
  <si>
    <t>0：关闭，1：打开，2：无动作</t>
  </si>
  <si>
    <t>Right Turn Signal
右转向灯</t>
  </si>
  <si>
    <t>cod_LC_u8RightTurnSig</t>
  </si>
  <si>
    <t>High Beam Headlight
远光灯</t>
  </si>
  <si>
    <t>cod_LC_u8HighBeamLight</t>
  </si>
  <si>
    <t>Low Beam Headlight
近光灯</t>
  </si>
  <si>
    <t>cod_LC_u8LowBeamLight</t>
  </si>
  <si>
    <t>License Plate Light &amp; Backlight
牌照灯&amp;背光灯</t>
  </si>
  <si>
    <t>cod_LC_u8LicensePlateLight</t>
  </si>
  <si>
    <t>Reverse Light
倒车灯</t>
  </si>
  <si>
    <t>cod_LC_u8ReverseLight</t>
  </si>
  <si>
    <t>Brake Light
刹车灯</t>
  </si>
  <si>
    <t>cod_LC_u8BrakeLight</t>
  </si>
  <si>
    <t>Ambient Lighting
氛围灯</t>
  </si>
  <si>
    <t>cod_LC_u8AmbientLight</t>
  </si>
  <si>
    <t>Hazard Light
警示灯</t>
  </si>
  <si>
    <t>cod_LC_u8HazardLight</t>
  </si>
  <si>
    <t>Daytime Running Light
昼间行车灯</t>
  </si>
  <si>
    <t>cod_LC_u8DayRunLight</t>
  </si>
  <si>
    <t>Front Spotlight
前射灯</t>
  </si>
  <si>
    <t>cod_LC_u8FrontSpotLight</t>
  </si>
  <si>
    <t>Rear Work Light
后左工作灯</t>
  </si>
  <si>
    <t>cod_LC_u8RearWorkLight</t>
  </si>
  <si>
    <t>Welcome Animation
迎宾动画</t>
  </si>
  <si>
    <t>cod_LC_u8WelcomeAnimation</t>
  </si>
  <si>
    <t>Shutdown Animation
关机动画</t>
  </si>
  <si>
    <t>cod_LC_u8ShutdownAnimation</t>
  </si>
  <si>
    <t>Charging Animation
充电动画</t>
  </si>
  <si>
    <t>cod_LC_u8ChargingAnimation</t>
  </si>
  <si>
    <t>Party Animation
Party动画</t>
  </si>
  <si>
    <t>cod_LC_u8PartyAnimation</t>
  </si>
  <si>
    <t>Welcome Animation Style
迎宾动画样式</t>
  </si>
  <si>
    <t>cod_LC_u8WelcomeAnimSty</t>
  </si>
  <si>
    <t>0-255 每个数字代表一种动画</t>
  </si>
  <si>
    <t>Shutdown Animation Style
关机动画样式</t>
  </si>
  <si>
    <t>cod_LC_u8ShutdownAnimSty</t>
  </si>
  <si>
    <t>Brake Light Style
刹车流水样式</t>
  </si>
  <si>
    <t>cod_LC_u8BrakelightAnimSty</t>
  </si>
  <si>
    <t>Charging Animation Style
充电动画样式</t>
  </si>
  <si>
    <t>cod_LC_u8ChargingAnimSty</t>
  </si>
  <si>
    <t>Party Animation Style
Party动画样式</t>
  </si>
  <si>
    <t>cod_LC_u8PartyAnimSty</t>
  </si>
  <si>
    <t>Position
Light位置灯</t>
  </si>
  <si>
    <t>cod_LC_u8PosiLgtCmd</t>
  </si>
  <si>
    <t>VCU_CCS11</t>
  </si>
  <si>
    <t>0x251</t>
  </si>
  <si>
    <t>VCU反馈充电模式</t>
  </si>
  <si>
    <t>Charge and discharge state
充放电状态</t>
  </si>
  <si>
    <t>cod_ccs_bChargeStatus</t>
  </si>
  <si>
    <t xml:space="preserve">0：Discharge;
1：charge;  </t>
  </si>
  <si>
    <t>　</t>
  </si>
  <si>
    <t>VCU_CCS6</t>
  </si>
  <si>
    <t>0x411</t>
  </si>
  <si>
    <t>1000ms</t>
  </si>
  <si>
    <t>时间</t>
  </si>
  <si>
    <t>OTA时需保存</t>
  </si>
  <si>
    <t>更改ID,20240612</t>
  </si>
  <si>
    <t>Total Power on time
总开机时间</t>
  </si>
  <si>
    <t>cod_ccs_u32TotalWorktime</t>
  </si>
  <si>
    <t>Unsigned</t>
  </si>
  <si>
    <t>%电池上高压，并且不在充电状态</t>
  </si>
  <si>
    <t>min</t>
  </si>
  <si>
    <t>Total Drive Time
总行驶时间</t>
  </si>
  <si>
    <t>cod_ccs_u32TotalDrivetime</t>
  </si>
  <si>
    <t>%由VCU判断有车速的情况下：驾驶的时间</t>
  </si>
  <si>
    <t>VCU_CCS7</t>
  </si>
  <si>
    <t>0x421</t>
  </si>
  <si>
    <t>当前驾驶统计-1</t>
  </si>
  <si>
    <t>Current Power Consuption
当前放电量</t>
  </si>
  <si>
    <t>cod_ccs_u16DisChagEnergy</t>
  </si>
  <si>
    <t>%从上电到目前时刻的放电电量</t>
  </si>
  <si>
    <t>KWH</t>
  </si>
  <si>
    <t>更改数据长度，20240705</t>
  </si>
  <si>
    <t>Current Trip
当前里程</t>
  </si>
  <si>
    <t>cod_ccs_u16CurrentTrip</t>
  </si>
  <si>
    <t>从上电到目前时刻的里程</t>
  </si>
  <si>
    <t>km</t>
  </si>
  <si>
    <t>Current kWh/100km
当前百公里耗电量</t>
  </si>
  <si>
    <t>cod_ccs_u16VehConsumKmPerKWh</t>
  </si>
  <si>
    <t>由VCU判断有车速的情况下：电池的单次放电电量与单次行车里程之间的比值*100</t>
  </si>
  <si>
    <t>KWH/100km</t>
  </si>
  <si>
    <t>Current Drive Time
当前驾驶时间</t>
  </si>
  <si>
    <t>cod_ccs_u16CurrentVehDrvTime</t>
  </si>
  <si>
    <t>由VCU判断有车速的情况下：驾驶的时间</t>
  </si>
  <si>
    <t>VCU_CCS8</t>
  </si>
  <si>
    <t>0x431</t>
  </si>
  <si>
    <t>小计里程统计</t>
  </si>
  <si>
    <t>新增ID,20240627；修改ID：422为421；20240705</t>
  </si>
  <si>
    <t>Trip
小计里程</t>
  </si>
  <si>
    <t>cod_ccs_u16SubtotalMil</t>
  </si>
  <si>
    <t>0.1~2000</t>
  </si>
  <si>
    <t>新增ID,20240627；修改数据长度；20240705</t>
  </si>
  <si>
    <t>%当前剩余里程</t>
  </si>
  <si>
    <t>新增ID,20240627</t>
  </si>
  <si>
    <t>Trip kWh/100km
小计百公里耗电量</t>
  </si>
  <si>
    <t>cod_ccs_u16SubtotalMilepKWh</t>
  </si>
  <si>
    <t>—</t>
  </si>
  <si>
    <t>新增20240702</t>
  </si>
  <si>
    <t>Trip Drive Time
小计驾驶时间</t>
  </si>
  <si>
    <t>cod_ccs_u16SubtotalDrvTime</t>
  </si>
  <si>
    <r>
      <rPr>
        <sz val="12"/>
        <color rgb="FF000000"/>
        <rFont val="楷体"/>
        <family val="3"/>
        <charset val="134"/>
      </rPr>
      <t>Trip average speed</t>
    </r>
    <r>
      <rPr>
        <sz val="12"/>
        <color rgb="FF000000"/>
        <rFont val="Times New Roman"/>
        <family val="1"/>
      </rPr>
      <t xml:space="preserve">​
</t>
    </r>
    <r>
      <rPr>
        <sz val="12"/>
        <color rgb="FF000000"/>
        <rFont val="楷体"/>
        <family val="3"/>
        <charset val="134"/>
      </rPr>
      <t>小计里程驾驶平均速度</t>
    </r>
  </si>
  <si>
    <t>cod_ccs_u16SubtotalAvrgSpeed</t>
  </si>
  <si>
    <t>本次驾驶里程/本次驾驶时间</t>
  </si>
  <si>
    <t>0-100</t>
  </si>
  <si>
    <t>km/h</t>
  </si>
  <si>
    <t>VCU_CCS10</t>
  </si>
  <si>
    <t>0x2C1</t>
  </si>
  <si>
    <t>当前剩余关机时间</t>
  </si>
  <si>
    <t>当前剩余关机时间Current Remaining Shutdown Time</t>
  </si>
  <si>
    <t>cod_ccs_u16PowerOffSecond</t>
  </si>
  <si>
    <t>当前剩余自动关机时间</t>
  </si>
  <si>
    <t>S</t>
  </si>
  <si>
    <t>EPS标定左方向通过
EPSCalibrationLeftOK</t>
  </si>
  <si>
    <t>hld_ccs_u8EPSCalibLOK</t>
  </si>
  <si>
    <t>0:无指令；
1：左方向识别成功；</t>
  </si>
  <si>
    <t>EPS标定结果
EPSCalibrationResult</t>
  </si>
  <si>
    <t>hld_ccs_u8EPSCalRes</t>
  </si>
  <si>
    <t>0:无动作；
1：标定失败;
2:标定成功；</t>
  </si>
  <si>
    <t>EPS标定右方向通过提示
EPSCalibrationRightOK</t>
  </si>
  <si>
    <t>hld_ccs_u8EPSCalROK</t>
  </si>
  <si>
    <t>0:无动作：
1：右方向识别成功</t>
  </si>
  <si>
    <t>EPS标定机械调零
EPSCalibrationMechanicalZeroAdjustment</t>
  </si>
  <si>
    <t>hld_ccs_u8EPSCalibMechZeroAdj</t>
  </si>
  <si>
    <t>0:无动作；
1：需要机械调零；
2:已机械调零；</t>
  </si>
  <si>
    <t>EPS标定计算后中位角度
EPSCalibrationCalculatioMedianAngle</t>
  </si>
  <si>
    <t>hld_ccs_u8EPSCalibCalcMedAng</t>
  </si>
  <si>
    <t>Signed</t>
  </si>
  <si>
    <t>标定时计算后的中位角度</t>
  </si>
  <si>
    <t>-41~41</t>
  </si>
  <si>
    <t>deg</t>
  </si>
  <si>
    <t>VCU_LVBMS</t>
  </si>
  <si>
    <t>0x451</t>
  </si>
  <si>
    <t>LV电池运输模式</t>
  </si>
  <si>
    <t>运输模式12V电池，切断外部输出，硬线唤醒。不发则是正常模式。</t>
  </si>
  <si>
    <t>新增ID</t>
  </si>
  <si>
    <t>LV Battery Transport Mode
LV电池运输模式</t>
  </si>
  <si>
    <t>cod_LVBMS_LVBatTranMode</t>
  </si>
  <si>
    <t>0：正常；
1：运输模式；
2：无效；
3：无效；</t>
  </si>
  <si>
    <t>VCU_Test</t>
  </si>
  <si>
    <t>0x471</t>
  </si>
  <si>
    <t>10ms</t>
  </si>
  <si>
    <t>VCU模式</t>
  </si>
  <si>
    <t>cod_ccs1_u8VcuMode</t>
  </si>
  <si>
    <t>cod_ccs1_u8VcuModeSta</t>
  </si>
  <si>
    <t>cod_cpu_u8CpuLoad</t>
  </si>
  <si>
    <t>cod_u8DrvModFCmd</t>
  </si>
  <si>
    <t>0:MotEn
1:TQ_MODE_NORMAL
2:TQ_MODE_BRK_REGEN
3:TQ_MODE_HILLHOLD
4:TQ_MODE_GLIDEREGENDMODE
6:TQ_MODE_ZERO_TQ
7:TQ_MODE_SLIDEREGENDMODE
8:TQ_MODE_CreepMode</t>
  </si>
  <si>
    <t>cod_u8DrvModRCmd</t>
  </si>
  <si>
    <t>VCU-TMS1</t>
  </si>
  <si>
    <t>0x481</t>
  </si>
  <si>
    <t>BMS加热、冷却需求（水冷却、水加热）</t>
  </si>
  <si>
    <t>Pack Water Heating Requirement
水加热需求</t>
  </si>
  <si>
    <t>hld_vcu_bwaterheatReq</t>
  </si>
  <si>
    <t>0：无需求；1：需求</t>
  </si>
  <si>
    <t>Pack Water Cooling Requirement
水冷却需求</t>
  </si>
  <si>
    <t>hld_vcu_bwatercoolReq</t>
  </si>
  <si>
    <t>Max.Allowable Inlet Water Temperature for PACK
PACK允许进水最大温度</t>
  </si>
  <si>
    <t>hld_vcu_u8maxwaterTmp</t>
  </si>
  <si>
    <t>1</t>
  </si>
  <si>
    <t>-40</t>
  </si>
  <si>
    <t>℃</t>
  </si>
  <si>
    <t>Min Allowable Inlet Water Temperature for PACK
PACK允许进水最小温度</t>
  </si>
  <si>
    <t>hld_vcu_u8minwaterTmp</t>
  </si>
  <si>
    <t>PACK Allowed Inlet Water Flow Rate
允许进水流量</t>
  </si>
  <si>
    <t>hld_vcu_u8waterrate</t>
  </si>
  <si>
    <t>0</t>
  </si>
  <si>
    <t>L/min</t>
  </si>
  <si>
    <t>HV Battery Temperature Low
电池最低温度</t>
  </si>
  <si>
    <t>hld_vcu_u8BatteryMinTmp</t>
  </si>
  <si>
    <t>PACK进水温度PACK inlet water temperature</t>
  </si>
  <si>
    <t>hld_vcu_u8PackInWatTemp</t>
  </si>
  <si>
    <t>PACK出水温度PACK out water temperature</t>
  </si>
  <si>
    <t>hld_vcu_u8PackOutWatTemp</t>
  </si>
  <si>
    <t>HV Battery Temperature High
电池最高温度</t>
  </si>
  <si>
    <t>hld_vcu_u8BatteryMaxTmp</t>
  </si>
  <si>
    <t>VCU-TMS2</t>
  </si>
  <si>
    <t>0x461</t>
  </si>
  <si>
    <t>车速</t>
  </si>
  <si>
    <t>Vehicle Speed</t>
  </si>
  <si>
    <t>cod_VCU_u8VehicleSpeed</t>
  </si>
  <si>
    <t>Kmh</t>
  </si>
  <si>
    <t>VCU_TBOX1</t>
  </si>
  <si>
    <t>0x501</t>
  </si>
  <si>
    <t>VCU SN码</t>
  </si>
  <si>
    <t>Manufacture Number
制造商代码</t>
  </si>
  <si>
    <t>cod_Tbox_u16ManuNum</t>
  </si>
  <si>
    <t>Production Year
生产年份</t>
  </si>
  <si>
    <t>cod_Tbox_u16ProdYear</t>
  </si>
  <si>
    <t>1 year/bit</t>
  </si>
  <si>
    <t>Production Month
生产月份</t>
  </si>
  <si>
    <t>cod_Tbox_u16ProdMonth</t>
  </si>
  <si>
    <t>1 month/bit</t>
  </si>
  <si>
    <t>Production day
生产日</t>
  </si>
  <si>
    <t>cod_Tbox_u16ProdDay</t>
  </si>
  <si>
    <t>1 day/bit</t>
  </si>
  <si>
    <t>Production Serial Number
生产序列号</t>
  </si>
  <si>
    <t>cod_Tbox_u16ProdSeriNum</t>
  </si>
  <si>
    <t>1 pcs/bit</t>
  </si>
  <si>
    <t>VCU_TBOX2</t>
  </si>
  <si>
    <t>0x511</t>
  </si>
  <si>
    <t>VCU 软硬件版本号</t>
  </si>
  <si>
    <t>Software Symbol
软件符号</t>
  </si>
  <si>
    <t>cod_Tbox_u8SftSymb</t>
  </si>
  <si>
    <t>Send letter "S" in ASCII format,                                                                                                                     以 ASCII 格式发送字母“S”</t>
  </si>
  <si>
    <t>Software Project Symbol
软件项目符号</t>
  </si>
  <si>
    <t>cod_Tbox_u8SftPrjSymb</t>
  </si>
  <si>
    <t>Send Project Symbol in ASCII format, range 0 to 9                                                                                       以 ASCII 格式发送项目符号，范围 0 到 9</t>
  </si>
  <si>
    <t>Software Version First Symbol
软件版本第一个符号</t>
  </si>
  <si>
    <t>cod_Tbox_u8SftVerFirSymb</t>
  </si>
  <si>
    <t>Send Software Version Symbol in ASCII format, range 0                                                                                 以 ASCII 格式发送软件版本符号，范围 0到9</t>
  </si>
  <si>
    <t>Software Version Second Symbol
软件版本第二个符号</t>
  </si>
  <si>
    <t>cod_Tbox_u8SftVerSecSymb</t>
  </si>
  <si>
    <t>Send Software Version Symbol in ASCII format, range 0 to 9                                                                     以 ASCII 格式发送软件版本符号，范围 0 到 9</t>
  </si>
  <si>
    <t>Hardware Symbol
硬件符号</t>
  </si>
  <si>
    <t>cod_Tbox_u8HardSymb</t>
  </si>
  <si>
    <t>Send letter "H" in ASCII format                                           以 ASCII 格式发送字母“H”</t>
  </si>
  <si>
    <t>Hardware Project Symbol
硬件项目符号</t>
  </si>
  <si>
    <t>cod_Tbox_u8HardPrjSymb</t>
  </si>
  <si>
    <t>Send Project Symbol in ASCII format, range 0 to 9;                                                                                           以 ASCII 格式发送项目符号，范围 0 到 9;</t>
  </si>
  <si>
    <t>Hardware Version First Symbol
硬件版本第一个符号</t>
  </si>
  <si>
    <t>cod_Tbox_u8HardVerFirSymb</t>
  </si>
  <si>
    <t>Send Hardware Version Symbol in ASCII format, range 0 to 9                                                                    以 ASCII 格式发送硬件版本符号，范围 0 到 9</t>
  </si>
  <si>
    <t>Hardware Version Second Symbol
硬件版本第二个符号</t>
  </si>
  <si>
    <t>cod_Tbox_u8HardVerSecSymb</t>
  </si>
  <si>
    <t>Send Hardware Version Symbol in ASCII format, range 0 to 9                                                                         以 ASCII 格式发送硬件版本符号，范围 0 到 9</t>
  </si>
  <si>
    <t>VCU_TBOX3</t>
  </si>
  <si>
    <t>0x521</t>
  </si>
  <si>
    <t>VCU BootLoader软件版本号</t>
  </si>
  <si>
    <t>Bootloader Software Symbol
Bootloader 软件符号</t>
  </si>
  <si>
    <t>cod_Tbox_u8BtSymb</t>
  </si>
  <si>
    <t>Send letter "S" in ASCII format,                                                                                                                     以 ASCII 格式发送字母“B”</t>
  </si>
  <si>
    <t>Bootloader Software Project Symbol
Bootload软件项目符号</t>
  </si>
  <si>
    <t>cod_Tbox_u8BtPrjSymb</t>
  </si>
  <si>
    <t>Bootloader  Software Version First Symbol
Bootloader 软件版本第一个符号</t>
  </si>
  <si>
    <t>cod_Tbox_u8BtPrjFirSymb</t>
  </si>
  <si>
    <t>Bootloader  Software Version Second Symbol
Bootloader 软件版本第二个符号</t>
  </si>
  <si>
    <t>cod_Tbox_u8BtPrjSecSymb</t>
  </si>
  <si>
    <t>VCU_TBOX4</t>
  </si>
  <si>
    <t>0x531</t>
  </si>
  <si>
    <t>车辆 SN码</t>
  </si>
  <si>
    <t>u16ManFactuNum</t>
  </si>
  <si>
    <t>u8PrdctYear</t>
  </si>
  <si>
    <t>u8PrdctMonth</t>
  </si>
  <si>
    <t>u8PrdctDay</t>
  </si>
  <si>
    <t>u32PrdctSeriNum</t>
  </si>
  <si>
    <t>VCU_TBOX5</t>
  </si>
  <si>
    <t>0x541</t>
  </si>
  <si>
    <t>车辆型号</t>
  </si>
  <si>
    <t>Product Model
产品型号，第一个符号</t>
  </si>
  <si>
    <t>u8PrdctModel1</t>
  </si>
  <si>
    <t>0:Invalid;
1:UW802;
2:UW802F;
3:UW1104;
4:UW1104F;
5:UC1104;
6:UC1104F;
7:UE1104;
8:UE1104F;
9:UT1104;
10:UT1104F</t>
  </si>
  <si>
    <t>1-255</t>
  </si>
  <si>
    <t>转为ASCII，例如UW802,报文值为
0x55 57 38 30 32 00 00 00，多余的字节补充0x00</t>
  </si>
  <si>
    <t>Product Model
产品型号，第二个符号</t>
  </si>
  <si>
    <t>u8PrdctModel2</t>
  </si>
  <si>
    <t>Product Model
产品型号,第三个符号</t>
  </si>
  <si>
    <t>u8PrdctModel3</t>
  </si>
  <si>
    <t>Product Model
产品型号,第四个符号</t>
  </si>
  <si>
    <t>u8PrdctModel4</t>
  </si>
  <si>
    <t>Product Model
产品型号,第五个符号</t>
  </si>
  <si>
    <t>u8PrdctModel5</t>
  </si>
  <si>
    <t>Product Model
产品型号,第六个符号</t>
  </si>
  <si>
    <t>u8PrdctModel6</t>
  </si>
  <si>
    <t>Product Model
产品型号,第七个符号</t>
  </si>
  <si>
    <t>u8PrdctModel7</t>
  </si>
  <si>
    <t>Product Model
产品型号,第八个符号</t>
  </si>
  <si>
    <t>u8PrdctModel8</t>
  </si>
  <si>
    <t>VCU-BOX6</t>
  </si>
  <si>
    <t>%0x721</t>
  </si>
  <si>
    <t>/</t>
  </si>
  <si>
    <t>VCU UDS 应答</t>
  </si>
  <si>
    <t>见格力博OTA标准</t>
  </si>
  <si>
    <t>T-BOX_VCU</t>
  </si>
  <si>
    <t>%0x711</t>
  </si>
  <si>
    <t>VCU UDS 请求</t>
  </si>
  <si>
    <t>CCS_VCU</t>
  </si>
  <si>
    <t>0x215</t>
  </si>
  <si>
    <t>hld_CCS_u8LftTurnLgtCmd</t>
  </si>
  <si>
    <t>hld_CCS_u8RgtTurnLgtCmd</t>
  </si>
  <si>
    <t>hld_CCS_u8HiBeamCmd</t>
  </si>
  <si>
    <t>hld_CCS_u8LoBeamCmd</t>
  </si>
  <si>
    <t>hld_CCS_u8LicBackLgtCmd</t>
  </si>
  <si>
    <t>hld_CCS_u8ReversLgtCmd</t>
  </si>
  <si>
    <t>hld_CCS_u8BrkLgtCmd</t>
  </si>
  <si>
    <t>hld_CCS_u8AmbLgtCmd</t>
  </si>
  <si>
    <t>hld_CCS_u8HazardLgtCmd</t>
  </si>
  <si>
    <t>hld_CCS_u8DayLgtCmd</t>
  </si>
  <si>
    <t>hld_CCS_u8FrSpotLgtCmd</t>
  </si>
  <si>
    <t>hld_CCS_u8RrWorkLgtCmd</t>
  </si>
  <si>
    <t>Welcome Animation
迎宾动画</t>
  </si>
  <si>
    <t>hld_CCS_u8WelComAnimCmd</t>
  </si>
  <si>
    <t>hld_CCS_u8ShutDwnAnimCmd</t>
  </si>
  <si>
    <t>hld_CCS_u8ChargAnimCmd</t>
  </si>
  <si>
    <t>hld_CCS_u8PartyAnimCmd</t>
  </si>
  <si>
    <t>hld_CCS_u8WelComAnimSt</t>
  </si>
  <si>
    <t>hld_CCS_u8ShutDwnAnimSt</t>
  </si>
  <si>
    <t>hld_CCS_u8BrkLgtSt</t>
  </si>
  <si>
    <t>hld_CCS_u8ChargAnimSt</t>
  </si>
  <si>
    <t>hld_CCS_u8PartyAnimSt</t>
  </si>
  <si>
    <t>hld_CCS_u8PosiLgtCmd</t>
  </si>
  <si>
    <t>CCS_VCU3</t>
  </si>
  <si>
    <t>0x235</t>
  </si>
  <si>
    <t>Vehicle Setting ETO</t>
  </si>
  <si>
    <t>无遥控则不发</t>
  </si>
  <si>
    <t>Front ETO HV Control
前ETO上高压</t>
  </si>
  <si>
    <t>hld_ccs_bFrontETOPower</t>
  </si>
  <si>
    <t>0：下高压
1：上高压</t>
  </si>
  <si>
    <t>Rear ETO HV Control
后ETO上高压</t>
  </si>
  <si>
    <t>hld_ccs_bBackETOPower</t>
  </si>
  <si>
    <t>CCS_VCU1</t>
  </si>
  <si>
    <t>0x245</t>
  </si>
  <si>
    <t>Vehicle Setting</t>
  </si>
  <si>
    <t>1,用户设置则发周期100ms，发送到VCU反馈状态与设置相同时停止发送；
2，超过3s VCU反馈状态与命令不一致则设置不成功；返回故障；
3，无则不发；</t>
  </si>
  <si>
    <t>20240613新增</t>
  </si>
  <si>
    <t>显示</t>
  </si>
  <si>
    <t>Setting Max Forward Speed Set
前进最高车速设置</t>
  </si>
  <si>
    <t>hld_ccs_u8ForwardSpeedSet</t>
  </si>
  <si>
    <t>Max Forward Speed
前进最高车速
发0无设置</t>
  </si>
  <si>
    <t>Setting Max Reverse Speed Set
后退最高车速设置</t>
  </si>
  <si>
    <t>hld_ccs_u8BackSpeedSet</t>
  </si>
  <si>
    <t>Max Reverse Speed
后退最高车速
发0无设置</t>
  </si>
  <si>
    <t>Slip Regen Level Set
回馈制动等级</t>
  </si>
  <si>
    <t>hld_ccs_u8RegenLevel</t>
  </si>
  <si>
    <t>0:Comfortable;
1:Normal;
2:Stronge;
3：无动作</t>
  </si>
  <si>
    <t>Brake Level Set
刹车制动等级</t>
  </si>
  <si>
    <t>hld_ccs_u8BrkLevel</t>
  </si>
  <si>
    <t>Creep or hill hold Set
蠕行模式设置</t>
  </si>
  <si>
    <t>hld_ccs_u8Creep</t>
  </si>
  <si>
    <t>0: no creep,hill hold;
01: creep,no hill hold;
2: 无动作</t>
  </si>
  <si>
    <t>EPS Strength Setting
助力转向强度设置</t>
  </si>
  <si>
    <t>hld_ccsu8EPSSthSet</t>
  </si>
  <si>
    <t>0:Weak;
1:Normal;
2:Stronge;
3：无设置</t>
  </si>
  <si>
    <t>EPB_AutoHold</t>
  </si>
  <si>
    <t>hld_ccs_u8EPBAutoHold</t>
  </si>
  <si>
    <t>0: Off;
1: ON ;
3：无动作</t>
  </si>
  <si>
    <t>EPB Manual Release Cmd
EPB 维修释放命令</t>
  </si>
  <si>
    <t>hld_ccs_u8EPBRepairCmd</t>
  </si>
  <si>
    <t>DrvMod
驾驶模式设置</t>
  </si>
  <si>
    <t>hld_ccs_u8DrvMod</t>
  </si>
  <si>
    <t>0:无设置；
1:Road;
2:Turf;
3:M+S;
4:Towing;</t>
  </si>
  <si>
    <t>Auto power off time
自动关机时间</t>
  </si>
  <si>
    <t>hld_ccs_u8AutoShutdown</t>
  </si>
  <si>
    <t>%0：deactive atuo power off function：1，无设置</t>
  </si>
  <si>
    <t>5-120</t>
  </si>
  <si>
    <t>hour</t>
  </si>
  <si>
    <t>Refrigerator Delay Power Off Time
冰箱延时下电时间</t>
  </si>
  <si>
    <t>hld_ccs_u8DelayShutdown</t>
  </si>
  <si>
    <t>%0：deactive Refrigerator delay power off function：1，无设置</t>
  </si>
  <si>
    <t>30-240</t>
  </si>
  <si>
    <t>是否开启充电保温</t>
  </si>
  <si>
    <t>hld_ccs_u8EnblChgIns</t>
  </si>
  <si>
    <t>0：不开启；
1:开启;
2：无设置</t>
  </si>
  <si>
    <t>Charging lock switch
充电锁开关</t>
  </si>
  <si>
    <t>hld_ccs_u8EnChargelock</t>
  </si>
  <si>
    <t>0：不开启；
1：开启；
2：无设置</t>
  </si>
  <si>
    <t>禁止上高压指令
HighVoltageOFFcommand</t>
  </si>
  <si>
    <t>hld_ccs_u8HVOffCmd</t>
  </si>
  <si>
    <t>0:允许上高压；
1：禁止上高压；
2：无设置；</t>
  </si>
  <si>
    <t>展厅模式
Showroom mode</t>
  </si>
  <si>
    <t>hld_ccs_u8showroomMode</t>
  </si>
  <si>
    <t>0:OFF；
1：ON；
2：无设置；</t>
  </si>
  <si>
    <t>TESTER_VCU1</t>
  </si>
  <si>
    <t>0x2C5</t>
  </si>
  <si>
    <t>测试台架写入车辆 SN码</t>
  </si>
  <si>
    <t>增加ID,20240617</t>
  </si>
  <si>
    <t>Write Manufacture Number
制造商代码</t>
  </si>
  <si>
    <t>u16WritManFactuNum</t>
  </si>
  <si>
    <t>Write Production Year
生产年份</t>
  </si>
  <si>
    <t>u8WritPrdctYear</t>
  </si>
  <si>
    <t>Write Production Month
生产月份</t>
  </si>
  <si>
    <t>u8WritPrdctMonth</t>
  </si>
  <si>
    <t>Write Production day
生产日</t>
  </si>
  <si>
    <t>u8WritPrdctDay</t>
  </si>
  <si>
    <t>Write Production Serial Number
生产序列号</t>
  </si>
  <si>
    <t>u32WritPrdctSeriNum</t>
  </si>
  <si>
    <t>TESTER_VCU2</t>
  </si>
  <si>
    <t>0x2D5</t>
  </si>
  <si>
    <t>测试台架写入车辆型号</t>
  </si>
  <si>
    <t>u8TestPrdctModel1</t>
  </si>
  <si>
    <t>0:Invalid;
1:UW80211;
2:UW802F11;
3:UW110411;
4:UW1104F11;
5:UC110411;
6:UC1104F11;
7:UE110411;
8:UE1104F11;
9:UT110411;
10:UT1104F11</t>
  </si>
  <si>
    <t>u8TestPrdctModel2</t>
  </si>
  <si>
    <t>Product Model
产品型号，第三个符号</t>
  </si>
  <si>
    <t>u8TestPrdctModel3</t>
  </si>
  <si>
    <t>Product Model
产品型号，第四个符号</t>
  </si>
  <si>
    <t>u8TestPrdctModel4</t>
  </si>
  <si>
    <t>Product Model
产品型号，第五个符号</t>
  </si>
  <si>
    <t>u8TestPrdctModel5</t>
  </si>
  <si>
    <t>Product Model
产品型号，第六个符号</t>
  </si>
  <si>
    <t>u8TestPrdctModel6</t>
  </si>
  <si>
    <t>Product Model
产品型号，第七个符号</t>
  </si>
  <si>
    <t>u8TestPrdctModel7</t>
  </si>
  <si>
    <t>Product Model
产品型号，第八个符号</t>
  </si>
  <si>
    <t>u8TestPrdctModel8</t>
  </si>
  <si>
    <t>TESTER_VCU3</t>
  </si>
  <si>
    <t>0x2E5</t>
  </si>
  <si>
    <t>TESTER Vehicle Setting</t>
  </si>
  <si>
    <t>测试台架发VCU</t>
  </si>
  <si>
    <t>新加20240617</t>
  </si>
  <si>
    <t>Write Vehicle SN Cmd
写入整车序列号</t>
  </si>
  <si>
    <t>hld_tester_bWriteVehSnCmd</t>
  </si>
  <si>
    <t>0：正常；
1：写入；</t>
  </si>
  <si>
    <t>Write Modle N0. Cmd
写入产品型号</t>
  </si>
  <si>
    <t>hld_tester_bWriteModelNumCmd</t>
  </si>
  <si>
    <t>Drum Test Cmd
转鼓测试</t>
  </si>
  <si>
    <t>hld_tester_bDrnmTestCmd</t>
  </si>
  <si>
    <t>0：正常
1：转鼓测试（逻辑待定）</t>
  </si>
  <si>
    <t>Brake Calibration Cmd
刹车标定</t>
  </si>
  <si>
    <t>hld_tester_bBrkCalCmd</t>
  </si>
  <si>
    <t>0：正常
1：标定</t>
  </si>
  <si>
    <t>Battery Pump Cmd
电池水泵命令</t>
  </si>
  <si>
    <t>hld_tester_bBatPumpCmd</t>
  </si>
  <si>
    <t>从0x315移入</t>
  </si>
  <si>
    <t>CCS-TMS</t>
  </si>
  <si>
    <t>0x305</t>
  </si>
  <si>
    <t>空调指令</t>
  </si>
  <si>
    <t>新加20240612</t>
  </si>
  <si>
    <t>AC_CoolHeatlevel_Command</t>
  </si>
  <si>
    <t xml:space="preserve">hld_ccs_u8Tmp </t>
  </si>
  <si>
    <r>
      <rPr>
        <sz val="12"/>
        <color rgb="FF000000"/>
        <rFont val="楷体"/>
        <family val="3"/>
        <charset val="134"/>
      </rPr>
      <t>Temperature16</t>
    </r>
    <r>
      <rPr>
        <sz val="12"/>
        <color rgb="FF000000"/>
        <rFont val="宋体"/>
        <family val="3"/>
        <charset val="134"/>
      </rPr>
      <t>º</t>
    </r>
    <r>
      <rPr>
        <sz val="12"/>
        <color rgb="FF000000"/>
        <rFont val="楷体"/>
        <family val="3"/>
        <charset val="134"/>
      </rPr>
      <t>C-32</t>
    </r>
    <r>
      <rPr>
        <sz val="12"/>
        <color rgb="FF000000"/>
        <rFont val="宋体"/>
        <family val="3"/>
        <charset val="134"/>
      </rPr>
      <t>º</t>
    </r>
    <r>
      <rPr>
        <sz val="12"/>
        <color rgb="FF000000"/>
        <rFont val="楷体"/>
        <family val="3"/>
        <charset val="134"/>
      </rPr>
      <t xml:space="preserve">C
</t>
    </r>
  </si>
  <si>
    <t>0x20</t>
  </si>
  <si>
    <r>
      <rPr>
        <sz val="12"/>
        <color rgb="FF000000"/>
        <rFont val="宋体"/>
        <family val="3"/>
        <charset val="134"/>
      </rPr>
      <t>º</t>
    </r>
    <r>
      <rPr>
        <sz val="12"/>
        <color rgb="FF000000"/>
        <rFont val="楷体"/>
        <family val="3"/>
        <charset val="134"/>
      </rPr>
      <t>C</t>
    </r>
  </si>
  <si>
    <t>AC_Blower_Level_Command</t>
  </si>
  <si>
    <t>hld_ccs_u8BlowerLvlCmd</t>
  </si>
  <si>
    <t xml:space="preserve">0:Inactive/Initial value
1:Level1
2:Level2
3:Level3
4:Level4
%B-F:Reserved </t>
  </si>
  <si>
    <t>0xF</t>
  </si>
  <si>
    <t>AC_ Air_Model_Command</t>
  </si>
  <si>
    <t>hld_ccs_u8AirModelCmd</t>
  </si>
  <si>
    <t>0:Inactive/Initial value
1:Blow face 
2:Blow face &amp; Blow foot 
3:Blow foot 
4:Blow foot &amp; Defrost active
5:Front defrost  
%6-7:Reserved</t>
  </si>
  <si>
    <t>0x7</t>
  </si>
  <si>
    <t>Cooling_Heating_Command</t>
  </si>
  <si>
    <t>hld_ccs_u8CoolHeatCmd</t>
  </si>
  <si>
    <t>0:Off
1:Cool
2:Heat</t>
  </si>
  <si>
    <t>0x3</t>
  </si>
  <si>
    <t>0x0:Reserved 改为off 20240813</t>
  </si>
  <si>
    <t>PTC_Heat_Level</t>
  </si>
  <si>
    <t>hld_ccs_u8PtcHeatLvlCmd</t>
  </si>
  <si>
    <t>0:OFF
1:Level1
2:Level2
3:Level3
%4-7:Reserved</t>
  </si>
  <si>
    <t>adding refrigerant 加注冷媒</t>
  </si>
  <si>
    <t>hld_ccs_bAddRefrigeCmd</t>
  </si>
  <si>
    <t>0：off,1:加注冷媒</t>
  </si>
  <si>
    <t>water addition 加水</t>
  </si>
  <si>
    <t>hld_ccs_bAddWatrCmd</t>
  </si>
  <si>
    <t>0：off,1:加水</t>
  </si>
  <si>
    <t>鼓风机状态
Blower status</t>
  </si>
  <si>
    <t>hld_ccs_bBlowerSt</t>
  </si>
  <si>
    <t>0：无故障,1:故障</t>
  </si>
  <si>
    <t>新加20250513</t>
  </si>
  <si>
    <t>远程启动空调
Remote air conditioner activation</t>
  </si>
  <si>
    <t>hld_ccs_u8RemCoolHeatCmd</t>
  </si>
  <si>
    <t>新加20251217</t>
  </si>
  <si>
    <t>远程启动空调剩余时间(min)
Remaining Time of Remote Air Conditioning Startup (min)</t>
  </si>
  <si>
    <t>hld_ccs_u8RemCoolHeatTime</t>
  </si>
  <si>
    <t>60分钟制，无设置发63</t>
  </si>
  <si>
    <t>0~60</t>
  </si>
  <si>
    <t>TESTER_VCU4</t>
  </si>
  <si>
    <t>%0x315</t>
  </si>
  <si>
    <t>电池水泵测试</t>
  </si>
  <si>
    <t>测试台架发VCU4</t>
  </si>
  <si>
    <t>新加20240709</t>
  </si>
  <si>
    <t>0：启动；
1：停止；</t>
  </si>
  <si>
    <t>写入产品型号</t>
  </si>
  <si>
    <t>转鼓测试</t>
  </si>
  <si>
    <t>CCS_VCU4</t>
  </si>
  <si>
    <t>0x405</t>
  </si>
  <si>
    <t>中控Fault Code</t>
  </si>
  <si>
    <t>hld_ccs_bBlowerFultFlag
风机状态</t>
  </si>
  <si>
    <t>hld_ccs_bBlowerFultFlag</t>
  </si>
  <si>
    <t>0：无故障;
1：有故障;</t>
  </si>
  <si>
    <t>Setting Max Forward Speed timeout
前进最高车速设置超时</t>
  </si>
  <si>
    <t>hld_ccs_bFrSpdSetTimeout</t>
  </si>
  <si>
    <t>Setting Max Reverse Speed timeout
后退最高车速设置超时</t>
  </si>
  <si>
    <t>hld_ccs_bBackSpdSetTimeout</t>
  </si>
  <si>
    <t>Setting Regen Level Set timeout
回馈制动等级超时</t>
  </si>
  <si>
    <t>hld_ccs_bRegenLevelTimeout</t>
  </si>
  <si>
    <t>Setting Creep or hill hold Set timeout
蠕行模式设置超时</t>
  </si>
  <si>
    <t>hld_ccs_bCreepLevelTimeout</t>
  </si>
  <si>
    <t>Setting EPS Strength Setting timeout
助力转向强度设置超时</t>
  </si>
  <si>
    <t>hld_ccs_bSetEpsStrenTimeout</t>
  </si>
  <si>
    <t>Setting EPB_AutoHold timeout</t>
  </si>
  <si>
    <t>hld_ccs_bEPBAutoHoldTimeout</t>
  </si>
  <si>
    <t>Setting EPB Manual Release timeout
EPB 维修释放命令超时</t>
  </si>
  <si>
    <t>hld_ccs_bEPBRepairCmdTimeout</t>
  </si>
  <si>
    <t>Setting Auto power off time timeout
自动关机时间超时</t>
  </si>
  <si>
    <t>hld_ccs_bAutoShutTimeout</t>
  </si>
  <si>
    <t>Setting Refrigerator Delay Power Off Time timeout
冰箱延时下电时间超时</t>
  </si>
  <si>
    <t>hld_ccs_bDelayShutTimeout</t>
  </si>
  <si>
    <t>DrvMod timeout
驾驶模式设置超时</t>
  </si>
  <si>
    <t>hld_ccs_bDrvModTimeout</t>
  </si>
  <si>
    <t>CCS CAN Communication Fault
CCS CAN 通讯故障</t>
  </si>
  <si>
    <t>hld_ccs_bCCSCANComFault</t>
  </si>
  <si>
    <t>0：无故障;
1：有故障;(激活信号输出后，超过3s收不到0x211 报文)</t>
  </si>
  <si>
    <t>DS CAN Communication Fault
仪表通讯故障</t>
  </si>
  <si>
    <t>hld_ccs_bDSCANComFault</t>
  </si>
  <si>
    <t>0：无故障;
1：有故障;(激活信号输出后，超过20s收不到仪表 报文)</t>
  </si>
  <si>
    <t>CCS_T-BOX1</t>
  </si>
  <si>
    <t>0x505</t>
  </si>
  <si>
    <t>5000ms</t>
  </si>
  <si>
    <t>Touch Screen SN码</t>
  </si>
  <si>
    <t>CCS_T-BOX2</t>
  </si>
  <si>
    <t>0x515</t>
  </si>
  <si>
    <t>Touch Screen 软硬件版本号</t>
  </si>
  <si>
    <t>u8SoftSymbl</t>
  </si>
  <si>
    <t>u8SoftPrjSymbl</t>
  </si>
  <si>
    <t>u8SoftVersFirSymbl</t>
  </si>
  <si>
    <t>u8SoftVersSecSymbl</t>
  </si>
  <si>
    <t>u8HardSymbl</t>
  </si>
  <si>
    <t>u8HardPrjSymbl</t>
  </si>
  <si>
    <t>u8HardVersFirSymbl</t>
  </si>
  <si>
    <t>u8HardVersSecSymbl</t>
  </si>
  <si>
    <t>CCS_T-BOX3</t>
  </si>
  <si>
    <t>0x525</t>
  </si>
  <si>
    <t>Touch Screen BootLoader软件版本号</t>
  </si>
  <si>
    <t>cod_Scrn_u8BtSymb</t>
  </si>
  <si>
    <t>cod_Scrn_u8BtPrjSymb</t>
  </si>
  <si>
    <t>cod_Scrn_u8BtPrjFirSymb</t>
  </si>
  <si>
    <t>cod_Scrn_u8BtPrjSecSymb</t>
  </si>
  <si>
    <t>CCS_T-BOX4</t>
  </si>
  <si>
    <t>%0x725</t>
  </si>
  <si>
    <t>Touch Screen UDS 应答</t>
  </si>
  <si>
    <t>T-BOX_CCS</t>
  </si>
  <si>
    <t>%0x715</t>
  </si>
  <si>
    <t>Touch Screen UDS 请求</t>
  </si>
  <si>
    <t>VCU-CCS1</t>
  </si>
  <si>
    <t>0x308</t>
  </si>
  <si>
    <t>TMS反馈</t>
  </si>
  <si>
    <t>cod_vcu_b4ValvCtlCmd</t>
  </si>
  <si>
    <t xml:space="preserve">四通阀运动使能
Four-way valve movement enable </t>
  </si>
  <si>
    <t>0：关闭，1：移动</t>
  </si>
  <si>
    <t>cod_vcu_b3ValvCtlCmd</t>
  </si>
  <si>
    <t>三通阀运动使能
Three way valve motion enable</t>
  </si>
  <si>
    <t>cod_vcu_b4ValvStopCmd</t>
  </si>
  <si>
    <t>四通阀紧急停止Emergency stop of four-way valve</t>
  </si>
  <si>
    <t>0：未请求，1：停止</t>
  </si>
  <si>
    <t>cod_vcu_b3ValvStopCmd</t>
  </si>
  <si>
    <t>三通阀紧急停止Emergency stop of three-way valve</t>
  </si>
  <si>
    <t>cod_vcu_b4ValvRecov</t>
  </si>
  <si>
    <t>四通阀恢复
Four way valve restoration</t>
  </si>
  <si>
    <t>0：未请求，1：恢复</t>
  </si>
  <si>
    <t>cod_vcu_b3ValvRecov</t>
  </si>
  <si>
    <t>三通阀恢复
Three way valve restoration</t>
  </si>
  <si>
    <t>cod_vcu_bBlwrDlyFlg</t>
  </si>
  <si>
    <t>鼓风机延时标志位
Blower delay flag</t>
  </si>
  <si>
    <t>0：不延时，1：延时</t>
  </si>
  <si>
    <t>cod_ccs_u8AirModelSts</t>
  </si>
  <si>
    <t>电机水泵状态
Motor water pump status</t>
  </si>
  <si>
    <t>cod_vcu_u8MotWatrPumpSt</t>
  </si>
  <si>
    <t>0：正常工作，1：故障状态</t>
  </si>
  <si>
    <t>cod_vcu_u8FanSpdPwmCtl</t>
  </si>
  <si>
    <t>电池水泵状态
Battery water pump status</t>
  </si>
  <si>
    <t>cod_vcu_u8BatWatrPumpSt</t>
  </si>
  <si>
    <t>cod_ccs_u8CoolentTemp</t>
  </si>
  <si>
    <t>模式反馈AC
Mode feedback AC</t>
  </si>
  <si>
    <t xml:space="preserve">0:Inactive/Initial value
1:Blow face
2:Blow face &amp; Blow foot
3:Blow foot
4:Blow foot &amp; Defrost active
5:Front defrost  </t>
  </si>
  <si>
    <t>cod_ccs_u8PtcTemp</t>
  </si>
  <si>
    <t>风扇PWM档位调速
Fan PWM gear speed regulation</t>
  </si>
  <si>
    <t>PWM0%——10%为停止状态，10%-15%为最低25%转速状态，PWM15%——90%为25%-100%转速调节状态。PWM90%-98%为100%转速调节状态，PWM99%-100%停止，直接发占空比</t>
  </si>
  <si>
    <t>%</t>
  </si>
  <si>
    <t>cod_vcu_u84ValvPosSet</t>
  </si>
  <si>
    <t>电机进水温度
Motor Cooler Water In Temperature</t>
  </si>
  <si>
    <t>cod_vcu_u8MotorCoolingWtInTmpe</t>
  </si>
  <si>
    <t>电机进水温度</t>
  </si>
  <si>
    <t>cod_vcu_u83ValvPosSet</t>
  </si>
  <si>
    <t>PTC温度
PTC temperature</t>
  </si>
  <si>
    <t>cod_ccs_u8PtcTmp</t>
  </si>
  <si>
    <t>PTC温度</t>
  </si>
  <si>
    <t>四通阀位置设定                              Four way valve position setting</t>
  </si>
  <si>
    <r>
      <rPr>
        <sz val="12"/>
        <color rgb="FF000000"/>
        <rFont val="楷体"/>
        <family val="3"/>
        <charset val="134"/>
      </rPr>
      <t>0%（0</t>
    </r>
    <r>
      <rPr>
        <sz val="12"/>
        <color rgb="FF000000"/>
        <rFont val="微软雅黑"/>
        <family val="2"/>
        <charset val="134"/>
      </rPr>
      <t>°</t>
    </r>
    <r>
      <rPr>
        <sz val="12"/>
        <color rgb="FF000000"/>
        <rFont val="楷体"/>
        <family val="3"/>
        <charset val="134"/>
      </rPr>
      <t>）；V1、V2全通，V3、V4全通；；100%（90°）：V1、V3全通，V2、V4全通，直接发百分比</t>
    </r>
  </si>
  <si>
    <t>三通阀位置设定Three way valve position setting</t>
  </si>
  <si>
    <t>0%（0°）；V1、V2全通，V3关闭；50%（35°）：V2打开，V1、V3半开；100%（70°）：V1、V3全通，V2关闭。直接发百分比</t>
  </si>
  <si>
    <t>电机出水温度
Motor Cooler Water Out Temperature</t>
  </si>
  <si>
    <t>cod_vcu_u8MotorCoolingWtOutTmpe</t>
  </si>
  <si>
    <t>电机出水温度</t>
  </si>
  <si>
    <t>TMS-CCS2</t>
  </si>
  <si>
    <t>0x318</t>
  </si>
  <si>
    <t>500ms</t>
  </si>
  <si>
    <t>TMS反馈1</t>
  </si>
  <si>
    <t>室内温度     Indoor ambient temperature</t>
  </si>
  <si>
    <t>hld_tms_u8InAmbTemp</t>
  </si>
  <si>
    <t>蒸发器温度              Evaporator temperature</t>
  </si>
  <si>
    <t>hld_tms_u8EvaTemp</t>
  </si>
  <si>
    <t>室外温度            outdoor temperature</t>
  </si>
  <si>
    <t>hld_tms_u8OutDTemp</t>
  </si>
  <si>
    <t>压缩机排气冷媒温度Compressor Discharge Refrigerant Temperature</t>
  </si>
  <si>
    <t>hld_tms_u8CompDisTemp</t>
  </si>
  <si>
    <t>压缩机排气冷媒压力Compressor Discharge Refrigerant Pressure</t>
  </si>
  <si>
    <t>hld_tms_u8CompDisPress</t>
  </si>
  <si>
    <t>bar</t>
  </si>
  <si>
    <t>散热器侧冷媒温度Temperature of refrigerant on the radiator side</t>
  </si>
  <si>
    <t>hld_tms_u8CompInletTemp</t>
  </si>
  <si>
    <t>散热器侧冷媒压力Pressure of refrigerant on the radiator side</t>
  </si>
  <si>
    <t>hld_tms_u8CompInletPress</t>
  </si>
  <si>
    <t>TMS_Compressor</t>
  </si>
  <si>
    <t>0x238</t>
  </si>
  <si>
    <t>压缩机命令</t>
  </si>
  <si>
    <t>Cyclic</t>
  </si>
  <si>
    <t xml:space="preserve">Ac-speed-of-compressor </t>
  </si>
  <si>
    <t>hld_tms_u16AcCompresSpd</t>
  </si>
  <si>
    <t>%例如转速这3000rpm，对应的十六进制为BB8,此时Byte0:B8;       Byet1:0B</t>
  </si>
  <si>
    <t>0xFFFE</t>
  </si>
  <si>
    <t>rpm</t>
  </si>
  <si>
    <t>AC-max-perm-compressor-power</t>
  </si>
  <si>
    <t>hld_tms_u8AcMAXPower</t>
  </si>
  <si>
    <t>%例如Byte2:14对应十进制的20则代表实际的功率为20*0.1:2KW</t>
  </si>
  <si>
    <t>0xFE</t>
  </si>
  <si>
    <t>kw</t>
  </si>
  <si>
    <t>AC-compressor-enable</t>
  </si>
  <si>
    <t>hld_tms_bAcCompEnbl</t>
  </si>
  <si>
    <t>0:compressor Off(关机）； 1:compressor ON(开机）</t>
  </si>
  <si>
    <t>PTC等级设定
PTC level setting</t>
  </si>
  <si>
    <t>hld_tms_u8PtcHeat1Lvl</t>
  </si>
  <si>
    <t>0:OFF
1:Level1
2:Level2
3:Level3</t>
  </si>
  <si>
    <t>AllowOperation_Flag</t>
  </si>
  <si>
    <t>hld_tms_bAllowOptFlg</t>
  </si>
  <si>
    <t>0x0:Operation is not allowed
0x1:Operation is allowed</t>
  </si>
  <si>
    <t>TMS_T-BOX</t>
  </si>
  <si>
    <t>0x508</t>
  </si>
  <si>
    <t>TMS SN码</t>
  </si>
  <si>
    <t>0x518</t>
  </si>
  <si>
    <t>TMS 软硬件版本号</t>
  </si>
  <si>
    <t>0x528</t>
  </si>
  <si>
    <t>TMS BootLoader软件版本号</t>
  </si>
  <si>
    <t>cod_TMS_u8BtSymb</t>
  </si>
  <si>
    <t>cod_TMS_u8BtPrjSymb</t>
  </si>
  <si>
    <t>cod_TMS_u8BtPrjFirSymb</t>
  </si>
  <si>
    <t>cod_TMS_u8BtPrjSecSymb</t>
  </si>
  <si>
    <t>%0x728</t>
  </si>
  <si>
    <t>UDS 应答</t>
  </si>
  <si>
    <t>%0x718</t>
  </si>
  <si>
    <t>UDS 请求</t>
  </si>
  <si>
    <t>%Compressor_TMS</t>
  </si>
  <si>
    <t>%0x2E8</t>
  </si>
  <si>
    <t>压缩机状态反馈</t>
  </si>
  <si>
    <t>hld_aps_u16AcCompresSpd</t>
  </si>
  <si>
    <t>hld_aps_u8AcCompresPwr</t>
  </si>
  <si>
    <t>hld_aps_u8AcCompresEnbl</t>
  </si>
  <si>
    <t>0:compressor Off(关机）1:compressor ON(开机）
3:Error(故障）</t>
  </si>
  <si>
    <t>Over current
过流</t>
  </si>
  <si>
    <t>hld_aps_bOvCurFlt</t>
  </si>
  <si>
    <t>0：正常。1：故障</t>
  </si>
  <si>
    <t>Over Voltage
运行过压</t>
  </si>
  <si>
    <t>hld_aps_bOvVolFlt</t>
  </si>
  <si>
    <t>Under Voltage
运行欠压</t>
  </si>
  <si>
    <t>hld_aps_bUndVolFlt</t>
  </si>
  <si>
    <t>Standby Over Voltage
待机过压</t>
  </si>
  <si>
    <t>hld_aps_bStdbyOvVolFlt</t>
  </si>
  <si>
    <t>Standby Under Voltage
待机欠压</t>
  </si>
  <si>
    <t>hld_aps_bStdbyUndVolFlt</t>
  </si>
  <si>
    <t>Communication Error
通讯故障</t>
  </si>
  <si>
    <t>hld_aps_bCanFlt</t>
  </si>
  <si>
    <t>Over current Drop Frequeney
 过流降频</t>
  </si>
  <si>
    <t>hld_aps_bOvCurDropFrqFlt</t>
  </si>
  <si>
    <t>Over power Drop Frequency 
速度异常</t>
  </si>
  <si>
    <t>hld_aps_bOvPwrDropFrqFlt</t>
  </si>
  <si>
    <t>Comp_MCU_Temp
（驱动控制器内部温度）</t>
  </si>
  <si>
    <t>hld_aps_u8McuTmp</t>
  </si>
  <si>
    <t xml:space="preserve">Comp-Run-current                                      (压缩机运行电流) </t>
  </si>
  <si>
    <t>hld_aps_u8CompRunCur</t>
  </si>
  <si>
    <t>Comp-Input-DC-Voltage                                (压缩机电源电压）</t>
  </si>
  <si>
    <t>hld_aps_u8CompDcVol</t>
  </si>
  <si>
    <t>V</t>
  </si>
  <si>
    <t>Compressor_T-BOX</t>
  </si>
  <si>
    <t>0x248</t>
  </si>
  <si>
    <t>压缩运行机状态反馈</t>
  </si>
  <si>
    <t>压缩机实际转速
Ecomp_CompSpd_rpm</t>
  </si>
  <si>
    <t>hld_tms_u16EcompActSpd</t>
  </si>
  <si>
    <t>65535</t>
  </si>
  <si>
    <t>奥特佳/本菱</t>
  </si>
  <si>
    <t>压缩机输入电压
Ecomp_CompIpt_V</t>
  </si>
  <si>
    <t>hld_tms_u16EcompVol</t>
  </si>
  <si>
    <t>压缩机输入电流
Ecomp_CompIpt_A</t>
  </si>
  <si>
    <t>hld_tms_u16EcompCur</t>
  </si>
  <si>
    <t>压缩机消耗功率
Ecomp_CompCst_W</t>
  </si>
  <si>
    <t>hld_tms_u16EcompPwr</t>
  </si>
  <si>
    <t>W</t>
  </si>
  <si>
    <t>0x258</t>
  </si>
  <si>
    <t>压缩机故障状态反馈</t>
  </si>
  <si>
    <t>Ecomp_IvtTemp_DegC
压缩机控制器温度</t>
  </si>
  <si>
    <t>hld_tms_u8EcompCtlTemp</t>
  </si>
  <si>
    <t>电流传感器计算错误
Ecomp_SleepCause_CSE</t>
  </si>
  <si>
    <t>hld_tms_bEcompCtlCSE</t>
  </si>
  <si>
    <t>本菱</t>
  </si>
  <si>
    <t>激活失败
Ecomp_SleepCause_FS</t>
  </si>
  <si>
    <t>hld_tms_bEcompCtlFS</t>
  </si>
  <si>
    <t>短路
Ecomp_FaultCause_SC</t>
  </si>
  <si>
    <t>hld_tms_bEcompCtlSC</t>
  </si>
  <si>
    <t>高压电压过低
Ecomp_WaitCause_LV</t>
  </si>
  <si>
    <t>hld_tms_bEcompCtlLV</t>
  </si>
  <si>
    <t>高压电压过高
Ecomp_WaitCause_HV</t>
  </si>
  <si>
    <t>hld_tms_bEcompCtlHV</t>
  </si>
  <si>
    <t>温度过低
Ecomp_WaitCause_LT</t>
  </si>
  <si>
    <t>hld_tms_bEcompCtlLT</t>
  </si>
  <si>
    <t>逆变器温度过高
Ecomp_WaitCause_HT</t>
  </si>
  <si>
    <t>hld_tms_bEcompCtlHT</t>
  </si>
  <si>
    <t>CAN通讯异常
Ecomp_WaitCause_CAN</t>
  </si>
  <si>
    <t>hld_tms_bEcompCtlCANFlt</t>
  </si>
  <si>
    <t>电机相电流过大
Ecomp_WaitCause_OC</t>
  </si>
  <si>
    <t>hld_tms_bEcompCtlOC</t>
  </si>
  <si>
    <t>初始化状态
Ecomp_CompStt_Initialize</t>
  </si>
  <si>
    <t>hld_tms_bEcompIniSt</t>
  </si>
  <si>
    <t>0：无初始化,1:初始化完成</t>
  </si>
  <si>
    <t>预备状态
Ecomp_CompStt_Standby</t>
  </si>
  <si>
    <t>hld_tms_bEcompStanbySt</t>
  </si>
  <si>
    <t>0：停机,1:预备</t>
  </si>
  <si>
    <t>运转状态
Ecomp_CompStt_Operating</t>
  </si>
  <si>
    <t>hld_tms_bEcompOptSt</t>
  </si>
  <si>
    <t>0：停机,1:运转</t>
  </si>
  <si>
    <t>等待状态
Ecomp_CompStt_Wait</t>
  </si>
  <si>
    <t>hld_tms_bEcompWaitSt</t>
  </si>
  <si>
    <t>0：无故障,1:等待</t>
  </si>
  <si>
    <t>睡眠状态
Ecomp_CompStt_Sleep</t>
  </si>
  <si>
    <t>hld_tms_bEcompSlpSt</t>
  </si>
  <si>
    <t>0：无故障,1:睡眠</t>
  </si>
  <si>
    <t>故障状态
Ecomp_CompStt_Fault</t>
  </si>
  <si>
    <t>hld_tms_bEcompFltSt</t>
  </si>
  <si>
    <t>压缩机软件版本
Ecomp_InvSoftwareVer</t>
  </si>
  <si>
    <t>hld_tms_u16EcompSoftVer</t>
  </si>
  <si>
    <t>峰值电流保护
Over Peak Current</t>
  </si>
  <si>
    <t>hld_tms_bOvPeakCur</t>
  </si>
  <si>
    <t>奥特佳</t>
  </si>
  <si>
    <t>缺相
open-phase protection</t>
  </si>
  <si>
    <t>hld_tms_bOpPhaseFlt</t>
  </si>
  <si>
    <t>转子异常
Abnormal rotor：</t>
  </si>
  <si>
    <t>hld_tms_bRotAbnFlt</t>
  </si>
  <si>
    <t>15V电压故障
15V voltage failure</t>
  </si>
  <si>
    <t>hld_tms_bVol15Flt</t>
  </si>
  <si>
    <t>12V电压故障
12V voltage failure</t>
  </si>
  <si>
    <t>hld_tms_bVol12Flt</t>
  </si>
  <si>
    <t>过压降频
Over Power Drop Frequency</t>
  </si>
  <si>
    <t>hld_tms_bOvVolDrpFrqFlt</t>
  </si>
  <si>
    <t>低压降频
Low voltage Drop Frequency</t>
  </si>
  <si>
    <t>hld_tms_bLoVolDrpFrqFlt</t>
  </si>
  <si>
    <t>Air Compressor_T-BOX</t>
  </si>
  <si>
    <t>0x5D8</t>
  </si>
  <si>
    <t>Air Compressor SN码</t>
  </si>
  <si>
    <t>0x5E8</t>
  </si>
  <si>
    <t>Air Compressor 软硬件版本号</t>
  </si>
  <si>
    <t>0x5F8</t>
  </si>
  <si>
    <t>Air Compressor BootLoader软件版本号</t>
  </si>
  <si>
    <t>cod_AC_u8BtSymb</t>
  </si>
  <si>
    <t>cod_AC_u8BtPrjSymb</t>
  </si>
  <si>
    <t>cod_AC_u8BtPrjFirSymb</t>
  </si>
  <si>
    <t>cod_AC_u8BtPrjSecSymb</t>
  </si>
  <si>
    <t>%0x748</t>
  </si>
  <si>
    <t>%0x738</t>
  </si>
  <si>
    <t>SensorPanel_T-BOX</t>
  </si>
  <si>
    <t>0x569</t>
  </si>
  <si>
    <t>SensorPanel SN码</t>
  </si>
  <si>
    <t>u16PanelManFactuNum</t>
  </si>
  <si>
    <t>u8PanelPrdctYear</t>
  </si>
  <si>
    <t>u8PanelPrdctMonth</t>
  </si>
  <si>
    <t>u8PanelPrdctDay</t>
  </si>
  <si>
    <t>u32PanelPrdctSerialNum</t>
  </si>
  <si>
    <t>0x579</t>
  </si>
  <si>
    <t>SensorPanel 软硬件版本号</t>
  </si>
  <si>
    <t>u8PanelSoftSymbl</t>
  </si>
  <si>
    <t>u8PanelSoftPrjSymbl</t>
  </si>
  <si>
    <t>u8PanelSoftVersFirSymbl</t>
  </si>
  <si>
    <t>u8PanelSoftVersSecSymbl</t>
  </si>
  <si>
    <t>u8PanelHardSymbl</t>
  </si>
  <si>
    <t>u8PanelHardPrjSymbl</t>
  </si>
  <si>
    <t>u8PanelHardVersFirSymbl</t>
  </si>
  <si>
    <t>u8PanelHardVersSecSymbl</t>
  </si>
  <si>
    <t>0x589</t>
  </si>
  <si>
    <t>SensorPanel BootLoader软件版本号</t>
  </si>
  <si>
    <t>u8SnsrBtSoftSymb</t>
  </si>
  <si>
    <t>u8SnsrBtSoftPrjSymb</t>
  </si>
  <si>
    <t>u8SnsrBtSoftFirymb</t>
  </si>
  <si>
    <t>u8SnsrBtSoftSecSymb</t>
  </si>
  <si>
    <t>%0x769</t>
  </si>
  <si>
    <t>T-Box_SensorPanel</t>
  </si>
  <si>
    <t>%0x759</t>
  </si>
  <si>
    <t>LC-CCS</t>
  </si>
  <si>
    <t>0x40E</t>
  </si>
  <si>
    <t>灯光信号反馈</t>
  </si>
  <si>
    <t>添加数据长度沙朱杰改，以及编码格式</t>
  </si>
  <si>
    <t>u8leftTurnSig</t>
  </si>
  <si>
    <t>u8RightTurnSig</t>
  </si>
  <si>
    <t>u8HighBeamLight</t>
  </si>
  <si>
    <t>u8LowBeamLight</t>
  </si>
  <si>
    <t>u8LicensePlateLight</t>
  </si>
  <si>
    <t>u8ReverseLight</t>
  </si>
  <si>
    <t>u8BrakeLight</t>
  </si>
  <si>
    <t>u8AmbientLight</t>
  </si>
  <si>
    <t>u8HazardLight</t>
  </si>
  <si>
    <t>u8FrontSpotLight</t>
  </si>
  <si>
    <t>u8RearWorkLight</t>
  </si>
  <si>
    <t>u8RWelcomeAnimation</t>
  </si>
  <si>
    <t>u8ShutdownAnimation</t>
  </si>
  <si>
    <t>u8ChargingAnimation</t>
  </si>
  <si>
    <t>u8PartyAnimation</t>
  </si>
  <si>
    <t>u8PWelcomeAnimSty</t>
  </si>
  <si>
    <t>u8ShutdownAnimSty</t>
  </si>
  <si>
    <t>u8BrakelightAnimSty</t>
  </si>
  <si>
    <t>u8ChargingAnimSty</t>
  </si>
  <si>
    <t>添加数据长度</t>
  </si>
  <si>
    <t>u8PartyAnimSty</t>
  </si>
  <si>
    <t>u8PosiLgtCmd</t>
  </si>
  <si>
    <t>0x41E</t>
  </si>
  <si>
    <t>灯光故障状态</t>
  </si>
  <si>
    <t>Left Turn Signal Input Error
左转向输入信号错误</t>
  </si>
  <si>
    <t>hld_LC_LftTurnSigErr</t>
  </si>
  <si>
    <t>Right Turn Signal Input Error
右转向输入信号错误</t>
  </si>
  <si>
    <t>hld_LC_RgtTurnSigErr</t>
  </si>
  <si>
    <t>CAN Communication Fault
CAN通讯故障</t>
  </si>
  <si>
    <t>hld_LC_CANFlt</t>
  </si>
  <si>
    <t>LIN Communication Fault
Lin通讯故障</t>
  </si>
  <si>
    <t>hld_LC_LINFlt</t>
  </si>
  <si>
    <t>Left Front Combination Lamp Power Fault
左前组合灯电源故障</t>
  </si>
  <si>
    <t>hld_LC_LftFrCombLgtPwrFlt</t>
  </si>
  <si>
    <t>Left Front Combination Lamp High Beam Fault
左前组合灯远光灯故障</t>
  </si>
  <si>
    <t>hld_LC_LftFrHiBeamFlt</t>
  </si>
  <si>
    <t>Left Front Combination Lamp Turn Signal Fault
左前组合灯转向灯故障</t>
  </si>
  <si>
    <t>hld_LC_LftFrTurnLgtFlt</t>
  </si>
  <si>
    <t>Left Front Combination Lamp Low Beam Fault
左前组合灯近光故障</t>
  </si>
  <si>
    <t>hld_LC_LftFrLoBeamFlt</t>
  </si>
  <si>
    <t>Left Front Combination Lamp Daytime Running Light (DRL) Fault
左前组合灯日行灯故障</t>
  </si>
  <si>
    <t>hld_LC_LftFrDayLgtFlt</t>
  </si>
  <si>
    <t>Right Front Combination Lamp High Beam Fault
右前组合灯远光故障</t>
  </si>
  <si>
    <t>hld_LC_RgtFrHiBeamFlt</t>
  </si>
  <si>
    <t>Right Front Combination Lamp Power Fault
右前组合灯电源故障</t>
  </si>
  <si>
    <t>hld_LC_RgtFrCombLgtPwrFlt</t>
  </si>
  <si>
    <t>Right Front Combination Lamp Turn Signal Fault
右前组合灯转向灯故障</t>
  </si>
  <si>
    <t>hld_LC_RgtFrTurnLgtFlt</t>
  </si>
  <si>
    <t>Right Front Combination Lamp Low Beam Fault
右前组合灯近光故障</t>
  </si>
  <si>
    <t>hld_LC_RgtFrLoBeamFlt</t>
  </si>
  <si>
    <t>Right Front Combination Lamp Daytime Running Light (DRL) Fault
右前组合灯日行灯故障</t>
  </si>
  <si>
    <t>hld_LC_RgtFrDayLgtFlt</t>
  </si>
  <si>
    <t>Front Continuous Light Bar Power Fault
车前贯穿灯电源故障</t>
  </si>
  <si>
    <t>hld_LC_FrContiLgtPwrFlt</t>
  </si>
  <si>
    <t>Front Continuous Light Bar Fault
车前贯穿灯故障</t>
  </si>
  <si>
    <t>hld_LC_FrContiLgtFlt</t>
  </si>
  <si>
    <t>Logo Light Power Fault
Logo灯电源故障</t>
  </si>
  <si>
    <t>hld_LC_LogoLgtPwrFlt</t>
  </si>
  <si>
    <t>Logo Light Fault
Logo灯故障</t>
  </si>
  <si>
    <t>hld_LC_Logolightfult</t>
  </si>
  <si>
    <t>Rear Continuous Light Bar Power Fault
车后贯穿灯电源故障</t>
  </si>
  <si>
    <t>hld_LC_RrContiLgtPwrFlt</t>
  </si>
  <si>
    <t>Rear Continuous Light Bar Fault
车后贯穿灯故障</t>
  </si>
  <si>
    <t>hld_LC_RrContiLgtFlt</t>
  </si>
  <si>
    <t>Left Rear Combination Lamp Turn Signal Fault
左后组合灯转向灯故障</t>
  </si>
  <si>
    <t>hld_LC_LftRrTurnLgtFlt</t>
  </si>
  <si>
    <t>Left Rear Combination Lamp Brake Light Fault
左后组合灯刹车灯故障</t>
  </si>
  <si>
    <t>hld_LC_LftRrBrkLgtFlt</t>
  </si>
  <si>
    <t>Left Rear Combination Lamp Reverse Light Fault
左后组合灯倒车灯故障</t>
  </si>
  <si>
    <t>hld_LC_LftRrRevsLgtFlt</t>
  </si>
  <si>
    <t>Left Rear Combination Lamp Position Light Fault
左后组合灯位置灯故障</t>
  </si>
  <si>
    <t>hld_LC_LftRrPosLgtFlt</t>
  </si>
  <si>
    <t>Right Rear Combination Lamp Turn Signal Fault
右后组合灯转向灯故障</t>
  </si>
  <si>
    <t>hld_LC_RgtRrTurnLgtFlt</t>
  </si>
  <si>
    <t>Right Rear Combination Lamp Brake Light Fault
右后组合灯刹车灯故障</t>
  </si>
  <si>
    <t>hld_LC_RgtRrBrkLgtFlt</t>
  </si>
  <si>
    <t>Right Rear Combination Lamp Reverse Light Fault
右后组合灯倒车灯故障</t>
  </si>
  <si>
    <t>hld_LC_RgtRrRevsLgtFlt</t>
  </si>
  <si>
    <t>Right Rear Combination Lamp Position Light Fault
右后组合灯位置灯故障</t>
  </si>
  <si>
    <t>hld_LC_RgtRrPosLgtFlt</t>
  </si>
  <si>
    <t>Left Spotlight Fault
左射灯故障</t>
  </si>
  <si>
    <t>hld_LC_LftSptLgtFlt</t>
  </si>
  <si>
    <t>Right Spotlight Fault
右射灯故障</t>
  </si>
  <si>
    <t>hld_LC_RgtSptLgtFlt</t>
  </si>
  <si>
    <t>Trailer Interface Short Circuit Fault
拖车接口短路故障</t>
  </si>
  <si>
    <t>hld_LC_TrailerShortFlt</t>
  </si>
  <si>
    <t>Conter
循环计数</t>
  </si>
  <si>
    <t>hld_LC_u8conter</t>
  </si>
  <si>
    <t>0-255循环计数</t>
  </si>
  <si>
    <t>LC_T-BOX</t>
  </si>
  <si>
    <t>0x50E</t>
  </si>
  <si>
    <t>LC SN码</t>
  </si>
  <si>
    <t>u16LCManFactuNum</t>
  </si>
  <si>
    <t>u8LCPrdctYear</t>
  </si>
  <si>
    <t>u8LCPrdctMonth</t>
  </si>
  <si>
    <t>u8LCPrdctDay</t>
  </si>
  <si>
    <t>u32LCPrdctSerialNum</t>
  </si>
  <si>
    <t>0x51E</t>
  </si>
  <si>
    <t>LC 软硬件版本号</t>
  </si>
  <si>
    <t>u8LCSoftSymbl</t>
  </si>
  <si>
    <t>u8LCSoftPrjSymbl</t>
  </si>
  <si>
    <t>u8LCSoftVersFirSymbl</t>
  </si>
  <si>
    <t>u8LCSoftVersSecSymbl</t>
  </si>
  <si>
    <t>u8LCHardSymbl</t>
  </si>
  <si>
    <t>u8LCHardPrjSymbl</t>
  </si>
  <si>
    <t>u8LCHardVersFirSymbl</t>
  </si>
  <si>
    <t>u8LCHardVersSecSymbl</t>
  </si>
  <si>
    <t>0x52E</t>
  </si>
  <si>
    <t>LC BootLoader软件版本号</t>
  </si>
  <si>
    <t>u8LCBtSoftSymb</t>
  </si>
  <si>
    <t>u8LCBtSoftPrjSymb</t>
  </si>
  <si>
    <t>u8LCBtSoftFirymb</t>
  </si>
  <si>
    <t>u8LCBtSoftSecSymb</t>
  </si>
  <si>
    <t>%0x72E</t>
  </si>
  <si>
    <t>T-Box_LC</t>
  </si>
  <si>
    <t>%0x71E</t>
  </si>
  <si>
    <t>LBMS1</t>
  </si>
  <si>
    <t>0x26E</t>
  </si>
  <si>
    <t>Motorola MSB</t>
  </si>
  <si>
    <t>LBMS_CellSts1_100ms</t>
  </si>
  <si>
    <t>Cell Voltage1
电芯1电压</t>
  </si>
  <si>
    <t>u16lLbmsCellVol1</t>
  </si>
  <si>
    <t>0.001</t>
  </si>
  <si>
    <t>0.0</t>
  </si>
  <si>
    <t>Cell Voltage2
电芯2电压</t>
  </si>
  <si>
    <t>u16lLbmsCellVol2</t>
  </si>
  <si>
    <t>Cell Voltage3
电芯3电压</t>
  </si>
  <si>
    <t>u16lLbmsCellVol3</t>
  </si>
  <si>
    <t>39</t>
  </si>
  <si>
    <t>Cell Voltage4
电芯4电压</t>
  </si>
  <si>
    <t>u16lLbmsCellVol4</t>
  </si>
  <si>
    <t>55</t>
  </si>
  <si>
    <t>0x27E</t>
  </si>
  <si>
    <t>LBMS_CellSts2_100ms</t>
  </si>
  <si>
    <t>Cell  Average voltage 
电芯平均电压</t>
  </si>
  <si>
    <t>u16LbmsCellAverVol</t>
  </si>
  <si>
    <t>Cell  Max voltage
电芯最大电压</t>
  </si>
  <si>
    <t>u16LbmsCellMaxVol</t>
  </si>
  <si>
    <t>Cell  Min voltage
电芯最小电压</t>
  </si>
  <si>
    <t>u16LbmsCellMinVol</t>
  </si>
  <si>
    <t>Pos Cell Min Voltage
最小电压电芯编号</t>
  </si>
  <si>
    <t>u8LbmsPosCellMinVol</t>
  </si>
  <si>
    <t>52</t>
  </si>
  <si>
    <t>3</t>
  </si>
  <si>
    <t>1.0</t>
  </si>
  <si>
    <t>Pos Cell Max Voltage
最大电压电芯编号</t>
  </si>
  <si>
    <t>u8LbmsPosCellMaxVol</t>
  </si>
  <si>
    <t>0x28E</t>
  </si>
  <si>
    <t>LBMS_ElecSts_100ms</t>
  </si>
  <si>
    <t>CheckSum</t>
  </si>
  <si>
    <t>u8ElecCheckSum</t>
  </si>
  <si>
    <t>RollingCounter</t>
  </si>
  <si>
    <t>u8ElecCounter</t>
  </si>
  <si>
    <t>Battery current state
蓄电池电流状态</t>
  </si>
  <si>
    <t>u8ElecBatCurSt</t>
  </si>
  <si>
    <t>0: Normal
1: Invalid</t>
  </si>
  <si>
    <t>Battery voltage state
蓄电池电压状态</t>
  </si>
  <si>
    <t>u8ElecBatVolSt</t>
  </si>
  <si>
    <t>Battery current
蓄电池电流</t>
  </si>
  <si>
    <t>u32ElecBatCur</t>
  </si>
  <si>
    <t>-400.0</t>
  </si>
  <si>
    <t>Battery voltage
蓄电池电压</t>
  </si>
  <si>
    <t>u16ElecBatVol</t>
  </si>
  <si>
    <t>47</t>
  </si>
  <si>
    <t>0x29E</t>
  </si>
  <si>
    <t>LBMS_Fault_FB_100ms</t>
  </si>
  <si>
    <t>Pack Temperature Differencee Level1
温差过大2级</t>
  </si>
  <si>
    <t>hld_LBMS_PackTDLevel2</t>
  </si>
  <si>
    <t>0: Normal
1: Failure</t>
  </si>
  <si>
    <t>Pack Temperature Differencee Level1
温差过大1级</t>
  </si>
  <si>
    <t>hld_LBMS_PackTDLevel1</t>
  </si>
  <si>
    <t>Large static pressure difference
静态压差大</t>
  </si>
  <si>
    <t>hld_LBMS_LargeSPDifference</t>
  </si>
  <si>
    <t>Pack Internal Short Circuit
蓄电池内部短路</t>
  </si>
  <si>
    <t>hld_LBMS_PackISTCircuit</t>
  </si>
  <si>
    <t>Battery SOH Too Low
蓄电池SOH过低</t>
  </si>
  <si>
    <t>hld_LBMS_SOHTLow</t>
  </si>
  <si>
    <t>Pack  over Temperature Level3  
蓄电池过温二级故障</t>
  </si>
  <si>
    <t>hld_LBMS_PackOTLevel2</t>
  </si>
  <si>
    <t>Pack  Over Temperature Level3  
蓄电池过温三级故障</t>
  </si>
  <si>
    <t>hld_LBMS_PackOTLevel3</t>
  </si>
  <si>
    <t>Pack Temperature Rise too Fast
温升速率过快</t>
  </si>
  <si>
    <t>hld_LBMS_PackTRTFast</t>
  </si>
  <si>
    <t>Pack Thermal runaway
蓄电池热失控</t>
  </si>
  <si>
    <t>hld_LBMS_TRunaway</t>
  </si>
  <si>
    <t>Discharge short circuit level 3
放电短路3级</t>
  </si>
  <si>
    <t>hld_LBMS_DischrgSCLevel3</t>
  </si>
  <si>
    <t>Discharge short circuit level 2
放电短路2级</t>
  </si>
  <si>
    <t>hld_LBMS_DischrgSCLevel2</t>
  </si>
  <si>
    <t>Cell Over Level1
电芯过压一级故障</t>
  </si>
  <si>
    <t>hld_LBMS_CellOVLevel1</t>
  </si>
  <si>
    <t>Cell Over Level2
电芯过压二级故障</t>
  </si>
  <si>
    <t>hld_LBMS_CellOVLevel2</t>
  </si>
  <si>
    <t>Cell undervoltage Level1
电芯欠压一级故障</t>
  </si>
  <si>
    <t>hld_LBMS_CellUVLevel1</t>
  </si>
  <si>
    <t>Cell undervoltage Level2
电芯欠压二级故障</t>
  </si>
  <si>
    <t>hld_LBMS_CellUVLevel2</t>
  </si>
  <si>
    <t>Charge  Over Level1
充电过流一级故障</t>
  </si>
  <si>
    <t>hld_LBMS_ChrgOCLevel1</t>
  </si>
  <si>
    <t>Charge  Over Level2
充电过流二级故障</t>
  </si>
  <si>
    <t>hld_LBMS_ChrgOCLevel2</t>
  </si>
  <si>
    <t>Discharge  Over Level1
放电过流一级故障</t>
  </si>
  <si>
    <t>hld_LBMS_DischrgOCLevel1</t>
  </si>
  <si>
    <t>Discharge  Over Level2
放电过流二级故障</t>
  </si>
  <si>
    <t>hld_LBMS_DischrgOCLevel2</t>
  </si>
  <si>
    <t>Pack Over Level1
蓄电池过压一级故障</t>
  </si>
  <si>
    <t>hld_LBMS_PackOVLevel1</t>
  </si>
  <si>
    <t>Pack Over Level2
蓄电池过压二级故障</t>
  </si>
  <si>
    <t>hld_LBMS_PackOVLevel2</t>
  </si>
  <si>
    <t>Cell over temperature  Level1
电芯过温故障</t>
  </si>
  <si>
    <t>hld_LBMS_ModuleOTLevel1</t>
  </si>
  <si>
    <t>MOSFET  over Temperature Level1
MOS过温故障</t>
  </si>
  <si>
    <t>hld_LBMS_MOSFETOTLevel1</t>
  </si>
  <si>
    <t>Cell undervoltage Level3
蓄电池欠压三级故障</t>
  </si>
  <si>
    <t>hld_LBMS_PackUVLevel3</t>
  </si>
  <si>
    <t>Pack Over Level3
蓄电池过压三级故障</t>
  </si>
  <si>
    <t>hld_LBMS_PackOVLevel3</t>
  </si>
  <si>
    <t>Cell undervoltage Level3
电芯欠压三级故障</t>
  </si>
  <si>
    <t>hld_LBMS_CellUVLevel3</t>
  </si>
  <si>
    <t>Cell Over Level3
电芯过压三级故障</t>
  </si>
  <si>
    <t>hld_LBMS_CellOVLevel3</t>
  </si>
  <si>
    <t>0x36E</t>
  </si>
  <si>
    <t>LBMS_INFO1_100ms</t>
  </si>
  <si>
    <t>u8INF1CheckSum</t>
  </si>
  <si>
    <t>u8INF1Counter</t>
  </si>
  <si>
    <t>充电模式需求
Charge By Current Or Voltage</t>
  </si>
  <si>
    <t>u8INF1ChrgDemand</t>
  </si>
  <si>
    <t>2</t>
  </si>
  <si>
    <t>0: Charge no Request
1: Charge By Voltage
2: Charge By Current</t>
  </si>
  <si>
    <t>Request_ChargeCurrent
充电电流需求</t>
  </si>
  <si>
    <t>u32INF1ReqChrgCur</t>
  </si>
  <si>
    <t>Request_ChargeVoltag0
充电电压需求</t>
  </si>
  <si>
    <t>u16INF1ReqChrgVol0</t>
  </si>
  <si>
    <t>Rescue Mode Low Power Holding Time
等待救援模式下低压维持时间</t>
  </si>
  <si>
    <t>u8INF1RescuModHoldTm</t>
  </si>
  <si>
    <t>63</t>
  </si>
  <si>
    <t>%FF: Invalid</t>
  </si>
  <si>
    <t>0x37E</t>
  </si>
  <si>
    <t>LBMS_INFO2_100ms</t>
  </si>
  <si>
    <t>LBMS output current Persistent Time
LBMS输出电流持续时间</t>
  </si>
  <si>
    <t>u16INF2OutCurPersisTM</t>
  </si>
  <si>
    <t>%FFFF: Invalid</t>
  </si>
  <si>
    <t>Max Allowed Discharge Current 
蓄电池最大允许放电电流</t>
  </si>
  <si>
    <t>u16INF2DisChrgMaxCur</t>
  </si>
  <si>
    <t>0.1</t>
  </si>
  <si>
    <t>蓄电池最大允许充电电流
Max Allowed Charge Current</t>
  </si>
  <si>
    <t>u16INF2ChrgMaxCur</t>
  </si>
  <si>
    <t>26</t>
  </si>
  <si>
    <t>LowPowerSysState
LBMS低功耗状态信号</t>
  </si>
  <si>
    <t>u8INF2LoPwrSt</t>
  </si>
  <si>
    <t>45</t>
  </si>
  <si>
    <t>0: Inactive
1: Active</t>
  </si>
  <si>
    <t>0x38E</t>
  </si>
  <si>
    <t>LBMS_NM</t>
  </si>
  <si>
    <t>Source ECU Address
ECU源地址</t>
  </si>
  <si>
    <t>u8SourceECUAddress</t>
  </si>
  <si>
    <t>Repeat Message Request
重复报文发送请求</t>
  </si>
  <si>
    <t>u8RepeatMsgRequest</t>
  </si>
  <si>
    <t>0: Not Requested
1: Requested</t>
  </si>
  <si>
    <t>Active Wakeup Bit
主动唤醒标志位</t>
  </si>
  <si>
    <t>u8ActiveWkpBit</t>
  </si>
  <si>
    <t>0: No active wakeup
1: Active Wake up</t>
  </si>
  <si>
    <t>Partial Network Bit
PN标志位</t>
  </si>
  <si>
    <t>u8PartialNetworkBit</t>
  </si>
  <si>
    <t>0: Not PN
1: PN</t>
  </si>
  <si>
    <t>Wakeup Reasons
唤醒原因</t>
  </si>
  <si>
    <t>u8WakeupReasons</t>
  </si>
  <si>
    <t>6</t>
  </si>
  <si>
    <t>0: Init
1: NMPDUReceived
2: Wake up Trunk_Unlock_W_IN
3: Over charge current
4: Over uncharge current
5: Over voltage
6: Low voltage
7: SOC low
8: RTC</t>
  </si>
  <si>
    <t>Network Management State
指示网络管理状态</t>
  </si>
  <si>
    <t>u8NetworkManagementState</t>
  </si>
  <si>
    <t>0: RepeatMessageState
1: OtherOperationState</t>
  </si>
  <si>
    <t>LBMS stay wake reason diagnosis
LBMS保持唤醒原因诊断模式</t>
  </si>
  <si>
    <t>u8LBmsDiagStAwake</t>
  </si>
  <si>
    <t>LBMS stay wake reason Trunk_Unlock_W_IN
LBMS保持唤醒原因尾门开关硬线唤醒</t>
  </si>
  <si>
    <t>u8LBmsTrunkUlockAwake</t>
  </si>
  <si>
    <t>27</t>
  </si>
  <si>
    <t>LBMS_StaywakeRsn_ Over charge current
LBMS保持唤醒原因过充唤醒</t>
  </si>
  <si>
    <t>u8LBmsOvChrgAwake</t>
  </si>
  <si>
    <t>28</t>
  </si>
  <si>
    <t>LBMS_StaywakeRsn_Over uncharge current
LBMS保持唤醒原因过放唤醒</t>
  </si>
  <si>
    <t>u8LBmsOvDisChrgAwake</t>
  </si>
  <si>
    <t>29</t>
  </si>
  <si>
    <t>LBMS_StaywakeRsn_ Over voltage
LBMS保持唤醒原因过压唤醒</t>
  </si>
  <si>
    <t>u8LBmsOvVolAwake</t>
  </si>
  <si>
    <t>30</t>
  </si>
  <si>
    <t>LBMS_StaywakeRsn_Low voltage
LBMS保持唤醒原因欠压唤醒</t>
  </si>
  <si>
    <t>u8LBmsUndVolAwake</t>
  </si>
  <si>
    <t>31</t>
  </si>
  <si>
    <t>LBMS_StaywakeRsn_SOC low
LBMS保持唤醒原因SOC低唤醒</t>
  </si>
  <si>
    <t>u8LBmsLoSocAwake</t>
  </si>
  <si>
    <t>32</t>
  </si>
  <si>
    <t>LBMS_StaywakeRsn_RTC
LBMS保持唤醒原因RTC唤醒</t>
  </si>
  <si>
    <t>u8LBmsRtcAwake</t>
  </si>
  <si>
    <t>33</t>
  </si>
  <si>
    <t>LBMS_StaywakeRsn_NM
LBMS保持唤醒原因NM唤醒</t>
  </si>
  <si>
    <t>u8LBmsNMAwake</t>
  </si>
  <si>
    <t>34</t>
  </si>
  <si>
    <t>0x39E</t>
  </si>
  <si>
    <t>LBMS_SysSts_100ms</t>
  </si>
  <si>
    <t>u8LBMS1SysStsCheckSum</t>
  </si>
  <si>
    <t>u8LBMS1SysStsRollingCounter</t>
  </si>
  <si>
    <t>Low voltage battery system 
低压蓄电池系统状态</t>
  </si>
  <si>
    <t>u8LoVolBatSysSt</t>
  </si>
  <si>
    <t>Low voltage battery working state
低压蓄电池工作状态</t>
  </si>
  <si>
    <t>u8LoVolBatSt</t>
  </si>
  <si>
    <t>0: Sleep
1: DeepSleep
2: Mos1 and Mos 2 close
3: Mos1 and Mos2 open
5: Mos1 close，Mos 2 open
4: Mos2 close，Mos1 open</t>
  </si>
  <si>
    <t>Mos1 State
MOS1状态</t>
  </si>
  <si>
    <t>u8Mos1State</t>
  </si>
  <si>
    <t>0: close
1: open
2: Invalid</t>
  </si>
  <si>
    <t>Mos2 State
MOS2状态</t>
  </si>
  <si>
    <t>u8Mos2State</t>
  </si>
  <si>
    <t>Wake up the hard wire
唤醒硬线状态</t>
  </si>
  <si>
    <t>u8WakeupHardwire</t>
  </si>
  <si>
    <t>0: hang in the air
1: Low effective
2: Invalid</t>
  </si>
  <si>
    <t>Low voltage battery failure level
低压蓄电池故障等级</t>
  </si>
  <si>
    <t>u8LoVolBatFailLvl</t>
  </si>
  <si>
    <t>0: Normal
1: Failure level1
2: Failure level2
3: Failure level3</t>
  </si>
  <si>
    <t>Cell1 Balance Status
电芯1均衡状态</t>
  </si>
  <si>
    <t>u8Cell1BalanceStatus</t>
  </si>
  <si>
    <t>0: no Balance
1: Balance</t>
  </si>
  <si>
    <t>Cell2 Balance Status
电芯2均衡状态</t>
  </si>
  <si>
    <t>u8Cell2BalanceStatus</t>
  </si>
  <si>
    <t>Cell3 Balance Status
电芯3均衡状态</t>
  </si>
  <si>
    <t>u8Cell3BalanceStatus</t>
  </si>
  <si>
    <t>Cell4 Balance Status
电芯4均衡状态</t>
  </si>
  <si>
    <t>u8Cell4BalanceStatus</t>
  </si>
  <si>
    <t>DeepSleepTimeFeedback
深度睡眠时间反馈</t>
  </si>
  <si>
    <t>u8DeepSleppTimeFB</t>
  </si>
  <si>
    <t>37</t>
  </si>
  <si>
    <t>day</t>
  </si>
  <si>
    <t>DeepSleepWorkStateFeedback
深度休眠状态反馈</t>
  </si>
  <si>
    <t>u8DeepWorkStateFB</t>
  </si>
  <si>
    <t>38</t>
  </si>
  <si>
    <t>Battery SOH
蓄电池SOH</t>
  </si>
  <si>
    <t>u8BatterySoh</t>
  </si>
  <si>
    <t>Battery SOE
蓄电池SOE</t>
  </si>
  <si>
    <t>u8BatterySOE</t>
  </si>
  <si>
    <t>54</t>
  </si>
  <si>
    <t>Battery SOP
蓄电池SOP</t>
  </si>
  <si>
    <t>u8BatterySOP</t>
  </si>
  <si>
    <t>56</t>
  </si>
  <si>
    <t>Battery SOC 
蓄电池SOC</t>
  </si>
  <si>
    <t>u8BatterySOC</t>
  </si>
  <si>
    <t>0x56E</t>
  </si>
  <si>
    <t>LBMS_TempInfo_100ms</t>
  </si>
  <si>
    <t xml:space="preserve">u8LBMSTempInfoCheckSum </t>
  </si>
  <si>
    <t>u8LBMSTempInfoRollingCnt</t>
  </si>
  <si>
    <t>Sensor Temperature 1
温度1</t>
  </si>
  <si>
    <t>u16LBMS1SensorTemp1</t>
  </si>
  <si>
    <t>9</t>
  </si>
  <si>
    <t>0.5</t>
  </si>
  <si>
    <t>-50.0</t>
  </si>
  <si>
    <t>Sensor Temperature 2
温度2</t>
  </si>
  <si>
    <t>u16LBMS1SensorTemp2</t>
  </si>
  <si>
    <t>Battery temperature
蓄电池温度</t>
  </si>
  <si>
    <t>u16BatteryTemp</t>
  </si>
  <si>
    <t>36</t>
  </si>
  <si>
    <t>Battery temperature state
蓄电池温度状态</t>
  </si>
  <si>
    <t>u8LBMS1BatterytempState</t>
  </si>
  <si>
    <t>LBMS_T-BOX</t>
  </si>
  <si>
    <t>0x57E</t>
  </si>
  <si>
    <t>LBMS SN码</t>
  </si>
  <si>
    <t>u16LbmsManFactuNum</t>
  </si>
  <si>
    <t>u8LbmsPrdctYear</t>
  </si>
  <si>
    <t>u8LbmsPrdctMonth</t>
  </si>
  <si>
    <t>u8LbmsPrdctday</t>
  </si>
  <si>
    <t>u32LbmsPrdctSerialNum</t>
  </si>
  <si>
    <t>0x58E</t>
  </si>
  <si>
    <t>LBMS 软硬件版本号</t>
  </si>
  <si>
    <t>0x59E</t>
  </si>
  <si>
    <t>LBMS BootLoader软件版本号</t>
  </si>
  <si>
    <t>u8LBmsBtSoftSymb</t>
  </si>
  <si>
    <t>u8LBmsBtSoftPrjSymb</t>
  </si>
  <si>
    <t>u8LBmsBtSoftFirymb</t>
  </si>
  <si>
    <t>u8LBmsBtSoftSecSymb</t>
  </si>
  <si>
    <t>%0x74E</t>
  </si>
  <si>
    <t>T-BOX_LBMS</t>
  </si>
  <si>
    <t>%0x735E</t>
  </si>
  <si>
    <t>Winch_T-BOX</t>
  </si>
  <si>
    <t>0x2AE</t>
  </si>
  <si>
    <t>Winch State Feedback</t>
  </si>
  <si>
    <t>Winch Motor RPM
绞盘电机转速</t>
  </si>
  <si>
    <t>hld_winch_i16MotSpeed</t>
  </si>
  <si>
    <t>正：伸出；负：收回</t>
  </si>
  <si>
    <t>Winch Motor Temperature
绞盘电机温度</t>
  </si>
  <si>
    <t>hld_winch_u8MotTmp</t>
  </si>
  <si>
    <t>-40 ℃</t>
  </si>
  <si>
    <t>Winch Controller IGBT Temperature
绞盘控制器温度</t>
  </si>
  <si>
    <t>hld_winch_u8McuTmp</t>
  </si>
  <si>
    <t>Winch Controller Bus Current
绞盘母线电流</t>
  </si>
  <si>
    <t>hld_winch_i8BusCurrent</t>
  </si>
  <si>
    <t>-127~127</t>
  </si>
  <si>
    <t>Winch Controller Phase Current
绞盘相线电流</t>
  </si>
  <si>
    <t>hld_winch_u8PhaseCurrent</t>
  </si>
  <si>
    <t>0~255</t>
  </si>
  <si>
    <t>Winch Controller Bus Voltage
绞盘母线电压</t>
  </si>
  <si>
    <t>hld_winch_u16BusVoltage</t>
  </si>
  <si>
    <t>0-1023</t>
  </si>
  <si>
    <t>za</t>
  </si>
  <si>
    <t>Winch Direction
绞盘电机方向</t>
  </si>
  <si>
    <t>hld_winch_u8MotDirection</t>
  </si>
  <si>
    <t>00：无动作
01：伸出
10：收回
11：无效</t>
  </si>
  <si>
    <t>Winch Motor State
绞盘电机状态</t>
  </si>
  <si>
    <t>hld_winch_u8MotState</t>
  </si>
  <si>
    <r>
      <t xml:space="preserve">
</t>
    </r>
    <r>
      <rPr>
        <sz val="12"/>
        <color rgb="FFFF0000"/>
        <rFont val="楷体"/>
        <family val="3"/>
        <charset val="134"/>
      </rPr>
      <t>0:未上高压
1:绞盘ready,可工作</t>
    </r>
  </si>
  <si>
    <t>0x2BE</t>
  </si>
  <si>
    <t xml:space="preserve"> 无故障不发, 故障时发送，故障消失后停止发送</t>
  </si>
  <si>
    <t>Winch Motor Stall Fault
绞盘电机堵转故障</t>
  </si>
  <si>
    <t>hld_winch_bMotLockedFlt</t>
  </si>
  <si>
    <t>0:Normal
1:Fault</t>
  </si>
  <si>
    <t>增加故障码编号</t>
  </si>
  <si>
    <t>Winch Over Voltage Fault
绞盘过压故障</t>
  </si>
  <si>
    <t>hld_winch_bOvVoltageFlt</t>
  </si>
  <si>
    <t>Winch Under Voltage Fault
绞盘欠压故障</t>
  </si>
  <si>
    <t>hld_winch_bUnderVoltageFlt</t>
  </si>
  <si>
    <t>Winch Over Current Fault
绞盘过流故障</t>
  </si>
  <si>
    <t>hld_winch_bOvCurrentFlt</t>
  </si>
  <si>
    <t>Winch Motor Temperature High Fault
绞盘电机过温故障</t>
  </si>
  <si>
    <t>hld_winch_bOvTmpFlt</t>
  </si>
  <si>
    <t>Winch Controller Temperature High Fault
绞盘 控制器IGBT过温故障</t>
  </si>
  <si>
    <t>hld_winch_bMcuIGBTFlt</t>
  </si>
  <si>
    <t>CAN Communication Timeout Fault
CAN 通讯超时故障</t>
  </si>
  <si>
    <t>hld_winch_bCANTimeoutFlt</t>
  </si>
  <si>
    <t>CAN Communication Fault
CAN 通讯故障</t>
  </si>
  <si>
    <t>hld_winch_b12vFlt</t>
  </si>
  <si>
    <t>Winch Controller Precharge Failure
绞盘控制器预充失败</t>
  </si>
  <si>
    <t>hld_winch_bWinchPreChargFail</t>
  </si>
  <si>
    <t>0x5AE</t>
  </si>
  <si>
    <t>Winch SN码</t>
  </si>
  <si>
    <t>u16WinchManFactuNum</t>
  </si>
  <si>
    <t>u8WinchPrdctYear</t>
  </si>
  <si>
    <t>u8WinchPrdctMonth</t>
  </si>
  <si>
    <t>u8WinchPrdctday</t>
  </si>
  <si>
    <t>u32WinchPrdctSerialNum</t>
  </si>
  <si>
    <t>0x5BE</t>
  </si>
  <si>
    <t>Winch 软硬件版本号</t>
  </si>
  <si>
    <t>0x5CE</t>
  </si>
  <si>
    <t>Winch BootLoader软件版本号</t>
  </si>
  <si>
    <t>u8WincBtSoftSymb</t>
  </si>
  <si>
    <t>u8WincBtSoftPrjSymb</t>
  </si>
  <si>
    <t>u8WincBtSoftFirymb</t>
  </si>
  <si>
    <t>u8WincBtSoftSecSymb</t>
  </si>
  <si>
    <t>%0x76E</t>
  </si>
  <si>
    <t>%0x75E</t>
  </si>
  <si>
    <t>0x20C</t>
  </si>
  <si>
    <t>T-BOX Command</t>
  </si>
  <si>
    <t xml:space="preserve"> 无则不发</t>
  </si>
  <si>
    <t>T-box Remote Vehicle Start Cmd
远程开机</t>
  </si>
  <si>
    <t>hld_Tbox_u8RemotStartCmd</t>
  </si>
  <si>
    <t>0：无动作；
1：开机；
2：关机；
3：无动作；</t>
  </si>
  <si>
    <t>T-box Limp home Cmd
限行</t>
  </si>
  <si>
    <t>hld_Tbox_u8LimpHomeCmd</t>
  </si>
  <si>
    <t>0：无动作；
1：限行；
2：解锁；
3：无动作；
%关机再次开机后限行%</t>
  </si>
  <si>
    <t>T-box Vehicle Password Reset Cmd 
重设密码</t>
  </si>
  <si>
    <t>hld_Tbox_u8PwdResetCmd</t>
  </si>
  <si>
    <t>0：无操作；
1：进入重设密码界面；</t>
  </si>
  <si>
    <t>T-box Bluetooth Key Pairing Cmd
配对蓝牙钥匙</t>
  </si>
  <si>
    <t>hld_Tbox_u8BluePairCmd</t>
  </si>
  <si>
    <t>0：无操作；
1：配对新钥匙；</t>
  </si>
  <si>
    <t>T-box Ask Download or Not Now?
是否下载更新</t>
  </si>
  <si>
    <t>hld_Tbox_u8AskDownCmd</t>
  </si>
  <si>
    <t>0：否；
1：是；
%P档时发送：%</t>
  </si>
  <si>
    <t>T-box Ask Update or Not Now?
有更新是否更新</t>
  </si>
  <si>
    <t>hld_Tbox_u8AskUpdateCmd</t>
  </si>
  <si>
    <t>T-box Forward Maximum Speed Set
前进最高车速设置</t>
  </si>
  <si>
    <t>hld_Tbox_u8FrMaxSpdSet</t>
  </si>
  <si>
    <t>Max Forward Speed
前进最高车速
发0无设置</t>
  </si>
  <si>
    <t>T-box Reverse Maximum Speed Set
后退最高车速设置</t>
  </si>
  <si>
    <t>hld_Tbox_u8RrMaxSpdSet</t>
  </si>
  <si>
    <t>预约充电次数</t>
  </si>
  <si>
    <t>hld_ccs_u8SchdChgCnt</t>
  </si>
  <si>
    <t>0：仅本次（下电清除预约时间）；
1：每次（下电记忆预约时间）；
2：无预约充电设置；</t>
  </si>
  <si>
    <t>预约充电开始（h)
Scheduled charging</t>
  </si>
  <si>
    <t>hld_ccs_u8SchdChgStartHour</t>
  </si>
  <si>
    <t>24小时制，无设置发31</t>
  </si>
  <si>
    <t>0~24</t>
  </si>
  <si>
    <t>预约充电开始（min)
Scheduled charging</t>
  </si>
  <si>
    <t>hld_ccs_u8SchdChgStartMinu</t>
  </si>
  <si>
    <t>无设置发63</t>
  </si>
  <si>
    <t>minute</t>
  </si>
  <si>
    <t>预约充电结束（h)
Scheduled charging</t>
  </si>
  <si>
    <t>hld_ccs_u8SchdChgStopHour</t>
  </si>
  <si>
    <t>预约充电结束（min)
Scheduled charging</t>
  </si>
  <si>
    <t>hld_ccs_u8SchdChgStopMinu</t>
  </si>
  <si>
    <t>远程锁车
Remote door locking</t>
  </si>
  <si>
    <t>hld_ccs_u8RemotedoorLock</t>
  </si>
  <si>
    <t>0：解锁
1：锁车</t>
  </si>
  <si>
    <t>CheckSum                                Mcu1CheckSum</t>
  </si>
  <si>
    <t>u8TboxCheckSum1</t>
  </si>
  <si>
    <t>%Checksum arithmetic is  byte7 : ~
（byte 0 XOR byte 1 XOR byte2 XOR byte3 XOR byte4 XOR byte5 XOR byte6）.
CheckSum值的计算公式为byte7等于 byte0异或byte1异或byte2异或byte3异或byte4异或byte5异或byte6得到的值再取反；
如果CheckSum信号值不正确，认为该帧信息无效；</t>
  </si>
  <si>
    <t>109-1</t>
  </si>
  <si>
    <t>0x4FC</t>
  </si>
  <si>
    <t>T-BOX远程控车</t>
  </si>
  <si>
    <t>远程启动空调
Remote air conditioner activation</t>
  </si>
  <si>
    <t>u8RemtAirAct</t>
  </si>
  <si>
    <t>0:Off；
1:Cool；
2:Heat；
3:无设置；</t>
  </si>
  <si>
    <t>远程空调温度设定
Remote air conditioner temperature setting</t>
  </si>
  <si>
    <t>u8RemtAirTempSet</t>
  </si>
  <si>
    <r>
      <rPr>
        <sz val="12"/>
        <color rgb="FF000000"/>
        <rFont val="楷体"/>
        <family val="3"/>
        <charset val="134"/>
      </rPr>
      <t>Temperature16</t>
    </r>
    <r>
      <rPr>
        <sz val="12"/>
        <color rgb="FF000000"/>
        <rFont val="宋体"/>
        <family val="3"/>
        <charset val="134"/>
      </rPr>
      <t>º</t>
    </r>
    <r>
      <rPr>
        <sz val="12"/>
        <color rgb="FF000000"/>
        <rFont val="楷体"/>
        <family val="3"/>
        <charset val="134"/>
      </rPr>
      <t>C-32</t>
    </r>
    <r>
      <rPr>
        <sz val="12"/>
        <color rgb="FF000000"/>
        <rFont val="宋体"/>
        <family val="3"/>
        <charset val="134"/>
      </rPr>
      <t>º</t>
    </r>
    <r>
      <rPr>
        <sz val="12"/>
        <color rgb="FF000000"/>
        <rFont val="楷体"/>
        <family val="3"/>
        <charset val="134"/>
      </rPr>
      <t>C（无设置发40）</t>
    </r>
  </si>
  <si>
    <t>空调开启时长（min)
Refrigerator operation duration（min)</t>
  </si>
  <si>
    <t>u8RemtAirONDuriTm</t>
  </si>
  <si>
    <t>最大制冷</t>
  </si>
  <si>
    <t>bAirMaxCoolEnbl</t>
  </si>
  <si>
    <t>0:无请求；
1：请求；</t>
  </si>
  <si>
    <t>最大制热</t>
  </si>
  <si>
    <t>bAirMaxHeatEnbl</t>
  </si>
  <si>
    <t>0：无请求
1：请求</t>
  </si>
  <si>
    <t>远程启动冰箱
Remote fridge activation</t>
  </si>
  <si>
    <t>bRemtFrigeAct</t>
  </si>
  <si>
    <t>0:Off；
1:启动；
2：无设置；</t>
  </si>
  <si>
    <t>远程冰箱温度设定
Remote fridge temperature setting</t>
  </si>
  <si>
    <t>u8RemtFrigeTempSet</t>
  </si>
  <si>
    <r>
      <rPr>
        <sz val="12"/>
        <color rgb="FF000000"/>
        <rFont val="楷体"/>
        <family val="3"/>
        <charset val="134"/>
      </rPr>
      <t>Temperature-8</t>
    </r>
    <r>
      <rPr>
        <sz val="12"/>
        <color rgb="FF000000"/>
        <rFont val="宋体"/>
        <family val="3"/>
        <charset val="134"/>
      </rPr>
      <t>º</t>
    </r>
    <r>
      <rPr>
        <sz val="12"/>
        <color rgb="FF000000"/>
        <rFont val="楷体"/>
        <family val="3"/>
        <charset val="134"/>
      </rPr>
      <t>C-10</t>
    </r>
    <r>
      <rPr>
        <sz val="12"/>
        <color rgb="FF000000"/>
        <rFont val="宋体"/>
        <family val="3"/>
        <charset val="134"/>
      </rPr>
      <t>º</t>
    </r>
    <r>
      <rPr>
        <sz val="12"/>
        <color rgb="FF000000"/>
        <rFont val="楷体"/>
        <family val="3"/>
        <charset val="134"/>
      </rPr>
      <t>C（无设置发40）</t>
    </r>
  </si>
  <si>
    <t>-8℃~10℃</t>
  </si>
  <si>
    <t>智能补电
Intelligent Supplementary Charging</t>
  </si>
  <si>
    <t>bIntelliSupChrg</t>
  </si>
  <si>
    <t>0:Off；
1:on（12V电压低压11.5V发on）；</t>
  </si>
  <si>
    <t>%冰箱开启时间（h)
%fridge start time（h)</t>
  </si>
  <si>
    <t>u8FrigeONStartTmH</t>
  </si>
  <si>
    <t>%冰箱开启时间（min)
%fridge start time（min)</t>
  </si>
  <si>
    <t>u8FrigeONStartTmMi</t>
  </si>
  <si>
    <t>%冰箱启动次数
%fridge startup count</t>
  </si>
  <si>
    <t>u8FrigeONCnt</t>
  </si>
  <si>
    <t>冰箱开启时长（min)
Refrigerator operation duration（min)</t>
  </si>
  <si>
    <t>u8FrigeONDuriTmMi</t>
  </si>
  <si>
    <t>空调开关
Air conditioner switch</t>
  </si>
  <si>
    <t>hld_ccs_u8AirConSwitch</t>
  </si>
  <si>
    <t>0:OFF;
1:ON;
2:无设置；</t>
  </si>
  <si>
    <t>0x40C</t>
  </si>
  <si>
    <t>T-BOX 网络状态</t>
  </si>
  <si>
    <t>20240627新增</t>
  </si>
  <si>
    <t>Positioning state</t>
  </si>
  <si>
    <t>u8TboxPositioningState</t>
  </si>
  <si>
    <r>
      <rPr>
        <sz val="10"/>
        <color rgb="FF000000"/>
        <rFont val="等线"/>
        <family val="3"/>
        <charset val="134"/>
      </rPr>
      <t>0</t>
    </r>
    <r>
      <rPr>
        <sz val="10"/>
        <color rgb="FF000000"/>
        <rFont val="宋体"/>
        <family val="3"/>
        <charset val="134"/>
      </rPr>
      <t>:Not position; 1:Position</t>
    </r>
  </si>
  <si>
    <t>GPS antenna failure</t>
  </si>
  <si>
    <t>u8TboxGPSantennafailure</t>
  </si>
  <si>
    <r>
      <rPr>
        <sz val="10"/>
        <color rgb="FF000000"/>
        <rFont val="等线"/>
        <family val="3"/>
        <charset val="134"/>
      </rPr>
      <t>0</t>
    </r>
    <r>
      <rPr>
        <sz val="10"/>
        <color rgb="FF000000"/>
        <rFont val="宋体"/>
        <family val="3"/>
        <charset val="134"/>
      </rPr>
      <t>:ok ; 1:Failure</t>
    </r>
  </si>
  <si>
    <t>添加数据长度，沙朱杰改</t>
  </si>
  <si>
    <t>4G state</t>
  </si>
  <si>
    <t>u8Tbox4GState</t>
  </si>
  <si>
    <r>
      <rPr>
        <sz val="10"/>
        <color rgb="FF000000"/>
        <rFont val="等线"/>
        <family val="3"/>
        <charset val="134"/>
      </rPr>
      <t>0</t>
    </r>
    <r>
      <rPr>
        <sz val="10"/>
        <color rgb="FF000000"/>
        <rFont val="宋体"/>
        <family val="3"/>
        <charset val="134"/>
      </rPr>
      <t>:Not log in; 1:Log in</t>
    </r>
  </si>
  <si>
    <t>海拔高度
Altitude</t>
  </si>
  <si>
    <t>u8Altitude</t>
  </si>
  <si>
    <t>109-2</t>
  </si>
  <si>
    <t>0x41C</t>
  </si>
  <si>
    <t>T-BOX MAC address high byte</t>
  </si>
  <si>
    <t>MAC address high byte</t>
  </si>
  <si>
    <t>u64TboxMacaddressHighbyte</t>
  </si>
  <si>
    <t>109-3</t>
  </si>
  <si>
    <t>0x42C</t>
  </si>
  <si>
    <t>T-BOX MAC address low byte</t>
  </si>
  <si>
    <t>MAC address low byte</t>
  </si>
  <si>
    <t>u64TboxMacaddressLowbyte</t>
  </si>
  <si>
    <t>The first digit is 0, and the remaining 15 digits are pure Numbers
For example：0865546040447027</t>
  </si>
  <si>
    <t>109-4</t>
  </si>
  <si>
    <t>0x44C</t>
  </si>
  <si>
    <t>T-BOX 时间</t>
  </si>
  <si>
    <t>Year</t>
  </si>
  <si>
    <t>u16TboxYear</t>
  </si>
  <si>
    <t>转成16进制，2025年即为0x7E9,报文发送E9 07</t>
  </si>
  <si>
    <t>year</t>
  </si>
  <si>
    <t>Month</t>
  </si>
  <si>
    <t>u8TboxMonth</t>
  </si>
  <si>
    <t>转成16进制，11月即为0xB,报文发送B</t>
  </si>
  <si>
    <t>month</t>
  </si>
  <si>
    <t>Date</t>
  </si>
  <si>
    <t>u8TboxDate</t>
  </si>
  <si>
    <t>转成16进制</t>
  </si>
  <si>
    <t>Hour</t>
  </si>
  <si>
    <t>u8TboxHour</t>
  </si>
  <si>
    <t>Minute</t>
  </si>
  <si>
    <t>u8TboxMinute</t>
  </si>
  <si>
    <t>Second</t>
  </si>
  <si>
    <t>u8TboxSecond</t>
  </si>
  <si>
    <t>second</t>
  </si>
  <si>
    <t>0x50C</t>
  </si>
  <si>
    <t>T-BOX SN码</t>
  </si>
  <si>
    <t>u16TboxManFactuNum</t>
  </si>
  <si>
    <t>u8TboxPrdctYear</t>
  </si>
  <si>
    <t>u8TboxPrdctMonth</t>
  </si>
  <si>
    <t>u8TboxPrdctday</t>
  </si>
  <si>
    <t>u32TboxPrdctSerialNum</t>
  </si>
  <si>
    <t>0x51C</t>
  </si>
  <si>
    <t>T-BOX 软硬件版本号</t>
  </si>
  <si>
    <t>0x52C</t>
  </si>
  <si>
    <t>T-BOX BootLoader软件版本号</t>
  </si>
  <si>
    <t>u8TboxBtSoftSymb</t>
  </si>
  <si>
    <t>u8TboxBtSoftPrjSymb</t>
  </si>
  <si>
    <t>u8TboxBtSoftFirymb</t>
  </si>
  <si>
    <t>u8TboxBtSoftSecSymb</t>
  </si>
  <si>
    <t>T-BOX-ALL</t>
  </si>
  <si>
    <t>%0x7DF</t>
  </si>
  <si>
    <t>UDS 功能请求</t>
  </si>
  <si>
    <t>TMS-VCU2</t>
  </si>
  <si>
    <t>0x328</t>
  </si>
  <si>
    <t>TMS电子阀执行反馈2</t>
  </si>
  <si>
    <t>室内空调侧冷媒温度
Indoor air conditioning side refrigerant temperature</t>
  </si>
  <si>
    <t>hld_tms_u8IndoAcRefriTmp</t>
  </si>
  <si>
    <t>室内空调侧冷媒压力
Indoor air conditioning side refrigerant pressure</t>
  </si>
  <si>
    <t>hld_tms_u8IndoAcRefriPres</t>
  </si>
  <si>
    <t>Mpa</t>
  </si>
  <si>
    <t>电池侧冷媒温度
battery Side refrigerant temperature</t>
  </si>
  <si>
    <t>hld_tms_u8SidRefriTmp</t>
  </si>
  <si>
    <t>电池侧冷媒压力
batterySide refrigerant pressure</t>
  </si>
  <si>
    <t>hld_tms_u8SidRefriPres</t>
  </si>
  <si>
    <t>两位三通阀制冷/制热模式
Two-Position Three-Way Valve Cooling/Heating Mode</t>
  </si>
  <si>
    <t>hld_tms_b3ValvCtlMode</t>
  </si>
  <si>
    <t>0：制冷，1：制热</t>
  </si>
  <si>
    <t>EXV_A_Act_Position</t>
  </si>
  <si>
    <t>hld_tms_u8EXV3Pos</t>
  </si>
  <si>
    <t>全流通阀A位置状态
00-FA:Valid value
FB-FF:Invalid value</t>
  </si>
  <si>
    <t>0xFA</t>
  </si>
  <si>
    <t>EXV_B_Act_Position</t>
  </si>
  <si>
    <t>hld_tms_u8EXVBPos</t>
  </si>
  <si>
    <t>全流通阀B位置状态
00-FA:Valid value
FB-FF:Invalid value</t>
  </si>
  <si>
    <t>EXV_C_Act_Position</t>
  </si>
  <si>
    <t>hld_tms_u8EXVCPos</t>
  </si>
  <si>
    <t>chiller电子膨胀阀位置状态
00-FA:Valid value
FB-FF:Invalid value</t>
  </si>
  <si>
    <t>TMS-VCU3</t>
  </si>
  <si>
    <t>0x338</t>
  </si>
  <si>
    <t>多通阀/风扇控制</t>
  </si>
  <si>
    <t>hld_tms_u84ValvPosSet</t>
  </si>
  <si>
    <t>三通阀位置设定
Three way valve position setting</t>
  </si>
  <si>
    <t>hld_tms_u83ValvPosSet</t>
  </si>
  <si>
    <t>四通阀运动使能
Enable four-way valve movement</t>
  </si>
  <si>
    <t>hld_tms_b4ValvCtlCmd</t>
  </si>
  <si>
    <t>hld_tms_b3ValvCtlCmd</t>
  </si>
  <si>
    <t>hld_tms_b4ValvStopCmd</t>
  </si>
  <si>
    <t>hld_tms_b3ValvStopCmd</t>
  </si>
  <si>
    <t>hld_tms_b4ValvRecov</t>
  </si>
  <si>
    <t>hld_tms_b3ValvRecov</t>
  </si>
  <si>
    <t>SOV补焓电磁阀状态
State of SOV enthalpy replenishment solenoid valve</t>
  </si>
  <si>
    <t>hld_tms_bSovCoolValvSt</t>
  </si>
  <si>
    <t>0：关闭，1：打开</t>
  </si>
  <si>
    <t>SOV制热电磁阀状态
SOV Heating Solenoid Valve Status</t>
  </si>
  <si>
    <t>hld_tms_bSovHotValvSt</t>
  </si>
  <si>
    <t>hld_tms_u8FanSpdPwmCtl</t>
  </si>
  <si>
    <t>0x64</t>
  </si>
  <si>
    <t>电机水泵PWM调速
Motor water pump PWM speed regulation</t>
  </si>
  <si>
    <t>hld_tms_u8MotWatrPumpCtl</t>
  </si>
  <si>
    <t xml:space="preserve">占空比0%水泵停机，占空比1-7%时水泵全速，8%-12%停机，13%-18%最低转速运行，19%-93%流量由低到高连续可调，93%-100%最大流量工作。该端口悬空时，默认占空比为100%。 </t>
  </si>
  <si>
    <t>电池水泵PWM调速
PWM speed regulation of battery water pump</t>
  </si>
  <si>
    <t>hld_tms_u8BatWatrPumpCtl</t>
  </si>
  <si>
    <t>0-20%水泵停止，20%-80%由低到高连续可调，80%-100%最大功率工作。PWM输入悬空时，默认为100%。</t>
  </si>
  <si>
    <t>%AC-compressor-enable</t>
  </si>
  <si>
    <t>%hld_tms_bACCompressEn</t>
  </si>
  <si>
    <t>%PTC等级设定
PTC level setting</t>
  </si>
  <si>
    <t>%hld_tms_u8PtcHeat2Lvl</t>
  </si>
  <si>
    <t>TMS-CCS3</t>
  </si>
  <si>
    <t>0x348</t>
  </si>
  <si>
    <t>鼓风机控制，补气增焓压力</t>
  </si>
  <si>
    <t>气分入口侧冷媒温度
Refrigerant Temperature at Gas Separator Inletside</t>
  </si>
  <si>
    <t>hld_tms_u8RefrigeTmp</t>
  </si>
  <si>
    <t>气分入口侧冷媒压力
Refrigerant Pressure at Gas Separator Inlet</t>
  </si>
  <si>
    <t>hld_tms_u8RefrigePrs</t>
  </si>
  <si>
    <t>压缩机入口侧冷媒温度
Refrigerant Temperature at Gas Separator Inletside</t>
  </si>
  <si>
    <t>hld_tms_u8CompInletTmp</t>
  </si>
  <si>
    <t>压缩机入口侧冷媒压力
Refrigerant Pressure at Gas Separator Inlet</t>
  </si>
  <si>
    <t>hld_tms_u8CompInletPrs</t>
  </si>
  <si>
    <t>CCS-VCU</t>
  </si>
  <si>
    <t>0x435</t>
  </si>
  <si>
    <t>三通\四通水阀状态反馈</t>
  </si>
  <si>
    <t>三通阀LIN响应错误
Three way valve LIN response error</t>
  </si>
  <si>
    <t>hld_ccs_b3ValvLinFlt</t>
  </si>
  <si>
    <t>0: normal 正常,1: fail 故障</t>
  </si>
  <si>
    <t>三通阀过压故障
Overpressure fault of three-way valve</t>
  </si>
  <si>
    <t>hld_ccs_b3ValvOvPrsFlt</t>
  </si>
  <si>
    <t>三通阀过流故障
Three way valve overcurrent fault</t>
  </si>
  <si>
    <t>hld_ccs_b3ValvOvCurFlt</t>
  </si>
  <si>
    <t>三通阀过温故障
Three way valve overheating fault</t>
  </si>
  <si>
    <t>hld_ccs_b3ValvOvTmpFlt</t>
  </si>
  <si>
    <t>三通阀欠压故障
Three way valve under voltage fault</t>
  </si>
  <si>
    <t>hld_ccs_b3ValvUndPrsFlt</t>
  </si>
  <si>
    <t>三通阀初始化状态
Three way valve initialization status</t>
  </si>
  <si>
    <t>hld_ccs_b3ValvIniSt</t>
  </si>
  <si>
    <t>0:have initialized  初始化完毕
1:initializing  正在初始化</t>
  </si>
  <si>
    <t>三通阀电机状态
Three way valve motor status</t>
  </si>
  <si>
    <t>hld_ccs_b3ValvSt</t>
  </si>
  <si>
    <t>0:Motor Running,1:Motor Stop</t>
  </si>
  <si>
    <t>三通阀当前状态
The current status of the three-way valve</t>
  </si>
  <si>
    <t>hld_ccs_u83ValvCurSt</t>
  </si>
  <si>
    <t>%00-0xFA:Valid value 0xFB-0xFF:Invalid value</t>
  </si>
  <si>
    <t>四通阀LIN响应错误
Four way valve LIN response error</t>
  </si>
  <si>
    <t>hld_ccs_b4ValvLinFlt</t>
  </si>
  <si>
    <t>四通阀过压故障
Overpressure fault of four-way valve</t>
  </si>
  <si>
    <t>hld_ccs_b4ValvOvPrsFlt</t>
  </si>
  <si>
    <t>四通阀过流故障
Four way valve overcurrent fault</t>
  </si>
  <si>
    <t>hld_ccs_b4ValvOvCurFlt</t>
  </si>
  <si>
    <t>四通阀过温故障
Four way valve overheating fault</t>
  </si>
  <si>
    <t>hld_ccs_b4ValvOvTmpFlt</t>
  </si>
  <si>
    <t>四通阀欠压故障
Four way valve under voltage fault</t>
  </si>
  <si>
    <t>hld_ccs_b4ValvUndPrsFlt</t>
  </si>
  <si>
    <t>四通阀初始化状态
Four way valve initialization status</t>
  </si>
  <si>
    <t>hld_ccs_b4ValvIniSt</t>
  </si>
  <si>
    <t>四通阀电机状态
Four way valve motor status</t>
  </si>
  <si>
    <t>hld_ccs_b4ValvSt</t>
  </si>
  <si>
    <t>四通阀当前状态
The current status of the four-way valve</t>
  </si>
  <si>
    <t>hld_ccs_u84ValvCurSt</t>
  </si>
  <si>
    <t>三通阀断线故障
disconnection fault of three-way valve</t>
  </si>
  <si>
    <t>hld_ccs_b3ValvDiscont Flt</t>
  </si>
  <si>
    <t>四通阀断线故障
disconnection fault of four-way valve</t>
  </si>
  <si>
    <t>hld_ccs_b4ValvDiscont Flt</t>
  </si>
  <si>
    <t>中控与VCU通讯故障 
VCU Communication fail</t>
  </si>
  <si>
    <t>hld_ccs_bCCSVCUComfail</t>
  </si>
  <si>
    <t>TMS-VCU4</t>
  </si>
  <si>
    <t>0x358</t>
  </si>
  <si>
    <t>TMS系统故障</t>
  </si>
  <si>
    <t>EXV_3_响应错误Response Error</t>
  </si>
  <si>
    <t>hld_tms_bEXV3RE</t>
  </si>
  <si>
    <t>0：无 1：错误</t>
  </si>
  <si>
    <t>EXV_3 Motor-Coil shorted电机线圈短路</t>
  </si>
  <si>
    <t>hld_tms_bEXV3MCS</t>
  </si>
  <si>
    <t>0：无 1：短路</t>
  </si>
  <si>
    <t>EXV_3 Motor-Coil open load 电机线圈开路</t>
  </si>
  <si>
    <t>hld_tms_bEXV3MCOL</t>
  </si>
  <si>
    <t>0：无 1：开路</t>
  </si>
  <si>
    <t>EXV_A Over temperature shutdown 超温停机</t>
  </si>
  <si>
    <t>hld_tms_bEXVAOTSD</t>
  </si>
  <si>
    <t>0：无 1：故障</t>
  </si>
  <si>
    <t>EXV_A Over Voltage过压</t>
  </si>
  <si>
    <t>hld_tms_bEXVAOV</t>
  </si>
  <si>
    <t>EXV_A Under Voltage 欠压</t>
  </si>
  <si>
    <t>hld_tms_bEXVAUV</t>
  </si>
  <si>
    <t>EXV_A Temperature Warn
温度警报</t>
  </si>
  <si>
    <t>hld_tms_bEXVATW</t>
  </si>
  <si>
    <t>EXV_B_响应错误Response Error</t>
  </si>
  <si>
    <t>hld_tms_bEXVBRE</t>
  </si>
  <si>
    <t>EXV_B Motor-Coil shorted电机线圈短路</t>
  </si>
  <si>
    <t>hld_tms_bEXVBMCS</t>
  </si>
  <si>
    <t>EXV_B Motor-Coil open load 电机线圈空载</t>
  </si>
  <si>
    <t>hld_tms_bEXVBMCOL</t>
  </si>
  <si>
    <t>EXV_B Over temperature shutdown 超温停机</t>
  </si>
  <si>
    <t>hld_tms_bEXVBOTSD</t>
  </si>
  <si>
    <t>EXV_B Over Voltage过压</t>
  </si>
  <si>
    <t>hld_tms_bEXVBOV</t>
  </si>
  <si>
    <t>EXV_B Under Voltage 欠压</t>
  </si>
  <si>
    <t>hld_tms_bEXVBUV</t>
  </si>
  <si>
    <t>EXV_B Temperature Warn
温度警报</t>
  </si>
  <si>
    <t>hld_tms_bEXVBTW</t>
  </si>
  <si>
    <t>EXV_C_响应错误Response Error</t>
  </si>
  <si>
    <t>hld_tms_bEXVCRE</t>
  </si>
  <si>
    <t>EXV_C Motor-Coil shorted电机线圈短路</t>
  </si>
  <si>
    <t>hld_tms_bEXVCMCS</t>
  </si>
  <si>
    <t>EXV_C Motor-Coil open load 电机线圈空载</t>
  </si>
  <si>
    <t>hld_tms_bEXVCMCOL</t>
  </si>
  <si>
    <t>EXV_C Over temperature shutdown 超温停机</t>
  </si>
  <si>
    <t>hld_tms_bEXVCOTSD</t>
  </si>
  <si>
    <t>EXV_C Over Voltage过压</t>
  </si>
  <si>
    <t>hld_tms_bEXVCOV</t>
  </si>
  <si>
    <t>EXV_C Under Voltage 欠压</t>
  </si>
  <si>
    <t>hld_tms_bEXVCUV</t>
  </si>
  <si>
    <t>EXV_C Temperature Warn
温度警报</t>
  </si>
  <si>
    <t>hld_tms_bEXVCTW</t>
  </si>
  <si>
    <t>SOV(制冷）故障SOV (Refrigeration)cool Fault</t>
  </si>
  <si>
    <t>hld_tms_bSOVRCF</t>
  </si>
  <si>
    <t>SOV(制热）故障SOV (Refrigeration) heatFault</t>
  </si>
  <si>
    <t>hld_tms_bSOVRHF</t>
  </si>
  <si>
    <t>蒸发器温度传感器开路Evaporator temperature sensor open circuit</t>
  </si>
  <si>
    <t>hld_tms_bETSOC</t>
  </si>
  <si>
    <t>室内温度传感器开路Indoor temperature sensor open circuit</t>
  </si>
  <si>
    <t>hld_tms_bRTSOC</t>
  </si>
  <si>
    <t>环境温度传感器开路Ambient temperature sensor open circuit</t>
  </si>
  <si>
    <t>hld_tms_bATSOC</t>
  </si>
  <si>
    <t>压缩机排气冷媒温度传感器开路Compressor Discharge Refrigerant Temperature Sensor Open Circuit</t>
  </si>
  <si>
    <t>hld_tms_bCDRTSOC</t>
  </si>
  <si>
    <t>压缩机排气冷媒压力传感器开路Compressor Discharge Refrigerant Pressure Sensor Open Circuit</t>
  </si>
  <si>
    <t>hld_tms_bCDRPSOC</t>
  </si>
  <si>
    <t>冷凝器温压传感器温度端开路The temperature terminal of the condenser temperature and pressure sensor is open circuit</t>
  </si>
  <si>
    <t>hld_tms_bCTPSTOC</t>
  </si>
  <si>
    <t>冷凝器温压传感器压力端开路The pressure end of the condenser temperature and pressure sensor is open</t>
  </si>
  <si>
    <t>hld_tms_bCTPSPOC</t>
  </si>
  <si>
    <t>蒸发器温压传感器温度端开路The temperature terminal of the evaporator temperature and pressure sensor is open</t>
  </si>
  <si>
    <t>hld_tms_bETPSTOC</t>
  </si>
  <si>
    <t>蒸发器温压传感器压力端开路The pressure end of the evaporator temperature and pressure sensor is open</t>
  </si>
  <si>
    <t>hld_tms_bETPSPOC</t>
  </si>
  <si>
    <t>chiller温压传感器温度端开路chiller temperature and pressure sensor temperature end open circuit</t>
  </si>
  <si>
    <t>hld_tms_bCHTPSTOC</t>
  </si>
  <si>
    <t>chiller温压传感器压力端开路The pressure end of the chiller temperature and pressure sensor is open</t>
  </si>
  <si>
    <t>hld_tms_bCHTPSPOC</t>
  </si>
  <si>
    <t>气分吸气温压传感器温度端开路Gas Separator Suction Temperature &amp; Pressure Sensor – Temperature Side Open Circuit</t>
  </si>
  <si>
    <t>hld_tms_bGSSTPSTOC</t>
  </si>
  <si>
    <t>气分吸气温压传感器压力端开路Gas Separator Suction Temperature &amp; Pressure is open</t>
  </si>
  <si>
    <t>hld_tms_b12VOV</t>
  </si>
  <si>
    <t>12V Over Voltage过压</t>
  </si>
  <si>
    <t>hld_tms_b12VUV</t>
  </si>
  <si>
    <t>NA</t>
  </si>
  <si>
    <t>12V Under Voltage 欠压</t>
  </si>
  <si>
    <t>5V Ref Voltage 异常</t>
  </si>
  <si>
    <t>hld_tms_b5VRVABN</t>
  </si>
  <si>
    <t>EXV_3初始化故障
EXV_3 initialization fault</t>
  </si>
  <si>
    <t>hld_tms_bEXV3IF</t>
  </si>
  <si>
    <t>0：正常1：故障</t>
  </si>
  <si>
    <t>EXV_3堵转
EXV_3 stall</t>
  </si>
  <si>
    <t>hld_tms_bEXV3ST</t>
  </si>
  <si>
    <t>EXV_B初始化故障
EXV_B initialization fault</t>
  </si>
  <si>
    <t>hld_tms_bEXVBIF</t>
  </si>
  <si>
    <t>EXV_B堵转
EXV_B stall</t>
  </si>
  <si>
    <t>hld_tms_bEXVBST</t>
  </si>
  <si>
    <t>EXV_C初始化故障
EXV_C initialization fault</t>
  </si>
  <si>
    <t>hld_tms_bEXVCIF</t>
  </si>
  <si>
    <t>EXV_C堵转
EXV_C stall</t>
  </si>
  <si>
    <t>hld_tms_bEXVCST</t>
  </si>
  <si>
    <t>压缩机吸气温压传感器温度端开路Compressor Suction Temperature &amp; Pressure Sensor – Temperature Side Open Circuit</t>
  </si>
  <si>
    <t>hld_tms_bCSSTPSTOC</t>
  </si>
  <si>
    <t>Compressor Suction Temperature &amp; Pressure Sensor – Pressure Side Open Circuit</t>
  </si>
  <si>
    <t>hld_tms_bCSSTPSPOC</t>
  </si>
  <si>
    <t>TBOX-CCS</t>
  </si>
  <si>
    <t>0x60C</t>
  </si>
  <si>
    <t>200ms</t>
  </si>
  <si>
    <t>软件升级信息反馈</t>
  </si>
  <si>
    <t>UpdateCount 
待升级控制器总数</t>
  </si>
  <si>
    <t>u8UpdateCnt</t>
  </si>
  <si>
    <t>Total number of controllers to be upgraded
待升级控制器总数量</t>
  </si>
  <si>
    <t>UpdateTime 
总预计升级时间</t>
  </si>
  <si>
    <t>u16UpdateTm</t>
  </si>
  <si>
    <t>Total estimated upgrade time
总预期升级时间(分钟)</t>
  </si>
  <si>
    <t>TargetVehicleMajorVerson
目标整车版本号中的主版本号</t>
  </si>
  <si>
    <t>u8TgtVehMajVer</t>
  </si>
  <si>
    <t>取值范围 0～255</t>
  </si>
  <si>
    <t>TargetVehicleMinorVerson
目标整车版本号中的次版本号</t>
  </si>
  <si>
    <t xml:space="preserve">u8TgtVehMinVer </t>
  </si>
  <si>
    <t>TargetVehiclePatchVerson
目标整车版本号中的修订版本号</t>
  </si>
  <si>
    <t>u8TgtVehPatVer</t>
  </si>
  <si>
    <t>CurrentVehicleMajorVerson
当前整车版本号中的主版本号</t>
  </si>
  <si>
    <t>u8CurVehMajVer</t>
  </si>
  <si>
    <t>CurrentVehicleMinorVerson
当前整车版本号中的次版本号</t>
  </si>
  <si>
    <t xml:space="preserve">u8CurVehMinVer </t>
  </si>
  <si>
    <t>CurrentVehiclePatchVerson
当前整车版本号中的修订版本号</t>
  </si>
  <si>
    <t>u8CurVehPatVer</t>
  </si>
  <si>
    <t>0x61C</t>
  </si>
  <si>
    <t>软件升级进度反馈</t>
  </si>
  <si>
    <t>TotalECUCount
待升级的控制器总数</t>
  </si>
  <si>
    <t>u8TotalECUCnt</t>
  </si>
  <si>
    <t>Updateprogress
升级进度</t>
  </si>
  <si>
    <t>u8Updateprogress</t>
  </si>
  <si>
    <t>TBOXStatusCode
状态码</t>
  </si>
  <si>
    <t>u8TboxStatusCode</t>
  </si>
  <si>
    <t>0:初始状态;
1:正在升级;
2:升级完成;</t>
  </si>
  <si>
    <t>UpdateEnbackup
升级指令反馈</t>
  </si>
  <si>
    <t>u8TboxUpdateEnbackup</t>
  </si>
  <si>
    <t>0:无升级指令;
1:接受升级;
2:拒绝升级</t>
  </si>
  <si>
    <t>CompletedCount
已升级成功控制器数量</t>
  </si>
  <si>
    <t>u8CompletedCnt</t>
  </si>
  <si>
    <t>FailedConut
已升级失败的ECU数</t>
  </si>
  <si>
    <t>u8FailedCnt</t>
  </si>
  <si>
    <t>CCS-TBOX</t>
  </si>
  <si>
    <t>0x605</t>
  </si>
  <si>
    <t>升级指令</t>
  </si>
  <si>
    <t>UpdateEn
升级指令</t>
  </si>
  <si>
    <t>u8CCSUpdateEn</t>
  </si>
  <si>
    <t>0:无升级指令;
1:TBOX执行升级指令</t>
  </si>
  <si>
    <t>0x45C</t>
  </si>
  <si>
    <t>TBOX故障状态</t>
  </si>
  <si>
    <t>4G模块故障
4G Module Malfunction</t>
  </si>
  <si>
    <t>hld_TBOX_b4GModuFlt</t>
  </si>
  <si>
    <t>0:无故障;
1:故障</t>
  </si>
  <si>
    <t>4G天线开路
4G Antenna Open Circuit</t>
  </si>
  <si>
    <t>hld_TBOX_b4GAntOCFlt</t>
  </si>
  <si>
    <t>4G天线短路
4G Antenna Short Circuit</t>
  </si>
  <si>
    <t>hld_TBOX_b4GAntSC</t>
  </si>
  <si>
    <t>GPS模块故障
GPS Module Malfunction</t>
  </si>
  <si>
    <t>hld_TBOX_bGPSModuFlt</t>
  </si>
  <si>
    <t>GPS天线开路
GPS Antenna Open Circuit</t>
  </si>
  <si>
    <t>hld_TBOX_bGPSAntOC</t>
  </si>
  <si>
    <t>GPS天线短路
GPS Antenna Short Circuit</t>
  </si>
  <si>
    <t>hld_TBOX_bGPSAntSC</t>
  </si>
  <si>
    <t>EMMC故障
EMMC Fault</t>
  </si>
  <si>
    <t>hld_TBOX_bEMMCFlt</t>
  </si>
  <si>
    <t>CCS_Refrigerator</t>
  </si>
  <si>
    <t>0x4F5</t>
  </si>
  <si>
    <t>Refrigerator Command</t>
  </si>
  <si>
    <r>
      <rPr>
        <sz val="11"/>
        <color rgb="FF000000"/>
        <rFont val="Arial"/>
        <family val="2"/>
      </rPr>
      <t xml:space="preserve">Refrigerator start/stop
</t>
    </r>
    <r>
      <rPr>
        <sz val="11"/>
        <color rgb="FF000000"/>
        <rFont val="宋体"/>
        <family val="3"/>
        <charset val="134"/>
      </rPr>
      <t>冰箱启停</t>
    </r>
  </si>
  <si>
    <t>hld_ccs_u8FridgeStartStop</t>
  </si>
  <si>
    <t>0：停止
1：启动</t>
  </si>
  <si>
    <r>
      <rPr>
        <sz val="11"/>
        <color rgb="FF000000"/>
        <rFont val="Arial"/>
        <family val="2"/>
      </rPr>
      <t>Temperature setting</t>
    </r>
    <r>
      <rPr>
        <sz val="11"/>
        <color rgb="FF000000"/>
        <rFont val="宋体"/>
        <family val="3"/>
        <charset val="134"/>
      </rPr>
      <t xml:space="preserve">
温度设置</t>
    </r>
  </si>
  <si>
    <t>hld_ccs_u8FridgeTempSet</t>
  </si>
  <si>
    <r>
      <rPr>
        <i/>
        <sz val="11"/>
        <color rgb="FF000000"/>
        <rFont val="Arial"/>
        <family val="2"/>
      </rPr>
      <t>-8</t>
    </r>
    <r>
      <rPr>
        <i/>
        <sz val="11"/>
        <color rgb="FF000000"/>
        <rFont val="宋体"/>
        <family val="3"/>
        <charset val="134"/>
      </rPr>
      <t>℃</t>
    </r>
    <r>
      <rPr>
        <i/>
        <sz val="11"/>
        <color rgb="FF000000"/>
        <rFont val="Arial"/>
        <family val="2"/>
      </rPr>
      <t>~23</t>
    </r>
    <r>
      <rPr>
        <i/>
        <sz val="11"/>
        <color rgb="FF000000"/>
        <rFont val="宋体"/>
        <family val="3"/>
        <charset val="134"/>
      </rPr>
      <t>℃</t>
    </r>
  </si>
  <si>
    <t>Fridge1Count
计数</t>
  </si>
  <si>
    <t>hld_ccs_u8FriCountver</t>
  </si>
  <si>
    <t>0~256 循环计数</t>
  </si>
  <si>
    <t>Refrigerator_CCS</t>
  </si>
  <si>
    <t>0x3AE</t>
  </si>
  <si>
    <t>Refrigerator State Feedback</t>
  </si>
  <si>
    <r>
      <rPr>
        <sz val="11"/>
        <color rgb="FF000000"/>
        <rFont val="Arial"/>
        <family val="2"/>
      </rPr>
      <t>Refrigerator status</t>
    </r>
    <r>
      <rPr>
        <sz val="11"/>
        <color rgb="FF000000"/>
        <rFont val="宋体"/>
        <family val="3"/>
        <charset val="134"/>
      </rPr>
      <t xml:space="preserve">
冰箱状态</t>
    </r>
  </si>
  <si>
    <t>hld_Fridge_u8FridgeSt</t>
  </si>
  <si>
    <r>
      <rPr>
        <sz val="11"/>
        <color rgb="FF000000"/>
        <rFont val="Arial"/>
        <family val="2"/>
      </rPr>
      <t>Temperature setting</t>
    </r>
    <r>
      <rPr>
        <sz val="11"/>
        <color rgb="FF000000"/>
        <rFont val="宋体"/>
        <family val="3"/>
        <charset val="134"/>
      </rPr>
      <t xml:space="preserve">
温度调节</t>
    </r>
  </si>
  <si>
    <t>hld_Fridge_u8TempSetFB</t>
  </si>
  <si>
    <t>-8℃</t>
  </si>
  <si>
    <r>
      <rPr>
        <sz val="11"/>
        <color rgb="FF000000"/>
        <rFont val="Arial"/>
        <family val="2"/>
      </rPr>
      <t>Real-time temperature</t>
    </r>
    <r>
      <rPr>
        <sz val="11"/>
        <color rgb="FF000000"/>
        <rFont val="宋体"/>
        <family val="3"/>
        <charset val="134"/>
      </rPr>
      <t xml:space="preserve">
实时温度</t>
    </r>
  </si>
  <si>
    <t>hld_Fridge_u8RealtimeTemp</t>
  </si>
  <si>
    <t>　　0000: 32
0001: 33
0010: 34
0011: 35
0100: 36
0101: 37
0110: 38
0111: 39
1000: 40
1001: 41
1010: 42
1011: 43
1100: 44
1101: 45
1110: 46
1111: 47
10000: 48</t>
  </si>
  <si>
    <t>电压低故障
Low Voltage Fault</t>
  </si>
  <si>
    <t>hld_Fridge_bVolLoFlt</t>
  </si>
  <si>
    <t>0:无故障 1:故障</t>
  </si>
  <si>
    <t>风扇过流故障
Fan Overcurrent Fault</t>
  </si>
  <si>
    <t xml:space="preserve">hld_Fridge_bFanOvercurFlt </t>
  </si>
  <si>
    <t>系统压力高故障
System High Pressure Fault</t>
  </si>
  <si>
    <t>hld_Fridge_bSysPrHiFlt</t>
  </si>
  <si>
    <t>压缩机不能维持最低转速故障
Compressor Failure to Maintain Minimum Speed Fault</t>
  </si>
  <si>
    <t>hld_Fridge_bCompCntHldLowSpdFlt</t>
  </si>
  <si>
    <t>控制器硬件过温
Controller Hardware Over-temperature</t>
  </si>
  <si>
    <t>hld_Fridge_bctrlHwOvTempFlt</t>
  </si>
  <si>
    <t>感温线故障
Temperature Sensing Wire Fault</t>
  </si>
  <si>
    <t>hld_Fridge_bTempSrFlt</t>
  </si>
  <si>
    <t>Fridge2Count
计数</t>
  </si>
  <si>
    <t>hld_Fridge_u8FridgeCountver</t>
  </si>
  <si>
    <t>0x46C</t>
  </si>
  <si>
    <t>预约用车次数</t>
  </si>
  <si>
    <t>hld_Tbox_u8CarBookCnt</t>
  </si>
  <si>
    <t>　unsigned</t>
  </si>
  <si>
    <t>0：仅本次（下电清除预约时间）
1：每次（下电记忆预约时间）
2：无预约充电设置</t>
  </si>
  <si>
    <t>预约用车时间（h)
Scheduled charging</t>
  </si>
  <si>
    <t>hld_Tbox_u8CarBookTimeH</t>
  </si>
  <si>
    <t>预约用车时间（min)
Scheduled charging</t>
  </si>
  <si>
    <t>hld_Tbox_u8CarBookTimeMin</t>
  </si>
  <si>
    <t>12V电压值</t>
  </si>
  <si>
    <t>hld_Tbox_u8Bat12Vol</t>
  </si>
  <si>
    <t>低压11.5触发智能补电指令</t>
  </si>
  <si>
    <t>0-200</t>
  </si>
  <si>
    <t>0x47C</t>
  </si>
  <si>
    <t>T-BOX 唤醒</t>
  </si>
  <si>
    <t xml:space="preserve"> 需要唤醒中控发（触发帧）</t>
  </si>
  <si>
    <t>唤醒报文</t>
  </si>
  <si>
    <t>hld_ccs_bTboxFlg</t>
  </si>
  <si>
    <t>这帧是触发帧，当需要远程唤醒中控发</t>
  </si>
  <si>
    <t>CCS_TBOX</t>
  </si>
  <si>
    <t>0x535</t>
  </si>
  <si>
    <t>CCS上传冰箱设置</t>
  </si>
  <si>
    <t>新加20251218</t>
  </si>
  <si>
    <r>
      <rPr>
        <sz val="11"/>
        <color rgb="FF000000"/>
        <rFont val="Arial"/>
        <family val="2"/>
      </rPr>
      <t>Refrigerator start/stop</t>
    </r>
    <r>
      <rPr>
        <sz val="11"/>
        <color rgb="FF000000"/>
        <rFont val="宋体"/>
        <family val="3"/>
        <charset val="134"/>
      </rPr>
      <t xml:space="preserve">
冰箱启停</t>
    </r>
  </si>
  <si>
    <t>hld_ccs_bFrigeOnOff</t>
  </si>
  <si>
    <t>hld_ccs_u8FrigeTempSet</t>
  </si>
  <si>
    <t/>
  </si>
  <si>
    <r>
      <rPr>
        <sz val="11"/>
        <color rgb="FF000000"/>
        <rFont val="Arial"/>
        <family val="2"/>
      </rPr>
      <t>-8</t>
    </r>
    <r>
      <rPr>
        <sz val="11"/>
        <color rgb="FF000000"/>
        <rFont val="宋体"/>
        <family val="3"/>
        <charset val="134"/>
      </rPr>
      <t>℃</t>
    </r>
    <r>
      <rPr>
        <sz val="11"/>
        <color rgb="FF000000"/>
        <rFont val="Arial"/>
        <family val="2"/>
      </rPr>
      <t>~10</t>
    </r>
    <r>
      <rPr>
        <sz val="11"/>
        <color rgb="FF000000"/>
        <rFont val="宋体"/>
        <family val="3"/>
        <charset val="134"/>
      </rPr>
      <t>℃</t>
    </r>
  </si>
  <si>
    <t>锁车成功</t>
  </si>
  <si>
    <t>hld_ccs_bLockSuccess</t>
  </si>
  <si>
    <t>远程关机状态</t>
  </si>
  <si>
    <t>hld_ccs_bRemoteOffSt</t>
  </si>
  <si>
    <t>0：未收到关机指令
1：关机等待</t>
  </si>
  <si>
    <r>
      <rPr>
        <sz val="10"/>
        <color rgb="FF000000"/>
        <rFont val="宋体"/>
        <family val="3"/>
        <charset val="134"/>
      </rPr>
      <t>预约用车</t>
    </r>
    <r>
      <rPr>
        <sz val="10"/>
        <color rgb="FF000000"/>
        <rFont val="Calibri"/>
        <family val="2"/>
      </rPr>
      <t>Hour</t>
    </r>
  </si>
  <si>
    <t>hld_ccs_u8SchdVehResHour</t>
  </si>
  <si>
    <r>
      <rPr>
        <sz val="10"/>
        <color rgb="FF000000"/>
        <rFont val="宋体"/>
        <family val="3"/>
        <charset val="134"/>
      </rPr>
      <t>预约用车</t>
    </r>
    <r>
      <rPr>
        <sz val="10"/>
        <color rgb="FF000000"/>
        <rFont val="Calibri"/>
        <family val="2"/>
      </rPr>
      <t>Minute</t>
    </r>
  </si>
  <si>
    <t>hld_ccs_u8SchdVehResMinu</t>
  </si>
  <si>
    <t>hld_ccs_u8SchdVehResCnt</t>
  </si>
  <si>
    <t>0：仅本次（下电清除预约时间）
1：每次（下电记忆预约时间）
2：无预约用车设置
3：无效</t>
  </si>
  <si>
    <t>CCS_vchicle</t>
  </si>
  <si>
    <t>0x255</t>
  </si>
  <si>
    <t>CCS上传额外数据</t>
  </si>
  <si>
    <r>
      <rPr>
        <sz val="11"/>
        <color rgb="FF000000"/>
        <rFont val="Arial"/>
        <family val="2"/>
      </rPr>
      <t>Gyroscope pitch angle</t>
    </r>
    <r>
      <rPr>
        <sz val="12"/>
        <color theme="1"/>
        <rFont val="等线"/>
        <family val="2"/>
        <charset val="134"/>
        <scheme val="minor"/>
      </rPr>
      <t xml:space="preserve">
</t>
    </r>
    <r>
      <rPr>
        <sz val="11"/>
        <color rgb="FF000000"/>
        <rFont val="宋体"/>
        <family val="3"/>
        <charset val="134"/>
      </rPr>
      <t>陀螺仪俯仰角</t>
    </r>
  </si>
  <si>
    <t>hld_ccs_u8Pitch</t>
  </si>
  <si>
    <t>-90 - 90</t>
  </si>
  <si>
    <t>°</t>
  </si>
  <si>
    <r>
      <rPr>
        <sz val="11"/>
        <color rgb="FF000000"/>
        <rFont val="Arial"/>
        <family val="2"/>
      </rPr>
      <t>Gyroscope roll angle</t>
    </r>
    <r>
      <rPr>
        <sz val="12"/>
        <color theme="1"/>
        <rFont val="等线"/>
        <family val="2"/>
        <charset val="134"/>
        <scheme val="minor"/>
      </rPr>
      <t xml:space="preserve">
</t>
    </r>
    <r>
      <rPr>
        <sz val="11"/>
        <color rgb="FF000000"/>
        <rFont val="宋体"/>
        <family val="3"/>
        <charset val="134"/>
      </rPr>
      <t>陀螺仪侧倾角</t>
    </r>
  </si>
  <si>
    <t>hld_ccs_u8Roll</t>
  </si>
  <si>
    <t>0x551</t>
  </si>
  <si>
    <t>部件状态</t>
  </si>
  <si>
    <t>空调状态
Air conditioner status</t>
  </si>
  <si>
    <t>u8AirConSts</t>
  </si>
  <si>
    <t>0:Unavailable；
1：Normal；
2：Error；</t>
  </si>
  <si>
    <t>绞盘状态
Winch status</t>
  </si>
  <si>
    <t>u8WinchSts</t>
  </si>
  <si>
    <t>VCU_T-BOX</t>
  </si>
  <si>
    <t>0x601</t>
  </si>
  <si>
    <t>油门/制动状态</t>
  </si>
  <si>
    <t>加速踏板开度</t>
  </si>
  <si>
    <t>cod_f16Sp01ACCPdPct</t>
  </si>
  <si>
    <t>制动踏板开度</t>
  </si>
  <si>
    <t>cod_f16Sp01BrkPdPct</t>
  </si>
  <si>
    <t>0x621</t>
  </si>
  <si>
    <t>油门/制动状态2</t>
  </si>
  <si>
    <t>加速踏板1电压</t>
  </si>
  <si>
    <t>cod_aid_u16AccPd1Vot</t>
  </si>
  <si>
    <t>加速踏板2电压</t>
  </si>
  <si>
    <t>cod_aid_u16AccPd2Vot</t>
  </si>
  <si>
    <t>制动踏板1电压</t>
  </si>
  <si>
    <t>cod_aid_u16BrkAnglePs1Vot</t>
  </si>
  <si>
    <t>制动踏板2电压</t>
  </si>
  <si>
    <t>cod_aid_u16BrkAnglePs2Vot</t>
  </si>
  <si>
    <t>0x631</t>
  </si>
  <si>
    <t>制热/制冷反馈</t>
  </si>
  <si>
    <t>风门电机反馈</t>
  </si>
  <si>
    <t>cod_aid_u16WindDoorMotorFb</t>
  </si>
  <si>
    <t>PTC温度反馈</t>
  </si>
  <si>
    <t>cod_aid_u16PtcTempFb</t>
  </si>
  <si>
    <t>制冷温度反馈</t>
  </si>
  <si>
    <t>cod_aid_u16CoolingWtTemp</t>
  </si>
  <si>
    <t>电池电压反馈</t>
  </si>
  <si>
    <t>cod_aid_u16LvBatVot</t>
  </si>
  <si>
    <t>0x641</t>
  </si>
  <si>
    <t>水泵驱动</t>
  </si>
  <si>
    <t>电池水泵占空比</t>
  </si>
  <si>
    <t>cod_pwm_u16BmsWPumpDuty</t>
  </si>
  <si>
    <t>风扇占空比</t>
  </si>
  <si>
    <t>cod_pwm_u16FanPwmDuty</t>
  </si>
  <si>
    <t>电机水泵占空比</t>
  </si>
  <si>
    <t>cod_pwm_u16MotorWPumpDuty</t>
  </si>
  <si>
    <t>鼓风机占空比</t>
  </si>
  <si>
    <t>cod_pwm_u16BlowingMchDuty</t>
  </si>
  <si>
    <t>0x651</t>
  </si>
  <si>
    <t>电池水泵故障回采占空比</t>
  </si>
  <si>
    <t>cod_pwm_u8BmsWpumpDuty</t>
  </si>
  <si>
    <t>电机水泵故障回采占空比</t>
  </si>
  <si>
    <t>cod_pwm_u8MotWpumpDuty</t>
  </si>
  <si>
    <t>0x661</t>
  </si>
  <si>
    <t>扭矩增量速率</t>
  </si>
  <si>
    <t>cod_u16DeltaTqIncR</t>
  </si>
  <si>
    <t>扭矩增量零速率</t>
  </si>
  <si>
    <t>cod_u16DeltaTqIncZeroR</t>
  </si>
  <si>
    <t>扭矩减少零速率</t>
  </si>
  <si>
    <t>cod_u16DeltaTqDecZeroR</t>
  </si>
  <si>
    <t>扭矩减少速率</t>
  </si>
  <si>
    <t>cod_u16DeltaTqDecR</t>
  </si>
  <si>
    <t>0x611</t>
  </si>
  <si>
    <t>VCU内部变量</t>
  </si>
  <si>
    <t>VCU使能</t>
  </si>
  <si>
    <t>cod_did_bIgnOn</t>
  </si>
  <si>
    <t>0：断开 1:使能</t>
  </si>
  <si>
    <t>充电唤醒</t>
  </si>
  <si>
    <t>cod_did_bAPlusWake</t>
  </si>
  <si>
    <t>刹车油壶液位传感器</t>
  </si>
  <si>
    <t>cod_did_bOilBrkLiquidLvlSen</t>
  </si>
  <si>
    <t>绞盘出开关</t>
  </si>
  <si>
    <t>cod_did_bWinchOutSw</t>
  </si>
  <si>
    <t>绞盘进开关</t>
  </si>
  <si>
    <t>cod_did_bWinchInSw</t>
  </si>
  <si>
    <t>两驱四驱开关信号</t>
  </si>
  <si>
    <t>cod_did_bTractModeSw</t>
  </si>
  <si>
    <t>安全带信号</t>
  </si>
  <si>
    <t>cod_did_bSafetyBelt</t>
  </si>
  <si>
    <t>举升上升开关输入</t>
  </si>
  <si>
    <t>cod_did_bLifterInc</t>
  </si>
  <si>
    <t>前进档位开关信号</t>
  </si>
  <si>
    <t>cod_did_bFGearChangeSw</t>
  </si>
  <si>
    <t>举升下降开关输入</t>
  </si>
  <si>
    <t>cod_did_bLifterDec</t>
  </si>
  <si>
    <t>后退档位开关信号</t>
  </si>
  <si>
    <t>cod_did_bRGearChangeSw</t>
  </si>
  <si>
    <t>换挡器回路检测</t>
  </si>
  <si>
    <t>cod_did_bShiftGearLpNormal</t>
  </si>
  <si>
    <t>前ETO开关</t>
  </si>
  <si>
    <t>cod_did_bFrontETO</t>
  </si>
  <si>
    <t>后ETO开关</t>
  </si>
  <si>
    <t>cod_did_bBackETO</t>
  </si>
  <si>
    <t>前差速锁开关</t>
  </si>
  <si>
    <t>cod_did_bFrontDiffLockSw</t>
  </si>
  <si>
    <t>后差速锁开关</t>
  </si>
  <si>
    <t>cod_did_bBackDiffLockSw</t>
  </si>
  <si>
    <t>PTC高压互锁</t>
  </si>
  <si>
    <t>cod_did_bPtcEn</t>
  </si>
  <si>
    <t>VCU关机使能</t>
  </si>
  <si>
    <t>cod_vcu_bVcuShutdownReq</t>
  </si>
  <si>
    <t>前ETO继电器使能</t>
  </si>
  <si>
    <t>cod_vcu_bFrontETORly</t>
  </si>
  <si>
    <t>后ETO继电器使能</t>
  </si>
  <si>
    <t>cod_vcu_bRearETORly</t>
  </si>
  <si>
    <t>前差速锁控制</t>
  </si>
  <si>
    <t>cod_vcu_bFrontDiffLock</t>
  </si>
  <si>
    <t>后差速锁控制</t>
  </si>
  <si>
    <t>cod_vcu_bBackDiffLock</t>
  </si>
  <si>
    <t>举升上升开关输出</t>
  </si>
  <si>
    <t>cod_vcu_bLifterInc</t>
  </si>
  <si>
    <t>举升下降开关输出</t>
  </si>
  <si>
    <t>cod_vcu_bLifterDec</t>
  </si>
  <si>
    <t>ON档继电器</t>
  </si>
  <si>
    <t>cod_vcu_bOnRlySw</t>
  </si>
  <si>
    <t>绞盘继电器</t>
  </si>
  <si>
    <t>cod_vcu_bWinchDcRly</t>
  </si>
  <si>
    <t>AC插座开关指示灯</t>
  </si>
  <si>
    <t>cod_vcu_bACSocketLight</t>
  </si>
  <si>
    <t>冰箱继电器控制</t>
  </si>
  <si>
    <t>cod_vcu_bFridgeOffRly</t>
  </si>
  <si>
    <t>风门电机控制1</t>
  </si>
  <si>
    <t>cod_vcu_bWDMot12VCtrl1</t>
  </si>
  <si>
    <t>风门电机控制2</t>
  </si>
  <si>
    <t>cod_vcu_bWDMot12VCtrl2</t>
  </si>
  <si>
    <t>灯光继电器</t>
  </si>
  <si>
    <t>cod_vcu_bLampSysRly</t>
  </si>
  <si>
    <t>PTC继电器1</t>
  </si>
  <si>
    <t>cod_vcu_bPtcGear1</t>
  </si>
  <si>
    <t>PTC继电器2</t>
  </si>
  <si>
    <t>cod_vcu_bPtcGear2</t>
  </si>
  <si>
    <t>开机自检禁止上高压;</t>
  </si>
  <si>
    <t>cod_vcu_bDontPwrOnHiVol</t>
  </si>
  <si>
    <t>0: normal 正常 1:开机自检禁止上高压;</t>
  </si>
  <si>
    <t>开机禁止ready</t>
  </si>
  <si>
    <t>cod_vcu_bDontReady</t>
  </si>
  <si>
    <t>0: normal 正常 1:开机禁止ready;</t>
  </si>
  <si>
    <t>VCU发下高压指令</t>
  </si>
  <si>
    <t>cod_vcu_bHiPwrOffFlt</t>
  </si>
  <si>
    <t>0: normal 正常 1:VCU发下高压指令;</t>
  </si>
  <si>
    <t>VCU发下ready指令</t>
  </si>
  <si>
    <t>cod_vcu_bCutOffReady</t>
  </si>
  <si>
    <t>0: normal 正常 1:VCU发下ready指令;</t>
  </si>
  <si>
    <t>断电前一刻放电回馈功率50%</t>
  </si>
  <si>
    <t>cod_vcu_bHalfPwrLimt</t>
  </si>
  <si>
    <t>0: normal 正常 1:断电前一刻放电回馈功率50%;</t>
  </si>
  <si>
    <t>前电机放电/回馈0扭矩</t>
  </si>
  <si>
    <t>cod_vcu_bZeroTqModF</t>
  </si>
  <si>
    <t>0: normal 正常 1:前电机放电/回馈0扭矩;</t>
  </si>
  <si>
    <t>后电机放电/回馈0扭矩</t>
  </si>
  <si>
    <t>cod_vcu_bZeroTqModR</t>
  </si>
  <si>
    <t>0: normal 正常 1:后电机放电/回馈0扭矩;</t>
  </si>
  <si>
    <t>前/后电机放电限制50%扭矩</t>
  </si>
  <si>
    <t>cod_vcu_bmcuTqReqHalf</t>
  </si>
  <si>
    <t>0: normal 正常 1:前/后电机放电限制50%扭矩;</t>
  </si>
  <si>
    <t>时速小于25km标志位</t>
  </si>
  <si>
    <t>cod_vcu_bSpdLimt25km</t>
  </si>
  <si>
    <t>0: normal 正常 1:时速小于25km标志位;</t>
  </si>
  <si>
    <t>时速小于10km标志位</t>
  </si>
  <si>
    <t>cod_vcu_bSpdLimt10km</t>
  </si>
  <si>
    <t>0: normal 正常 1:时速小于10km标志位;</t>
  </si>
  <si>
    <t>时速小于5km标志位</t>
  </si>
  <si>
    <t>cod_vcu_bSpdLimt5km</t>
  </si>
  <si>
    <t>0: normal 正常 1:时速小于5km标志位;</t>
  </si>
  <si>
    <t>充电故障</t>
  </si>
  <si>
    <t>cod_vcu_bChargeFlt</t>
  </si>
  <si>
    <t>0: normal 正常 1:充电故障;</t>
  </si>
  <si>
    <t>整车0扭矩</t>
  </si>
  <si>
    <t>cod_vcu_bTq0Req</t>
  </si>
  <si>
    <t>0: normal 正常 1:整车0扭矩;</t>
  </si>
  <si>
    <t>想</t>
  </si>
  <si>
    <t>ID
报文标识符</t>
  </si>
  <si>
    <t>AutoDrv1</t>
  </si>
  <si>
    <t>0x001</t>
  </si>
  <si>
    <t>ADS控制指令</t>
  </si>
  <si>
    <t>hld_AutoDrv_bMotEn</t>
  </si>
  <si>
    <t>0：ManualMod;1：AutoDrvMod;</t>
  </si>
  <si>
    <t>hld_AutoDrv_PwrCtr</t>
  </si>
  <si>
    <t>0：power on;1:power off</t>
  </si>
  <si>
    <t>hld_AutoDrv_u16FMotTqCmd</t>
  </si>
  <si>
    <t>-32000、32000</t>
  </si>
  <si>
    <r>
      <rPr>
        <sz val="11"/>
        <color rgb="FF000000"/>
        <rFont val="等线"/>
        <family val="3"/>
        <charset val="134"/>
      </rPr>
      <t>N</t>
    </r>
    <r>
      <rPr>
        <sz val="11"/>
        <color rgb="FF000000"/>
        <rFont val="等线"/>
        <family val="3"/>
        <charset val="134"/>
      </rPr>
      <t>m</t>
    </r>
  </si>
  <si>
    <t>hld_AutoDrv_u16RMotTqCmd</t>
  </si>
  <si>
    <t>-6400、6400</t>
  </si>
  <si>
    <t>hld_AutoDrv_u8Cnt256</t>
  </si>
  <si>
    <t>hld_AutoDrv_CheckSum</t>
  </si>
  <si>
    <t>AutoDrv2</t>
  </si>
  <si>
    <t>0x011</t>
  </si>
  <si>
    <t>hld_AutoDrv_i16EPSAngleCmd</t>
  </si>
  <si>
    <t>signed</t>
  </si>
  <si>
    <t>%设置方向盘目标角度-510..510</t>
  </si>
  <si>
    <t>degree</t>
  </si>
  <si>
    <t>hld_AutoDrv_u16EPSAngleSpdCmd</t>
  </si>
  <si>
    <t>%设置到达方向盘目标角度的速度50..520,超出范围默认360</t>
  </si>
  <si>
    <t>degree/s</t>
  </si>
  <si>
    <t>hld_AutoDrv_u8ParkForcePctCmd</t>
  </si>
  <si>
    <t>0：Release；  
251：Park；</t>
  </si>
  <si>
    <t>hld_AutoDrv_u8FltCode</t>
  </si>
  <si>
    <t>hld_AutoDrv_u8FltLevel</t>
  </si>
  <si>
    <t>VCU-AutoDrv2</t>
  </si>
  <si>
    <t>0x671</t>
  </si>
  <si>
    <t>vcu控制反馈</t>
  </si>
  <si>
    <t>cod_spd_u16PosiTqLmtF</t>
  </si>
  <si>
    <t>cod_spd_u16PosiTqLmtR</t>
  </si>
  <si>
    <t>cod_spd_i16NegTqLmtF</t>
  </si>
  <si>
    <t>cod_spd_i16NegTqLmtR</t>
  </si>
  <si>
    <t>0x181</t>
  </si>
  <si>
    <t>cod_AutoDrv_bModFb</t>
  </si>
  <si>
    <t>0：InManualMod;1：InAutoDrvMod;</t>
  </si>
  <si>
    <t>cod_AutoDrv_bAvailableFb</t>
  </si>
  <si>
    <t>0：AutoDrive Not Available;1：AutoDrive Available;</t>
  </si>
  <si>
    <t>cod_AutoDrv_u8Cnt256</t>
  </si>
  <si>
    <t>cod_AutoDrv_CheckSum</t>
  </si>
  <si>
    <t>VCU—FMCU</t>
  </si>
  <si>
    <t>0x101</t>
  </si>
  <si>
    <t>vcu控制指令</t>
  </si>
  <si>
    <t>cod_mcu_bMotEn                                        
电机允许运行</t>
  </si>
  <si>
    <t>cod_mcuF_bMotEn</t>
  </si>
  <si>
    <t>0：无效；
1：有效；</t>
  </si>
  <si>
    <t>cod_mcu_u8MotModeCmd                                        电机状态控制</t>
  </si>
  <si>
    <t>cod_mcuF_u8MotModeCmd</t>
  </si>
  <si>
    <t>0:扭矩模式
1:转速模式
2:快速放电模式
3:电压控制(用于ISG系统)
4:零位模式(预留)
5：坡道保持</t>
  </si>
  <si>
    <t>电机防抖</t>
  </si>
  <si>
    <t>cod_mcuF_bDebounce</t>
  </si>
  <si>
    <t>0:off
1:on</t>
  </si>
  <si>
    <t>cod_mcu_u16MotSpdCmd                                        电机转速命令</t>
  </si>
  <si>
    <t>cod_mcuF_u16MotSpdCmd</t>
  </si>
  <si>
    <t>仅当电机模式控制信号为转速模式时此信号有效</t>
  </si>
  <si>
    <t>rmp</t>
  </si>
  <si>
    <t>cod_mcu_u16MotTqCmd                                      电机扭矩命令</t>
  </si>
  <si>
    <t>cod_mcuF_u16MotTqCmd</t>
  </si>
  <si>
    <t>电机模式控制信号为转矩模式 时，此信号为具体转矩命令； 电机模式控制信号为转速模式 时，此信号为最大转矩限值的绝对值；</t>
  </si>
  <si>
    <t>nm</t>
  </si>
  <si>
    <t>%VCU反馈状态</t>
  </si>
  <si>
    <t>%cod_mcuF_u8GearSts</t>
  </si>
  <si>
    <t>bit0：电机正转，bit1：电机反转 bit2:刹车信号 bit3：油门0位状态 bit4：手刹信号，bit5:电磁刹车信号</t>
  </si>
  <si>
    <t>cod_mcu_bMcuOffAllow                                  mcu低压下电允许</t>
  </si>
  <si>
    <t>cod_mcuF_bMcuOffAllow</t>
  </si>
  <si>
    <t>0：不允许。1：允许</t>
  </si>
  <si>
    <t>cod_mcu_u8Cnt128                                     滾码校验</t>
  </si>
  <si>
    <t>cod_mcuF_u8Fvcu1Cnt128</t>
  </si>
  <si>
    <t>每个发送周期加1</t>
  </si>
  <si>
    <t>cod_mcu_u8Vcu1CheckSum                                     Vcu1CheckSum</t>
  </si>
  <si>
    <t>cod_mcuF_bFvcu1CheckSum</t>
  </si>
  <si>
    <t>Checksum arithmetic is  byte7 = ~
（byte 0 XOR byte 1 XOR byte2 XOR byte3 XOR byte4 XOR byte5 XOR byte6）.
CheckSum值的计算公式为byte7等于 byte0异或byte1异或byte2异或byte3异或byte4异或byte5异或byte6得到的值再取反；
如果CheckSum信号值不正确，认为该帧信息无效；</t>
  </si>
  <si>
    <t>VCU—前DMCU2</t>
  </si>
  <si>
    <t>%0x111</t>
  </si>
  <si>
    <t>转速限值</t>
  </si>
  <si>
    <t>cod_mcuF_u16ChrgCurrLmt</t>
  </si>
  <si>
    <t>cod_mcuF_u16DisChrgCurrLmt</t>
  </si>
  <si>
    <t xml:space="preserve">cod_mcuF_u8Fvcu2Cnt128 </t>
  </si>
  <si>
    <t xml:space="preserve">cod_mcuF_u8Fvcu2Cnt128  </t>
  </si>
  <si>
    <t>cod_mcuF_bFvcu2CheckSum</t>
  </si>
  <si>
    <t>前DMCU—VCU1</t>
  </si>
  <si>
    <t>0x102</t>
  </si>
  <si>
    <t>前电机控制器状态反馈</t>
  </si>
  <si>
    <t>hld_mcu_u16MotSpd                                 电机转速</t>
  </si>
  <si>
    <t>hld_mcuF_u16MotSpd</t>
  </si>
  <si>
    <t>-</t>
  </si>
  <si>
    <t>备注改为前电机实际转速</t>
  </si>
  <si>
    <t>hld_mcu_u16MotTq                               电机转矩</t>
  </si>
  <si>
    <t>hld_mcuF_u16MotTq</t>
  </si>
  <si>
    <t>电机开管状态</t>
  </si>
  <si>
    <t>hld_mcuF_bIGBTstate</t>
  </si>
  <si>
    <t>0：关管
1：开管</t>
  </si>
  <si>
    <t>hld_mcu_u8MotMode                               MCU当前模式</t>
  </si>
  <si>
    <t>hld_mcuF_u8MotMode</t>
  </si>
  <si>
    <t>hld_mcu_u8McuFltLvl                                故障等级</t>
  </si>
  <si>
    <t>hld_mcuF_u8McuFltLvl</t>
  </si>
  <si>
    <t>0:Normal
1:Warning (Notify &amp; No action)
2:Warning (derating)
3:Fault</t>
  </si>
  <si>
    <t>hld_mcu_u8Cnt128                                 滾码校验</t>
  </si>
  <si>
    <t>hld_mcuF_u8Fmcu1Cnt128</t>
  </si>
  <si>
    <t>hld_mcu_u8Mcu1CheckSum                                Mcu1CheckSum</t>
  </si>
  <si>
    <t>hld_mcuF_u8Fmcu1CheckSum</t>
  </si>
  <si>
    <t>备注改为FDMCU发送校验和</t>
  </si>
  <si>
    <t>前DMCU—VCU2</t>
  </si>
  <si>
    <t>0x112</t>
  </si>
  <si>
    <t>前电机控制器电流电压状态反馈</t>
  </si>
  <si>
    <t>hld_mcuF_u16DcLinkVot</t>
  </si>
  <si>
    <t>hld_mcu_u16DcLinkVot                                直流母线电压</t>
  </si>
  <si>
    <t>0、3200</t>
  </si>
  <si>
    <t>hld_mcu_u16DcLinkCur                               直流母线电流</t>
  </si>
  <si>
    <t>hld_mcuF_u16DcLinkCur</t>
  </si>
  <si>
    <t>充电为负、放电为正</t>
  </si>
  <si>
    <t>-1600、1600</t>
  </si>
  <si>
    <t>hld_mcuF_u16PhaseCur                               相电流</t>
  </si>
  <si>
    <t>hld_mcuF_u16PhaseCur</t>
  </si>
  <si>
    <t>0、6400</t>
  </si>
  <si>
    <t>Motor controller AC voltage
电机控制器AC电压</t>
  </si>
  <si>
    <t>hld_mcuF_u16ACVoltage</t>
  </si>
  <si>
    <t>有效值：0-60000（0-6000V）最小计量单</t>
  </si>
  <si>
    <t>0-6000</t>
  </si>
  <si>
    <t>%hld_mcu_u8Cnt128A                               滾码校验</t>
  </si>
  <si>
    <t>%hld_mcuF_u8Fmcu2Cnt128</t>
  </si>
  <si>
    <t>0、7</t>
  </si>
  <si>
    <t>%hld_mcu_u8Mcu2CheckSum Mcu2CheckSum</t>
  </si>
  <si>
    <t>%hld_mcuF_u8Fmcu2CheckSum</t>
  </si>
  <si>
    <t>0、255</t>
  </si>
  <si>
    <t>前DMCU—VCU3</t>
  </si>
  <si>
    <t>0x412</t>
  </si>
  <si>
    <t>前电机控制器扭矩限值反馈</t>
  </si>
  <si>
    <t>hld_mcu_u16DrvTqMax 
最大可用驱动扭矩</t>
  </si>
  <si>
    <t>hld_mcuF_u16DrvTqMax</t>
  </si>
  <si>
    <t>NM</t>
  </si>
  <si>
    <t>hld_mcu_u16System_Efficiency
系统效率</t>
  </si>
  <si>
    <t>hld_mcuF_u16SystemEffciency</t>
  </si>
  <si>
    <t>%hld_mcu_u16BrkTqMax
最大可用制动扭矩</t>
  </si>
  <si>
    <t>%hld_mcuF_u16BrkTqMax</t>
  </si>
  <si>
    <t>Rotor Position
电机轴位置反馈</t>
  </si>
  <si>
    <t>hld_mcuF_u16MotPosition</t>
  </si>
  <si>
    <t>上电开始反馈，电机轴的位置，电角度一圈或机械角度一圈清零</t>
  </si>
  <si>
    <t>%hld_mcu_u8Cnt128B                              滾码校验</t>
  </si>
  <si>
    <t>hld_mcuF_u8Fmcu3Cnt128</t>
  </si>
  <si>
    <t>%hld_mcu_u8Mcu3CheckSum                              Mcu3CheckSum</t>
  </si>
  <si>
    <t>hld_mcuF_u8Fmcu3CheckSum</t>
  </si>
  <si>
    <t>前DMCU—VCU4</t>
  </si>
  <si>
    <t>0x402</t>
  </si>
  <si>
    <t>前电机故障反馈</t>
  </si>
  <si>
    <t>hld_mcuF_u8McuTemp                
电机控制器温度（IGBT温度）</t>
  </si>
  <si>
    <t xml:space="preserve">hld_mcuF_u8McuTemp     </t>
  </si>
  <si>
    <t>uint8_t</t>
  </si>
  <si>
    <t>hld_mcuF_u8MotTemp                            
电机温度</t>
  </si>
  <si>
    <t xml:space="preserve">hld_mcuF_u8MotTemp          </t>
  </si>
  <si>
    <t>mcuF_Busbar hardware overvoltage fault
母线硬件过压故障</t>
  </si>
  <si>
    <t>hld_mcuF_bHardwareOVFlt</t>
  </si>
  <si>
    <t>mcuF_Busbar hardware overvoltage fault</t>
  </si>
  <si>
    <t>mcuF_Busbar software overvoltage fault
母线软件过压故障</t>
  </si>
  <si>
    <t>hld_mcuF_bSoftwareOVFlt</t>
  </si>
  <si>
    <t>mcuF_Busbar software overvoltage fault</t>
  </si>
  <si>
    <t>mcuF_Phase current software overcurrent fault
相电流软件过流故障</t>
  </si>
  <si>
    <t>hld_mcuF_PhaseCurSWOvCurFlt</t>
  </si>
  <si>
    <t>mcuF_Phase current software overcurrent fault</t>
  </si>
  <si>
    <t>mcuF_Phase current hardware overcurrent fault
相电流硬件过流故障</t>
  </si>
  <si>
    <t>hld_mcuF_PhaseHWOvCurFlt</t>
  </si>
  <si>
    <t>mcuF_Phase current hardware overcurrent fault</t>
  </si>
  <si>
    <t>mcuF_U-phase current sensor validity faultU
相电流传感器有效性故障</t>
  </si>
  <si>
    <t>hld_mcuF_bUPhaseCurSensorFlt</t>
  </si>
  <si>
    <t>mcuF_U-phase current sensor validity fault</t>
  </si>
  <si>
    <t>mcuF_U-phase current sensor initialization faultU
相电流传感器初始化故障</t>
  </si>
  <si>
    <t>hld_mcuF_bUphasecurInitiaFlt</t>
  </si>
  <si>
    <t>mcuF_U-phase current sensor initialization fault</t>
  </si>
  <si>
    <t>mcuF_W-phase current sensor validity faultW
相电流传感器有效性故障</t>
  </si>
  <si>
    <t>hld_mcuF_bWPhaseCurSensorFlt</t>
  </si>
  <si>
    <t>mcuF_W-phase current sensor validity fault</t>
  </si>
  <si>
    <t>mcuF_W-phase current sensor initialization faultW
相电流传感器初始化故障</t>
  </si>
  <si>
    <t>hld_mcuF_bWPhaseCurLnitiaFlt</t>
  </si>
  <si>
    <t>mcuF_W-phase current sensor initialization fault</t>
  </si>
  <si>
    <t>mcuF_Power transistor through fault
功率管直通故障</t>
  </si>
  <si>
    <t>hld_mcuF_bPowTubThrouFlt</t>
  </si>
  <si>
    <t>mcuF_Power transistor through fault</t>
  </si>
  <si>
    <t>mcuF_Resolver signal fault
旋变信号故障</t>
  </si>
  <si>
    <t>hld_mcuF_bResolverSignFlt</t>
  </si>
  <si>
    <t>mcuF_Resolver signal fault</t>
  </si>
  <si>
    <t>mcuF_Resolver excitation fault
旋变激励故障</t>
  </si>
  <si>
    <t>hld_mcuF_bResolverExcitatFlt</t>
  </si>
  <si>
    <t>mcuF_Resolver excitation fault</t>
  </si>
  <si>
    <t>%mcuF_Current sensor 5V power supply fault
电流传感器5V供电故障</t>
  </si>
  <si>
    <t>hld_mcuF_CurSen5VPowSupFlt</t>
  </si>
  <si>
    <t>mcuF_Current sensor 5V power supply fault</t>
  </si>
  <si>
    <t>%mcuF_Software high load fault
软件负载过高故障</t>
  </si>
  <si>
    <t>hld_mcuF_bSoftwareOvloadFlt</t>
  </si>
  <si>
    <t>mcuF_Software high load fault</t>
  </si>
  <si>
    <t>mcuF_Stack overflow fault
堆栈溢出故障</t>
  </si>
  <si>
    <t>hld_mcuF_bStackOverFlowFlt</t>
  </si>
  <si>
    <t>mcuF_Stack overflow fault</t>
  </si>
  <si>
    <t>mcuF_MCU self-test failed
MCU自检失败</t>
  </si>
  <si>
    <t>hld_mcuF_bMCUSelfCheckFail</t>
  </si>
  <si>
    <t>mcuF_MCU self-test failed</t>
  </si>
  <si>
    <t>%mcuF_Bus overcurrent
母线过流</t>
  </si>
  <si>
    <t>hld_mcuF_bBusOvCur</t>
  </si>
  <si>
    <t>mcuF_Bus overcurrent</t>
  </si>
  <si>
    <t>mcuF_Low voltage undervoltage fault
低压欠压故障</t>
  </si>
  <si>
    <t>hld_mcuF_bLowVoUnderVolFlt</t>
  </si>
  <si>
    <t>mcuF_Low voltage undervoltage fault</t>
  </si>
  <si>
    <t>mcuF_Low voltage overvoltage fault
低压过压故障</t>
  </si>
  <si>
    <t>hld_mcuF_bLowVoOVerVolFlt</t>
  </si>
  <si>
    <t>mcuF_Low voltage overvoltage fault</t>
  </si>
  <si>
    <t>mcuF_Bus undervoltage fault
母线欠压故障</t>
  </si>
  <si>
    <t>hld_mcuF_bBusUnderVoFlt</t>
  </si>
  <si>
    <t>mcuF_Bus undervoltage fault</t>
  </si>
  <si>
    <t>mcuF_Controller over temperature fault
控制器过温故障</t>
  </si>
  <si>
    <t>hld_mcuF_bConOvertemFlt</t>
  </si>
  <si>
    <t>mcuF_Controller over temperature fault</t>
  </si>
  <si>
    <t>mcuF_Motor over temperature fault
电机过温故障</t>
  </si>
  <si>
    <t>hld_mcuF_bMotOvertemFlt</t>
  </si>
  <si>
    <t>mcuF_Motor over temperature fault</t>
  </si>
  <si>
    <t>mcuF_Motor overspeed warning fault
电机超速警告故障</t>
  </si>
  <si>
    <t>hld_mcuF_bMoyOvspdWarnFlt</t>
  </si>
  <si>
    <t>mcuF_Motor overspeed warning fault</t>
  </si>
  <si>
    <t>mcuF_Motor overspeed fault
电机超速故障</t>
  </si>
  <si>
    <t>hld_mcuF_bMoyOvspdFlt</t>
  </si>
  <si>
    <t>mcuF_Motor overspeed fault</t>
  </si>
  <si>
    <t>mcuF_Bus OFF fault
总线BUSOFF故障</t>
  </si>
  <si>
    <t>hld_mcuF_bCANBusOffFlt</t>
  </si>
  <si>
    <t>mcuF_Bus OFF fault</t>
  </si>
  <si>
    <t>mcuF_VCU communication timeout failure
VCU通讯超时故障</t>
  </si>
  <si>
    <t>hld_mcuF_bVCUCommTimeoutFlt</t>
  </si>
  <si>
    <t>mcuF_VCU communication timeout failure</t>
  </si>
  <si>
    <t>mcuF_Stalled rotor fault
堵转故障</t>
  </si>
  <si>
    <t>hld_mcuF_bStallFlt</t>
  </si>
  <si>
    <t>mcuF_Stalled rotor fault</t>
  </si>
  <si>
    <t>mcuF_Motor temperature sensor failure
电机温度传感器故障</t>
  </si>
  <si>
    <t>hld_mcuF_bMotTemSensorFlt</t>
  </si>
  <si>
    <t>mcuF_Motor temperature sensor failure</t>
  </si>
  <si>
    <t>%mcuF_Controller temperature sensor undervoltage fault
控制器温度传感器欠压故障</t>
  </si>
  <si>
    <t>hld_mcuF_McuTemSenUVFlt</t>
  </si>
  <si>
    <t>mcuF_Controller temperature sensor undervoltage fault</t>
  </si>
  <si>
    <t>mcuF_Bus overvoltage warning
母线过压警告</t>
  </si>
  <si>
    <t>hld_mcuF_bBusOverVoWarn</t>
  </si>
  <si>
    <t>mcuF_Bus overvoltage warning</t>
  </si>
  <si>
    <t>mcuF_Bus undervoltage warning
母线欠压警告</t>
  </si>
  <si>
    <t>hld_mcuF_bBusUnderVoWarn</t>
  </si>
  <si>
    <t>mcuF_Bus undervoltage warning</t>
  </si>
  <si>
    <t>mcuF_Controller over temperature warning
控制器过温警告</t>
  </si>
  <si>
    <t>hld_mcuF_bMcuOverTemWarn</t>
  </si>
  <si>
    <t>mcuF_Controller over temperature warning</t>
  </si>
  <si>
    <t>mcuF_Motor overtemperature warning
电机过温警告</t>
  </si>
  <si>
    <t>hld_mcuF_bMotOverTemWarn</t>
  </si>
  <si>
    <t>mcuF_Motor overtemperature warning</t>
  </si>
  <si>
    <t>mcuF_Rapid discharge fault
快速放电故障</t>
  </si>
  <si>
    <t>hld_mcuF_bRapidDischargeFlt</t>
  </si>
  <si>
    <t>mcuF_Rapid discharge fault</t>
  </si>
  <si>
    <t>%mcuF_Internal EEPROM failure
内部EEPROM故障</t>
  </si>
  <si>
    <t>hld_mcuF_bInterEEPROMFlt</t>
  </si>
  <si>
    <t>mcuF_Internal EEPROM failure</t>
  </si>
  <si>
    <t>前DMCU—VCU6</t>
  </si>
  <si>
    <t>%0x422</t>
  </si>
  <si>
    <t>前电控功率反馈</t>
  </si>
  <si>
    <r>
      <rPr>
        <sz val="12"/>
        <color rgb="FF000000"/>
        <rFont val="楷体"/>
        <family val="3"/>
        <charset val="134"/>
      </rPr>
      <t>DM_Power_actual
电机实际电功率</t>
    </r>
  </si>
  <si>
    <t>hld_mcuF_u16ActualPower</t>
  </si>
  <si>
    <t>uint16_t</t>
  </si>
  <si>
    <t>%电机实际电功率，电动为正、发电为负。Byte1为低字节；</t>
  </si>
  <si>
    <t>-300~300</t>
  </si>
  <si>
    <t>kW</t>
  </si>
  <si>
    <t>电机控制器相电流</t>
  </si>
  <si>
    <t>hld_mcuF_u16LineCurrent</t>
  </si>
  <si>
    <t>%有效值：0-20000（表示-1000-1000A）最小计量单位：0.1A；
"ff,fe"异常;"ff,ff"无效(驱动电流为正值，发电电流为负值)
车子运动时电池总电流减去车子上电静止状态电流?</t>
  </si>
  <si>
    <t>-1000-1000</t>
  </si>
  <si>
    <t>20240617改</t>
  </si>
  <si>
    <t>电机控制器AC电压</t>
  </si>
  <si>
    <t>hld_mcuF_u16ACVoltage</t>
  </si>
  <si>
    <t>%有效值：0-60000（0-6000V）最小计量单
位:0.1V;"ff,fe"异常;"ff,ff"无效</t>
  </si>
  <si>
    <t>0x502</t>
  </si>
  <si>
    <t>前电控生产日期</t>
  </si>
  <si>
    <t>Manufacture Number
生产编码</t>
  </si>
  <si>
    <t>hld_mcuF_u16ManufactureNum</t>
  </si>
  <si>
    <t>hld_mcuF_u8ProductionYear</t>
  </si>
  <si>
    <t>hld_mcuF_u8ProductionMonth</t>
  </si>
  <si>
    <t>1month/bit</t>
  </si>
  <si>
    <t>Production day
生产日期</t>
  </si>
  <si>
    <t>hld_mcuF_u8Productionday</t>
  </si>
  <si>
    <t>hld_mcuF_u8ProductionSn</t>
  </si>
  <si>
    <t>前DMCU—VCU5</t>
  </si>
  <si>
    <t>0x512</t>
  </si>
  <si>
    <t>前电控版本号</t>
  </si>
  <si>
    <t>hld_mcuF_u8SftSymb</t>
  </si>
  <si>
    <t>hld_mcuF_u8SoftProSymbol</t>
  </si>
  <si>
    <t>Send Project Symbol In ASCII Format, Range 0 To 9;</t>
  </si>
  <si>
    <t>hld_mcuF_u8SWVerFirSym</t>
  </si>
  <si>
    <t>Send Software Version Symbol In ASCII Format, Range 0 To 9;</t>
  </si>
  <si>
    <t>hld_mcuF_u8SoftVerSecSymbol</t>
  </si>
  <si>
    <t>hld_mcuF_u8HardSymbol</t>
  </si>
  <si>
    <t>Send Letter "H" In ASCII Format</t>
  </si>
  <si>
    <t>hld_mcuF_u8HardProSymbol</t>
  </si>
  <si>
    <t>hld_mcuF_u8HardVerFirSymbol</t>
  </si>
  <si>
    <t>Send Hardware Version Symbol In ASCII Format, Range 0 To 9;</t>
  </si>
  <si>
    <t>hld_mcuF_u8HardVerSecSymbol</t>
  </si>
  <si>
    <t>0x522</t>
  </si>
  <si>
    <t>前电控Bootloader 版本号</t>
  </si>
  <si>
    <t>hld_mcuF_u8BtSymb</t>
  </si>
  <si>
    <t>Bootloader Software Project Symbol
Bootloader 软件项目符号</t>
  </si>
  <si>
    <t>hld_mcuF_u8BootSoftProSymbol</t>
  </si>
  <si>
    <t>Bootloader Software Version First Symbol
Bootloader 软件版本第一个符号</t>
  </si>
  <si>
    <t>hld_mcuF_u8BtSWVerFirSym</t>
  </si>
  <si>
    <t>Bootloader Software Version Second Symbol
Bootloader 软件版本第二个符号</t>
  </si>
  <si>
    <t>hld_mcuF_u8BtSWVerSecSym</t>
  </si>
  <si>
    <t>VCU—后DMCU1</t>
  </si>
  <si>
    <t>0x121</t>
  </si>
  <si>
    <t>cod_mcu_bMotEn                                        电机允许运行</t>
  </si>
  <si>
    <t>cod_mcuR_bMotEn</t>
  </si>
  <si>
    <t>cod_mcuR_u8MotModeCmd</t>
  </si>
  <si>
    <t>0:扭矩模式
1:转速模式
2:快速放电模式
3:电压控制(用于ISG系统)
4:零位模式(预留)</t>
  </si>
  <si>
    <t>cod_mcuR_bDebounce</t>
  </si>
  <si>
    <t>cod_mcuR_u16MotSpdCmd</t>
  </si>
  <si>
    <t>cod_mcuR_u16MotTqCmd</t>
  </si>
  <si>
    <t>%cod_mcuR_u8GearSts</t>
  </si>
  <si>
    <t xml:space="preserve">cod_mcuR_bMcuOffAllow  </t>
  </si>
  <si>
    <t>cod_mcuR_u8Rvcu1Cnt128</t>
  </si>
  <si>
    <t>cod_mcuR_bRvcu1CheckSum</t>
  </si>
  <si>
    <t>VCU—后DMCU2</t>
  </si>
  <si>
    <t>%0x131</t>
  </si>
  <si>
    <t>cod_mcuR_u16ChrgCurrLmt</t>
  </si>
  <si>
    <t>cod_mcuR_u16DisChrgCurrLmt</t>
  </si>
  <si>
    <t xml:space="preserve">cod_mcuR_u8Fvcu2Cnt128 </t>
  </si>
  <si>
    <t>cod_mcuR_u8Rvcu2Cnt128</t>
  </si>
  <si>
    <t>cod_mcuR_bFvcu2CheckSum</t>
  </si>
  <si>
    <t>cod_mcuR_bRvcu2CheckSum</t>
  </si>
  <si>
    <t>后DMCU—VCU1</t>
  </si>
  <si>
    <t>0x103</t>
  </si>
  <si>
    <t>后电机控制器状态反馈</t>
  </si>
  <si>
    <t>hld_mcuR_u16MotSpd</t>
  </si>
  <si>
    <t>hld_mcuR_u16MotTq</t>
  </si>
  <si>
    <t>电机允许运行</t>
  </si>
  <si>
    <t>hld_mcuR_bIGBTstate</t>
  </si>
  <si>
    <t>hld_mcuR_u8MotMode</t>
  </si>
  <si>
    <t>hld_mcu_u8McuFltLvl 
故障等级</t>
  </si>
  <si>
    <t>hld_mcuR_u8McuFltLvl</t>
  </si>
  <si>
    <t>0:Normal
1:Warning 1(Notify) 2:Warning 2(derating)
3:Fault</t>
  </si>
  <si>
    <t>hld_mcuR_u8Rmcu1Cnt128</t>
  </si>
  <si>
    <t>hld_mcuR_u8Rmcu1CheckSum</t>
  </si>
  <si>
    <t>后DMCU—VCU2</t>
  </si>
  <si>
    <t>0x113</t>
  </si>
  <si>
    <t>后电机控制器电流电压状态反馈</t>
  </si>
  <si>
    <t>hld_mcuR_u16DcLinkVot</t>
  </si>
  <si>
    <t>hld_mcuR_u16DcLinkCur</t>
  </si>
  <si>
    <t>hld_mcu_u19DcLinkVot                                相电流</t>
  </si>
  <si>
    <t>hld_mcuR_u16PhaseCur</t>
  </si>
  <si>
    <t>hld_mcuR_u16ACVoltage</t>
  </si>
  <si>
    <t>hld_mcu_u8Cnt128A                               滾码校验</t>
  </si>
  <si>
    <t>hld_mcuR_u8Rmcu2Cnt128</t>
  </si>
  <si>
    <t>hld_mcu_u8Mcu2CheckSum Mcu2CheckSum</t>
  </si>
  <si>
    <t>hld_mcuR_u8Rmcu2CheckSum</t>
  </si>
  <si>
    <t>后DMCU—VCU3</t>
  </si>
  <si>
    <t>0x413</t>
  </si>
  <si>
    <t>后电机控制器扭矩限值反馈</t>
  </si>
  <si>
    <t>hld_mcu_u16DrvTqMax                               最大可用驱动扭矩</t>
  </si>
  <si>
    <t>hld_mcuR_u16DrvTqMax</t>
  </si>
  <si>
    <t>hld_mcu_u16System_Efficiency
系统效率</t>
  </si>
  <si>
    <t>hld_mcuR_u16System_Efficiency</t>
  </si>
  <si>
    <t>20260327改为系统效率</t>
  </si>
  <si>
    <t>%hld_mcu_u16BrkTqMax                              最大可用制动扭矩</t>
  </si>
  <si>
    <t>%hld_mcuR_u16BrkTqMax</t>
  </si>
  <si>
    <t>Rotor Position
 电机轴位置反馈</t>
  </si>
  <si>
    <t>hld_mcuR_u16MotPosition</t>
  </si>
  <si>
    <t>%hld_mcuR_u8Rmcu3Cnt128</t>
  </si>
  <si>
    <t xml:space="preserve">%hld_mcuR_u8Rmcu3CheckSum  </t>
  </si>
  <si>
    <t>后DMCU—VCU4</t>
  </si>
  <si>
    <t>0x403</t>
  </si>
  <si>
    <t>后电机故障反馈</t>
  </si>
  <si>
    <t>后电机故障反馈（以供应商为准）</t>
  </si>
  <si>
    <t>hld_mcu_u8McuTemp               
电机控制器温度（IGBT温度）</t>
  </si>
  <si>
    <t>hld_mcuR_u8McuTemp</t>
  </si>
  <si>
    <t>-40、210</t>
  </si>
  <si>
    <t>hld_mcu_u8MotTemp                  
电机温度</t>
  </si>
  <si>
    <t>hld_mcuR_u8MotTemp</t>
  </si>
  <si>
    <t>mcuR_Busbar hardware overvoltage fault
母线硬件过压故障</t>
  </si>
  <si>
    <t>hld_mcuR_bHardwareOVFlt</t>
  </si>
  <si>
    <t>0、1</t>
  </si>
  <si>
    <t>mcuR_Busbar hardware overvoltage fault</t>
  </si>
  <si>
    <t>mcuR_Busbar software overvoltage fault
母线软件过压故障</t>
  </si>
  <si>
    <t>hld_mcuR_bSoftwareOVFlt</t>
  </si>
  <si>
    <t>mcuR_Busbar software overvoltage fault</t>
  </si>
  <si>
    <t>mcuR_Phase current software overcurrent fault
相电流软件过流故障</t>
  </si>
  <si>
    <t>hld_mcuR_PhaseCurSWOvCurFlt</t>
  </si>
  <si>
    <t>mcuR_Phase current software overcurrent fault</t>
  </si>
  <si>
    <t>mcuR_Phase current hardware overcurrent fault
相电流硬件过流故障</t>
  </si>
  <si>
    <t>hld_mcuR_PhaseCurHWOvCurFlt</t>
  </si>
  <si>
    <t>mcuR_Phase current hardware overcurrent fault</t>
  </si>
  <si>
    <t>mcuR_U-phase current sensor validity faultU
相电流传感器有效性故障</t>
  </si>
  <si>
    <t>hld_mcuR_bUPhaseCurSensorFlt</t>
  </si>
  <si>
    <t>mcuR_U-phase current sensor validity fault</t>
  </si>
  <si>
    <t>mcuR_U-phase current sensor initialization faultU
相电流传感器初始化故障</t>
  </si>
  <si>
    <t>hld_mcuR_bUphasecurInitiaFlt</t>
  </si>
  <si>
    <t>mcuR_U-phase current sensor initialization fault</t>
  </si>
  <si>
    <t>mcuR_W-phase current sensor validity fault
W相电流传感器有效性故障</t>
  </si>
  <si>
    <t>hld_mcuR_bWPhaseCurSensorFlt</t>
  </si>
  <si>
    <t>mcuR_W-phase current sensor validity fault</t>
  </si>
  <si>
    <t>mcuR_W-phase current sensor initialization fault
W相电流传感器初始化故障</t>
  </si>
  <si>
    <t>hld_mcuR_bWPhaseCurLnitiaFlt</t>
  </si>
  <si>
    <t>mcuR_W-phase current sensor initialization fault</t>
  </si>
  <si>
    <t>mcuR_Power transistor through fault
功率管直通故障</t>
  </si>
  <si>
    <t>hld_mcuR_bPowTubThrouFlt</t>
  </si>
  <si>
    <t>mcuR_Power transistor through fault</t>
  </si>
  <si>
    <t>mcuR_Resolver signal fault
旋变信号故障</t>
  </si>
  <si>
    <t>hld_mcuR_bResolverSignFlt</t>
  </si>
  <si>
    <t>mcuR_Resolver signal fault</t>
  </si>
  <si>
    <t>mcuR_Resolver excitation fault
旋变激励故障</t>
  </si>
  <si>
    <t>hld_mcuR_bResolverExcitatFlt</t>
  </si>
  <si>
    <t>mcuR_Resolver excitation fault</t>
  </si>
  <si>
    <t>%mcuR_Current sensor 5V power supply fault
电流传感器5V供电故障</t>
  </si>
  <si>
    <t>hld_mcuR_CurSen5VPwrSupFlt</t>
  </si>
  <si>
    <t>mcuR_Current sensor 5V power supply fault</t>
  </si>
  <si>
    <t>%mcuR_Software high load fault
软件负载过高故障</t>
  </si>
  <si>
    <t>hld_mcuR_bSoftwareOvloadFlt</t>
  </si>
  <si>
    <t>mcuR_Software high load fault</t>
  </si>
  <si>
    <t>mcuR_Stack overflow fault
堆栈溢出故障</t>
  </si>
  <si>
    <t>hld_mcuR_bStackOverFlowFlt</t>
  </si>
  <si>
    <t>mcuR_Stack overflow fault</t>
  </si>
  <si>
    <t>mcuR_MCU self-test failedMCU
自检失败</t>
  </si>
  <si>
    <t>hld_mcuR_bMCUSelfCheckFail</t>
  </si>
  <si>
    <t>mcuR_MCU self-test failed</t>
  </si>
  <si>
    <t>%mcuR_Bus overcurrent
母线过流</t>
  </si>
  <si>
    <t>hld_mcuR_bBusOvCur</t>
  </si>
  <si>
    <t>mcuR_Bus overcurrent</t>
  </si>
  <si>
    <t>mcuR_Low voltage undervoltage fault
低压欠压故障</t>
  </si>
  <si>
    <t>hld_mcuR_bLowVoUnderVolFlt</t>
  </si>
  <si>
    <t>mcuR_Low voltage undervoltage fault</t>
  </si>
  <si>
    <t>mcuR_Low voltage overvoltage fault
低压过压故障</t>
  </si>
  <si>
    <t>hld_mcuR_bLowVoOVerVolFlt</t>
  </si>
  <si>
    <t>mcuR_Low voltage overvoltage fault</t>
  </si>
  <si>
    <t>mcuR_Bus undervoltage fault
母线欠压故障</t>
  </si>
  <si>
    <t>hld_mcuR_bBusUnderVoFlt</t>
  </si>
  <si>
    <t>mcuR_Bus undervoltage fault</t>
  </si>
  <si>
    <t>mcuR_Controller over temperature fault
控制器过温故障</t>
  </si>
  <si>
    <t>hld_mcuR_bConOvertemFlt</t>
  </si>
  <si>
    <t>mcuR_Controller over temperature fault</t>
  </si>
  <si>
    <t>mcuR_Motor over temperature fault
电机过温故障</t>
  </si>
  <si>
    <t>hld_mcuR_bMotOvertemFlt</t>
  </si>
  <si>
    <t>mcuR_Motor over temperature fault</t>
  </si>
  <si>
    <t>mcuR_Motor overspeed warning fault
电机超速警告故障</t>
  </si>
  <si>
    <t>hld_mcuR_bMoyOvspdWarnFlt</t>
  </si>
  <si>
    <t>mcuR_Motor overspeed warning fault</t>
  </si>
  <si>
    <t>mcuR_Motor overspeed fault
电机超速故障</t>
  </si>
  <si>
    <t>hld_mcuR_bMoyOvspdFlt</t>
  </si>
  <si>
    <t>mcuR_Motor overspeed fault</t>
  </si>
  <si>
    <t>mcuR_Bus OFF fault
总线BUSOFF故障</t>
  </si>
  <si>
    <t>hld_mcuR_bCANBusOffFlt</t>
  </si>
  <si>
    <t>mcuR_Bus OFF fault</t>
  </si>
  <si>
    <t>mcuR_VCU communication timeout failure
VCU通讯超时故障</t>
  </si>
  <si>
    <t>hld_mcuR_bVCUCommTimeoutFlt</t>
  </si>
  <si>
    <t>mcuR_VCU communication timeout failure</t>
  </si>
  <si>
    <t>mcuR_Stalled rotor fault
堵转故障</t>
  </si>
  <si>
    <t>hld_mcuR_bStallFlt</t>
  </si>
  <si>
    <t>mcuR_Stalled rotor fault</t>
  </si>
  <si>
    <t>mcuR_Motor temperature sensor failure
电机温度传感器故障</t>
  </si>
  <si>
    <t>hld_mcuR_bMotTemSensorFlt</t>
  </si>
  <si>
    <t>mcuR_Motor temperature sensor failure</t>
  </si>
  <si>
    <t>%mcuR_Controller temperature sensor undervoltage fault
控制器温度传感器欠压故障</t>
  </si>
  <si>
    <t>hld_mcuR_McuTemSenUVFlt</t>
  </si>
  <si>
    <t>mcuR_Controller temperature sensor undervoltage fault</t>
  </si>
  <si>
    <t>mcuR_Bus overvoltage warning
母线过压警告</t>
  </si>
  <si>
    <t>hld_mcuR_bBusOverVoWarn</t>
  </si>
  <si>
    <t>mcuR_Bus overvoltage warning</t>
  </si>
  <si>
    <t>mcuR_Bus undervoltage warning
母线欠压警告</t>
  </si>
  <si>
    <t>hld_mcuR_bBusUnderVoWarn</t>
  </si>
  <si>
    <t>mcuR_Bus undervoltage warning</t>
  </si>
  <si>
    <t>mcuR_Controller over temperature warnin
g控制器过温警告</t>
  </si>
  <si>
    <t>hld_mcuR_bMcuOverTemWarn</t>
  </si>
  <si>
    <t>mcuR_Controller over temperature warning</t>
  </si>
  <si>
    <t>mcuR_Motor overtemperature warning
电机过温警告</t>
  </si>
  <si>
    <t>hld_mcuR_bMotOverTemWarn</t>
  </si>
  <si>
    <t>mcuR_Motor overtemperature warning</t>
  </si>
  <si>
    <t>mcuR_Rapid discharge fault
快速放电故障</t>
  </si>
  <si>
    <t>hld_mcuR_bRapidDischargeFlt</t>
  </si>
  <si>
    <t>mcuR_Rapid discharge fault</t>
  </si>
  <si>
    <t>%mcuR_Internal EEPROM failure
内部EEPROM故障</t>
  </si>
  <si>
    <t>hld_mcuR_bInterEEPROMFlt</t>
  </si>
  <si>
    <t>mcuR_Internal EEPROM failure</t>
  </si>
  <si>
    <t>后DMCU—VCU6</t>
  </si>
  <si>
    <t>%0x423</t>
  </si>
  <si>
    <t>后电控功率反馈</t>
  </si>
  <si>
    <t>hld_mcuR_u16ActualPower</t>
  </si>
  <si>
    <t>电机控制器母线电流</t>
  </si>
  <si>
    <t>hld_mcuR_u16LineCurrent</t>
  </si>
  <si>
    <t>0x503</t>
  </si>
  <si>
    <t>后电生产日期</t>
  </si>
  <si>
    <t>hld_mcuR_u16ManufNum</t>
  </si>
  <si>
    <t>hld_mcuR_u8ProductionYear</t>
  </si>
  <si>
    <t>hld_mcuR_u8ProductionMonth</t>
  </si>
  <si>
    <t>hld_mcuR_u8Productionday</t>
  </si>
  <si>
    <t>hld_mcuR_u8ProductionSn</t>
  </si>
  <si>
    <t>后DMCU—VCU5</t>
  </si>
  <si>
    <t>0x513</t>
  </si>
  <si>
    <t>后电控版本号</t>
  </si>
  <si>
    <t>hld_mcuR_u8SftSymb</t>
  </si>
  <si>
    <t>hld_mcuR_u8SoftProSymbol</t>
  </si>
  <si>
    <t>hld_mcuR_u8SWVerFirSym</t>
  </si>
  <si>
    <t>hld_mcuR_u8SoftVerSecSymbol</t>
  </si>
  <si>
    <t>hld_mcuR_u8HardSymbol</t>
  </si>
  <si>
    <t>hld_mcuR_u8HardProSymbol</t>
  </si>
  <si>
    <t>hld_mcuR_u8HWVerFirSym</t>
  </si>
  <si>
    <t>hld_mcuR_u8HardVerSecSymbol</t>
  </si>
  <si>
    <t>0x523</t>
  </si>
  <si>
    <t>后电控Bootloader 版本号</t>
  </si>
  <si>
    <t>hld_mcuR_u8BtSymb</t>
  </si>
  <si>
    <t>hld_mcuR_u8BootSoftProSymbol</t>
  </si>
  <si>
    <t>hld_mcuR_u8BtSWVerFirSym</t>
  </si>
  <si>
    <t>hld_mcuR_u8BtSWVerSecSym</t>
  </si>
  <si>
    <t>VCU_EPS</t>
  </si>
  <si>
    <t>%0x161</t>
  </si>
  <si>
    <t>20ms</t>
  </si>
  <si>
    <t>EPS设置</t>
  </si>
  <si>
    <t>DriveMode
控制器运行模式控制位</t>
  </si>
  <si>
    <t>cod_EPS_bDrvModCmd</t>
  </si>
  <si>
    <t>0:手动模式; 1:线控模式</t>
  </si>
  <si>
    <t>SetWheelZeroPoint
角度中位标中设置位</t>
  </si>
  <si>
    <t>cod_EPS_bSetWhlZeroPosCmd</t>
  </si>
  <si>
    <t>0:不设置方向盘中位; 1:设置当前位置为方向盘中位</t>
  </si>
  <si>
    <t>cod_EPSSthSet</t>
  </si>
  <si>
    <t>AngleRef
EPS角度指令</t>
  </si>
  <si>
    <t>cod_EPS_i16AngleCmd</t>
  </si>
  <si>
    <t>%'-510..510</t>
  </si>
  <si>
    <t>-510..510</t>
  </si>
  <si>
    <t>AngleRateRef
EPS角速度指令</t>
  </si>
  <si>
    <t>cod_EPS_u16AngleSpdCmd</t>
  </si>
  <si>
    <t>%50..520</t>
  </si>
  <si>
    <t>50..520</t>
  </si>
  <si>
    <t>deg/s</t>
  </si>
  <si>
    <t>0x2E1</t>
  </si>
  <si>
    <t>给EPS车速</t>
  </si>
  <si>
    <t>20240815增</t>
  </si>
  <si>
    <t>Vehicle_Speed</t>
  </si>
  <si>
    <t>cod_eps_u8VehicleSpeed</t>
  </si>
  <si>
    <t>0..255</t>
  </si>
  <si>
    <t>EPS_VCU1</t>
  </si>
  <si>
    <t>0x114</t>
  </si>
  <si>
    <t>EPS反馈状态信息报文1</t>
  </si>
  <si>
    <r>
      <rPr>
        <sz val="12"/>
        <color rgb="FF000000"/>
        <rFont val="楷体"/>
        <family val="3"/>
        <charset val="134"/>
      </rPr>
      <t xml:space="preserve">DriveModeFbk
</t>
    </r>
    <r>
      <rPr>
        <sz val="12"/>
        <color rgb="FF000000"/>
        <rFont val="楷体"/>
        <family val="3"/>
        <charset val="134"/>
      </rPr>
      <t>控制器运行模式反馈位</t>
    </r>
  </si>
  <si>
    <t>hld_eps_bDriveModeFb</t>
  </si>
  <si>
    <t>0：手动模式；
1：线控模式；</t>
  </si>
  <si>
    <r>
      <rPr>
        <sz val="12"/>
        <color rgb="FF000000"/>
        <rFont val="楷体"/>
        <family val="3"/>
        <charset val="134"/>
      </rPr>
      <t xml:space="preserve">EPSFault
</t>
    </r>
    <r>
      <rPr>
        <sz val="12"/>
        <color rgb="FF000000"/>
        <rFont val="楷体"/>
        <family val="3"/>
        <charset val="134"/>
      </rPr>
      <t>控制器故障反馈位</t>
    </r>
  </si>
  <si>
    <r>
      <rPr>
        <sz val="11"/>
        <color rgb="FF000000"/>
        <rFont val="等线"/>
        <family val="3"/>
        <charset val="134"/>
      </rPr>
      <t>hld_eps</t>
    </r>
    <r>
      <rPr>
        <sz val="11"/>
        <color rgb="FF000000"/>
        <rFont val="等线"/>
        <family val="3"/>
        <charset val="134"/>
      </rPr>
      <t>_</t>
    </r>
    <r>
      <rPr>
        <sz val="11"/>
        <color rgb="FF000000"/>
        <rFont val="等线"/>
        <family val="3"/>
        <charset val="134"/>
      </rPr>
      <t>bEpsFlt</t>
    </r>
  </si>
  <si>
    <t>0：EPS无故障；
1：EPS有故障；</t>
  </si>
  <si>
    <r>
      <rPr>
        <sz val="12"/>
        <color rgb="FF000000"/>
        <rFont val="楷体"/>
        <family val="3"/>
        <charset val="134"/>
      </rPr>
      <t xml:space="preserve">ZeroPointStatusFbk
</t>
    </r>
    <r>
      <rPr>
        <sz val="12"/>
        <color rgb="FF000000"/>
        <rFont val="楷体"/>
        <family val="3"/>
        <charset val="134"/>
      </rPr>
      <t>角度中位标志位</t>
    </r>
  </si>
  <si>
    <r>
      <rPr>
        <sz val="11"/>
        <color rgb="FF000000"/>
        <rFont val="等线"/>
        <family val="3"/>
        <charset val="134"/>
      </rPr>
      <t>hld_eps</t>
    </r>
    <r>
      <rPr>
        <sz val="11"/>
        <color rgb="FF000000"/>
        <rFont val="等线"/>
        <family val="3"/>
        <charset val="134"/>
      </rPr>
      <t>_</t>
    </r>
    <r>
      <rPr>
        <sz val="11"/>
        <color rgb="FF000000"/>
        <rFont val="等线"/>
        <family val="3"/>
        <charset val="134"/>
      </rPr>
      <t>bWheelZeroPosFb</t>
    </r>
  </si>
  <si>
    <t>0：中位已标定（重新上电后发）；
1：中位未标定；
2：标定成功（当前驾驶循环）；
3：标定失败（当前驾驶循环）；</t>
  </si>
  <si>
    <t>hld_eps_EPSSthFb</t>
  </si>
  <si>
    <r>
      <rPr>
        <sz val="12"/>
        <color rgb="FF000000"/>
        <rFont val="楷体"/>
        <family val="3"/>
        <charset val="134"/>
      </rPr>
      <t xml:space="preserve">AngleFbk
</t>
    </r>
    <r>
      <rPr>
        <sz val="12"/>
        <color rgb="FF000000"/>
        <rFont val="楷体"/>
        <family val="3"/>
        <charset val="134"/>
      </rPr>
      <t>当前</t>
    </r>
    <r>
      <rPr>
        <sz val="12"/>
        <color rgb="FF000000"/>
        <rFont val="楷体"/>
        <family val="3"/>
        <charset val="134"/>
      </rPr>
      <t>EPS</t>
    </r>
    <r>
      <rPr>
        <sz val="12"/>
        <color rgb="FF000000"/>
        <rFont val="楷体"/>
        <family val="3"/>
        <charset val="134"/>
      </rPr>
      <t>角度</t>
    </r>
  </si>
  <si>
    <t>hld_eps_i16AngleFb</t>
  </si>
  <si>
    <t>当前EPS角度</t>
  </si>
  <si>
    <t>-720~720</t>
  </si>
  <si>
    <t>AngleRateFbk
当前EPS角速度</t>
  </si>
  <si>
    <t>hld_eps_u16AngleSpdFb</t>
  </si>
  <si>
    <t>当前EPS角速度</t>
  </si>
  <si>
    <t>0~6553.5</t>
  </si>
  <si>
    <r>
      <rPr>
        <sz val="12"/>
        <color rgb="FF000000"/>
        <rFont val="楷体"/>
        <family val="3"/>
        <charset val="134"/>
      </rPr>
      <t xml:space="preserve">EPSTorque
</t>
    </r>
    <r>
      <rPr>
        <sz val="12"/>
        <color rgb="FF000000"/>
        <rFont val="楷体"/>
        <family val="3"/>
        <charset val="134"/>
      </rPr>
      <t>当前输入轴扭矩</t>
    </r>
  </si>
  <si>
    <t>hld_eps_i8EpsTq</t>
  </si>
  <si>
    <t>当前输入轴扭矩</t>
  </si>
  <si>
    <t>-10~10</t>
  </si>
  <si>
    <t>Nm</t>
  </si>
  <si>
    <r>
      <rPr>
        <sz val="12"/>
        <color rgb="FF000000"/>
        <rFont val="楷体"/>
        <family val="3"/>
        <charset val="134"/>
      </rPr>
      <t xml:space="preserve">ECUTempFbk
</t>
    </r>
    <r>
      <rPr>
        <sz val="12"/>
        <color rgb="FF000000"/>
        <rFont val="楷体"/>
        <family val="3"/>
        <charset val="134"/>
      </rPr>
      <t>当前控制器温度</t>
    </r>
  </si>
  <si>
    <t>hld_eps_i8EcuTemp</t>
  </si>
  <si>
    <t>当前控制器温度</t>
  </si>
  <si>
    <t>-50~200</t>
  </si>
  <si>
    <r>
      <rPr>
        <sz val="12"/>
        <color rgb="FF000000"/>
        <rFont val="楷体"/>
        <family val="3"/>
        <charset val="134"/>
      </rPr>
      <t xml:space="preserve">EPS_Error_Level_1
</t>
    </r>
    <r>
      <rPr>
        <sz val="12"/>
        <color rgb="FF000000"/>
        <rFont val="楷体"/>
        <family val="3"/>
        <charset val="134"/>
      </rPr>
      <t>一级故障（停止助力）</t>
    </r>
  </si>
  <si>
    <t>hld_eps_bEpsErrLvl1</t>
  </si>
  <si>
    <t>0：无通讯故障；
1：通讯故障；</t>
  </si>
  <si>
    <r>
      <rPr>
        <sz val="12"/>
        <color rgb="FF000000"/>
        <rFont val="楷体"/>
        <family val="3"/>
        <charset val="134"/>
      </rPr>
      <t xml:space="preserve">EPS_Error_Level_2
</t>
    </r>
    <r>
      <rPr>
        <sz val="12"/>
        <color rgb="FF000000"/>
        <rFont val="楷体"/>
        <family val="3"/>
        <charset val="134"/>
      </rPr>
      <t>二级故障（降助力）</t>
    </r>
  </si>
  <si>
    <r>
      <rPr>
        <sz val="11"/>
        <color rgb="FF000000"/>
        <rFont val="等线"/>
        <family val="3"/>
        <charset val="134"/>
      </rPr>
      <t>hld_eps</t>
    </r>
    <r>
      <rPr>
        <sz val="11"/>
        <color rgb="FF000000"/>
        <rFont val="等线"/>
        <family val="3"/>
        <charset val="134"/>
      </rPr>
      <t>_</t>
    </r>
    <r>
      <rPr>
        <sz val="11"/>
        <color rgb="FF000000"/>
        <rFont val="等线"/>
        <family val="3"/>
        <charset val="134"/>
      </rPr>
      <t>bEpsErrLvl2</t>
    </r>
  </si>
  <si>
    <t>0：无三级故障；
1：三级故障；</t>
  </si>
  <si>
    <r>
      <rPr>
        <sz val="12"/>
        <color rgb="FF000000"/>
        <rFont val="楷体"/>
        <family val="3"/>
        <charset val="134"/>
      </rPr>
      <t xml:space="preserve">EPS_Error_Level_3
</t>
    </r>
    <r>
      <rPr>
        <sz val="12"/>
        <color rgb="FF000000"/>
        <rFont val="楷体"/>
        <family val="3"/>
        <charset val="134"/>
      </rPr>
      <t>三级故障（不影响助力）</t>
    </r>
  </si>
  <si>
    <r>
      <rPr>
        <sz val="11"/>
        <color rgb="FF000000"/>
        <rFont val="等线"/>
        <family val="3"/>
        <charset val="134"/>
      </rPr>
      <t>hld_eps</t>
    </r>
    <r>
      <rPr>
        <sz val="11"/>
        <color rgb="FF000000"/>
        <rFont val="等线"/>
        <family val="3"/>
        <charset val="134"/>
      </rPr>
      <t>_</t>
    </r>
    <r>
      <rPr>
        <sz val="11"/>
        <color rgb="FF000000"/>
        <rFont val="等线"/>
        <family val="3"/>
        <charset val="134"/>
      </rPr>
      <t>bEpsErrLvl3</t>
    </r>
  </si>
  <si>
    <t>0：无二级故障；
1：二级故障；</t>
  </si>
  <si>
    <r>
      <rPr>
        <sz val="12"/>
        <color rgb="FF000000"/>
        <rFont val="楷体"/>
        <family val="3"/>
        <charset val="134"/>
      </rPr>
      <t xml:space="preserve">EPS_Error_Level_communication
</t>
    </r>
    <r>
      <rPr>
        <sz val="12"/>
        <color rgb="FF000000"/>
        <rFont val="楷体"/>
        <family val="3"/>
        <charset val="134"/>
      </rPr>
      <t>通讯故障</t>
    </r>
  </si>
  <si>
    <t>hld_eps_bEpsComErr</t>
  </si>
  <si>
    <t>0：无一级故障；
1：一级故障；</t>
  </si>
  <si>
    <t>EPS_Error_Level_communication
故障码</t>
  </si>
  <si>
    <t>hld_eps_bEpsFaultCode</t>
  </si>
  <si>
    <r>
      <rPr>
        <sz val="12"/>
        <color rgb="FF000000"/>
        <rFont val="楷体"/>
        <family val="3"/>
        <charset val="134"/>
      </rPr>
      <t xml:space="preserve">0：fault free；无故障
1：Input overvoltage；输入过压
2：Input undervoltage；输入欠压
3：Controller overtemperature；控制器过温
4：Torque sensor failure；扭矩传感器故障
5：Angle sensor fault；角度传感器故障
</t>
    </r>
    <r>
      <rPr>
        <sz val="12"/>
        <color rgb="FFFF0000"/>
        <rFont val="楷体"/>
        <family val="3"/>
        <charset val="134"/>
      </rPr>
      <t xml:space="preserve">6：Controller error 控制器内部故障
</t>
    </r>
    <r>
      <rPr>
        <sz val="12"/>
        <color rgb="FF000000"/>
        <rFont val="楷体"/>
        <family val="3"/>
        <charset val="134"/>
      </rPr>
      <t xml:space="preserve">7：communication failure；通讯故障
8：Angle median is not calibrated；角度中位未标定
9：Motor and drive failure；电机及驱动故障
</t>
    </r>
  </si>
  <si>
    <t>0401~0408</t>
  </si>
  <si>
    <t>EPS_VCU2</t>
  </si>
  <si>
    <t>0x504</t>
  </si>
  <si>
    <t>EPS版本号</t>
  </si>
  <si>
    <r>
      <rPr>
        <sz val="12"/>
        <color rgb="FF000000"/>
        <rFont val="楷体"/>
        <family val="3"/>
        <charset val="134"/>
      </rPr>
      <t xml:space="preserve">Software Symbol
</t>
    </r>
    <r>
      <rPr>
        <sz val="12"/>
        <color rgb="FF000000"/>
        <rFont val="楷体"/>
        <family val="3"/>
        <charset val="134"/>
      </rPr>
      <t>软件符号</t>
    </r>
  </si>
  <si>
    <t>Send Letter "S" In ASCII Format</t>
  </si>
  <si>
    <r>
      <rPr>
        <sz val="12"/>
        <color rgb="FF000000"/>
        <rFont val="楷体"/>
        <family val="3"/>
        <charset val="134"/>
      </rPr>
      <t xml:space="preserve">Software Project Symbol
</t>
    </r>
    <r>
      <rPr>
        <sz val="12"/>
        <color rgb="FF000000"/>
        <rFont val="楷体"/>
        <family val="3"/>
        <charset val="134"/>
      </rPr>
      <t>软件项目符号</t>
    </r>
  </si>
  <si>
    <r>
      <rPr>
        <sz val="12"/>
        <color rgb="FF000000"/>
        <rFont val="楷体"/>
        <family val="3"/>
        <charset val="134"/>
      </rPr>
      <t xml:space="preserve">Software Version First Symbol
</t>
    </r>
    <r>
      <rPr>
        <sz val="12"/>
        <color rgb="FF000000"/>
        <rFont val="楷体"/>
        <family val="3"/>
        <charset val="134"/>
      </rPr>
      <t>软件版本第一个符号</t>
    </r>
  </si>
  <si>
    <r>
      <rPr>
        <sz val="12"/>
        <color rgb="FF000000"/>
        <rFont val="楷体"/>
        <family val="3"/>
        <charset val="134"/>
      </rPr>
      <t xml:space="preserve">Software Version Second Symbol
</t>
    </r>
    <r>
      <rPr>
        <sz val="12"/>
        <color rgb="FF000000"/>
        <rFont val="楷体"/>
        <family val="3"/>
        <charset val="134"/>
      </rPr>
      <t>软件版本第二个符号</t>
    </r>
  </si>
  <si>
    <r>
      <rPr>
        <sz val="12"/>
        <color rgb="FF000000"/>
        <rFont val="楷体"/>
        <family val="3"/>
        <charset val="134"/>
      </rPr>
      <t xml:space="preserve">Hardware Symbol
</t>
    </r>
    <r>
      <rPr>
        <sz val="12"/>
        <color rgb="FF000000"/>
        <rFont val="楷体"/>
        <family val="3"/>
        <charset val="134"/>
      </rPr>
      <t>硬件符号</t>
    </r>
  </si>
  <si>
    <r>
      <rPr>
        <sz val="12"/>
        <color rgb="FF000000"/>
        <rFont val="楷体"/>
        <family val="3"/>
        <charset val="134"/>
      </rPr>
      <t xml:space="preserve">Hardware Project Symbol
</t>
    </r>
    <r>
      <rPr>
        <sz val="12"/>
        <color rgb="FF000000"/>
        <rFont val="楷体"/>
        <family val="3"/>
        <charset val="134"/>
      </rPr>
      <t>硬件项目符号</t>
    </r>
  </si>
  <si>
    <r>
      <rPr>
        <sz val="12"/>
        <color rgb="FF000000"/>
        <rFont val="楷体"/>
        <family val="3"/>
        <charset val="134"/>
      </rPr>
      <t xml:space="preserve">Hardware Version First Symbol
</t>
    </r>
    <r>
      <rPr>
        <sz val="12"/>
        <color rgb="FF000000"/>
        <rFont val="楷体"/>
        <family val="3"/>
        <charset val="134"/>
      </rPr>
      <t>硬件版本第一个符号</t>
    </r>
  </si>
  <si>
    <r>
      <rPr>
        <sz val="12"/>
        <color rgb="FF000000"/>
        <rFont val="楷体"/>
        <family val="3"/>
        <charset val="134"/>
      </rPr>
      <t>Send Hardware Version</t>
    </r>
    <r>
      <rPr>
        <sz val="12"/>
        <color rgb="FF000000"/>
        <rFont val="楷体"/>
        <family val="3"/>
        <charset val="134"/>
      </rPr>
      <t xml:space="preserve"> </t>
    </r>
    <r>
      <rPr>
        <sz val="12"/>
        <color rgb="FF000000"/>
        <rFont val="楷体"/>
        <family val="3"/>
        <charset val="134"/>
      </rPr>
      <t>Symbol In ASCII Format, Range 0 To 9;</t>
    </r>
  </si>
  <si>
    <r>
      <rPr>
        <sz val="12"/>
        <color rgb="FF000000"/>
        <rFont val="楷体"/>
        <family val="3"/>
        <charset val="134"/>
      </rPr>
      <t xml:space="preserve">Hardware Version Second Symbol
</t>
    </r>
    <r>
      <rPr>
        <sz val="12"/>
        <color rgb="FF000000"/>
        <rFont val="楷体"/>
        <family val="3"/>
        <charset val="134"/>
      </rPr>
      <t>硬件版本第二个符号</t>
    </r>
  </si>
  <si>
    <t>EPS_VCU3</t>
  </si>
  <si>
    <t>0x514</t>
  </si>
  <si>
    <t>EPS生产日期</t>
  </si>
  <si>
    <r>
      <rPr>
        <sz val="12"/>
        <color rgb="FF000000"/>
        <rFont val="楷体"/>
        <family val="3"/>
        <charset val="134"/>
      </rPr>
      <t xml:space="preserve">Manufacture Number
</t>
    </r>
    <r>
      <rPr>
        <sz val="12"/>
        <color rgb="FF000000"/>
        <rFont val="楷体"/>
        <family val="3"/>
        <charset val="134"/>
      </rPr>
      <t>生产编码</t>
    </r>
  </si>
  <si>
    <r>
      <rPr>
        <sz val="12"/>
        <color rgb="FF000000"/>
        <rFont val="楷体"/>
        <family val="3"/>
        <charset val="134"/>
      </rPr>
      <t xml:space="preserve">Production Year
</t>
    </r>
    <r>
      <rPr>
        <sz val="12"/>
        <color rgb="FF000000"/>
        <rFont val="楷体"/>
        <family val="3"/>
        <charset val="134"/>
      </rPr>
      <t>生产年份</t>
    </r>
  </si>
  <si>
    <r>
      <rPr>
        <sz val="12"/>
        <color rgb="FF000000"/>
        <rFont val="楷体"/>
        <family val="3"/>
        <charset val="134"/>
      </rPr>
      <t xml:space="preserve">Production Month
</t>
    </r>
    <r>
      <rPr>
        <sz val="12"/>
        <color rgb="FF000000"/>
        <rFont val="楷体"/>
        <family val="3"/>
        <charset val="134"/>
      </rPr>
      <t>生产月份</t>
    </r>
  </si>
  <si>
    <r>
      <rPr>
        <sz val="12"/>
        <color rgb="FF000000"/>
        <rFont val="楷体"/>
        <family val="3"/>
        <charset val="134"/>
      </rPr>
      <t xml:space="preserve">Production day
</t>
    </r>
    <r>
      <rPr>
        <sz val="12"/>
        <color rgb="FF000000"/>
        <rFont val="楷体"/>
        <family val="3"/>
        <charset val="134"/>
      </rPr>
      <t>生产日期</t>
    </r>
  </si>
  <si>
    <r>
      <rPr>
        <sz val="12"/>
        <color rgb="FF000000"/>
        <rFont val="楷体"/>
        <family val="3"/>
        <charset val="134"/>
      </rPr>
      <t xml:space="preserve">Production Serial Number
</t>
    </r>
    <r>
      <rPr>
        <sz val="12"/>
        <color rgb="FF000000"/>
        <rFont val="楷体"/>
        <family val="3"/>
        <charset val="134"/>
      </rPr>
      <t>生产序列号</t>
    </r>
  </si>
  <si>
    <t>u32PrdctSerialNum</t>
  </si>
  <si>
    <t>VCU_EPB</t>
  </si>
  <si>
    <t>0x2A1</t>
  </si>
  <si>
    <t>EPB Command</t>
  </si>
  <si>
    <t>EPB Control Cmd
驻车状态指令</t>
  </si>
  <si>
    <t>cod_u8ParkStsCmd</t>
  </si>
  <si>
    <t>0：未使用
1：开关控制模式         
2：无人驾驶模式：制动压力控制
3：维修模式   
4：CAN控模式
5：充电模式
7：强制释放
%其他：未使用</t>
  </si>
  <si>
    <t>CAN Control Mode Cmd
CAN控模式</t>
  </si>
  <si>
    <t>cod_u8CanCtrlMode</t>
  </si>
  <si>
    <t>0：不使用
1：P档按下
2：P档释放</t>
  </si>
  <si>
    <t>左电机驻车力（CAN控模式）</t>
  </si>
  <si>
    <t>cod_u8LftParkFrcCmd</t>
  </si>
  <si>
    <t>0000：默认状态；       
0001：1
0010: 2
0011：3
0100：4
0101: 5
0110：6
0111：7
1000: 8</t>
  </si>
  <si>
    <t>右电机驻车力（CAN控模式）</t>
  </si>
  <si>
    <t>cod_u8RgtParkFrcCmd</t>
  </si>
  <si>
    <t>EPB Automatic Gear Release Function Set
换挡自动释放功能</t>
  </si>
  <si>
    <t>cod_bGearChangRls</t>
  </si>
  <si>
    <t>0：关闭
1：开启</t>
  </si>
  <si>
    <t>Power Off Parking Function Set
熄火驻车功能</t>
  </si>
  <si>
    <t>cod_bStopParkFun</t>
  </si>
  <si>
    <t>Auto Hold Set
Auto hold功能</t>
  </si>
  <si>
    <t>cod_bAutoHoldFun</t>
  </si>
  <si>
    <t>Auto hold Park Cmd</t>
  </si>
  <si>
    <t>cod_bAutoHoldpark</t>
  </si>
  <si>
    <t>0：无动作
1：Park</t>
  </si>
  <si>
    <t>%ECD Braking Activation
ECD制动激活</t>
  </si>
  <si>
    <t>cod_bEcdBrkActv</t>
  </si>
  <si>
    <t>0：关闭
1：激活</t>
  </si>
  <si>
    <t>%ECD Braking Valid
ECD制动有效</t>
  </si>
  <si>
    <t>cod_bEcdBrkValid</t>
  </si>
  <si>
    <t>0：无效
1：有效</t>
  </si>
  <si>
    <t>Rotation Test Activation Cmd
转股测试激活</t>
  </si>
  <si>
    <t>cod_bTestActv</t>
  </si>
  <si>
    <t>转鼓测试激活时默认2WD模式，仅后电机驱动</t>
  </si>
  <si>
    <t>Rotation Test Activation Valid
转股测试有效位</t>
  </si>
  <si>
    <t>cod_bTestValid</t>
  </si>
  <si>
    <t>DRV_RQ_SHFT_To_EPB
驾驶员换挡请求</t>
  </si>
  <si>
    <t>cod_u8DrvReqSHFT</t>
  </si>
  <si>
    <t>000: P
001: R
02: N
03: D
6：S</t>
  </si>
  <si>
    <t>Gear Position Valid To EPB
档位有效位</t>
  </si>
  <si>
    <t>cod_bGearValid</t>
  </si>
  <si>
    <t>添加</t>
  </si>
  <si>
    <t>Throttle Valid To EPB
油门有效位</t>
  </si>
  <si>
    <t>cod_bAccPdValid</t>
  </si>
  <si>
    <t>Brake Valid To EPB
刹车有效位</t>
  </si>
  <si>
    <t>cod_bBrkPdValid</t>
  </si>
  <si>
    <r>
      <rPr>
        <sz val="12"/>
        <color rgb="FF000000"/>
        <rFont val="楷体"/>
        <family val="3"/>
        <charset val="134"/>
      </rPr>
      <t xml:space="preserve">Throttle Command
</t>
    </r>
    <r>
      <rPr>
        <sz val="12"/>
        <color rgb="FF000000"/>
        <rFont val="楷体"/>
        <family val="3"/>
        <charset val="134"/>
      </rPr>
      <t>油门指令</t>
    </r>
  </si>
  <si>
    <t>cod_u8AccPdPct</t>
  </si>
  <si>
    <t>%Forward Positive/Backward Negative
有数值即有效</t>
  </si>
  <si>
    <r>
      <rPr>
        <sz val="12"/>
        <color rgb="FF000000"/>
        <rFont val="楷体"/>
        <family val="3"/>
        <charset val="134"/>
      </rPr>
      <t xml:space="preserve">Brake Command
</t>
    </r>
    <r>
      <rPr>
        <sz val="12"/>
        <color rgb="FF000000"/>
        <rFont val="楷体"/>
        <family val="3"/>
        <charset val="134"/>
      </rPr>
      <t>刹车指令</t>
    </r>
  </si>
  <si>
    <t>cod_u8BrkPdPct</t>
  </si>
  <si>
    <t>EPB count
计数</t>
  </si>
  <si>
    <t>cod_u8Count</t>
  </si>
  <si>
    <t>%0~256 循环计数</t>
  </si>
  <si>
    <t>Checksum</t>
  </si>
  <si>
    <t>cod_u8CheckSum</t>
  </si>
  <si>
    <t>%Checksum arithmetic is  byte7 = ~
（byte 0 XOR byte 1 XOR byte2 XOR byte3 XOR byte4 XOR byte5 XOR byte6）.
CheckSum值的计算公式为byte7等于 byte0异或byte1异或byte2异或byte3异或byte4异或byte5异或byte6得到的值再取反；
如果CheckSum信号值不正确，认为该帧信息无效；</t>
  </si>
  <si>
    <t>EPB_VCU</t>
  </si>
  <si>
    <t>0x20A</t>
  </si>
  <si>
    <t>EPB 状态反馈</t>
  </si>
  <si>
    <t>EFB States
EPB系统状态</t>
  </si>
  <si>
    <t>hld_epb_u8EpbSysSts</t>
  </si>
  <si>
    <t>0:Unknow
1:Parked
2:Released
3:Parking
4:Releasing
5:Reserved
6:Reserved
7:Reserved</t>
  </si>
  <si>
    <t>EPB_MAIUAL_PARKIHG_KEY
EPB开关状态</t>
  </si>
  <si>
    <r>
      <rPr>
        <sz val="11"/>
        <color rgb="FF000000"/>
        <rFont val="等线"/>
        <family val="3"/>
        <charset val="134"/>
      </rPr>
      <t>hld_epb</t>
    </r>
    <r>
      <rPr>
        <sz val="11"/>
        <color rgb="FF000000"/>
        <rFont val="等线"/>
        <family val="3"/>
        <charset val="134"/>
      </rPr>
      <t>_</t>
    </r>
    <r>
      <rPr>
        <sz val="11"/>
        <color rgb="FF000000"/>
        <rFont val="等线"/>
        <family val="3"/>
        <charset val="134"/>
      </rPr>
      <t>u8EpbSwSts</t>
    </r>
  </si>
  <si>
    <t>0:idle
1:Full Up
2:Fress Down
3:ERRDR</t>
  </si>
  <si>
    <t>EPB_SwitchPositiontValid
EFB开关位置有效</t>
  </si>
  <si>
    <t>hld_epb_bEpbSwValid</t>
  </si>
  <si>
    <t>0:Valid
1:Error</t>
  </si>
  <si>
    <t>EPB auto parking light
EPB自动驻车灯</t>
  </si>
  <si>
    <r>
      <rPr>
        <sz val="11"/>
        <color rgb="FF000000"/>
        <rFont val="等线"/>
        <family val="3"/>
        <charset val="134"/>
      </rPr>
      <t>hld_epb</t>
    </r>
    <r>
      <rPr>
        <sz val="11"/>
        <color rgb="FF000000"/>
        <rFont val="等线"/>
        <family val="3"/>
        <charset val="134"/>
      </rPr>
      <t>_</t>
    </r>
    <r>
      <rPr>
        <sz val="11"/>
        <color rgb="FF000000"/>
        <rFont val="等线"/>
        <family val="3"/>
        <charset val="134"/>
      </rPr>
      <t>u8EpbAutoParkLight</t>
    </r>
  </si>
  <si>
    <t>0:Lamp Off
1:Lamp On
2:Lamp Flash
3:Reserved</t>
  </si>
  <si>
    <t>EPB parking light
EPB驻车灯</t>
  </si>
  <si>
    <r>
      <rPr>
        <sz val="11"/>
        <color rgb="FF000000"/>
        <rFont val="等线"/>
        <family val="3"/>
        <charset val="134"/>
      </rPr>
      <t>hld_epb</t>
    </r>
    <r>
      <rPr>
        <sz val="11"/>
        <color rgb="FF000000"/>
        <rFont val="等线"/>
        <family val="3"/>
        <charset val="134"/>
      </rPr>
      <t>_</t>
    </r>
    <r>
      <rPr>
        <sz val="11"/>
        <color rgb="FF000000"/>
        <rFont val="等线"/>
        <family val="3"/>
        <charset val="134"/>
      </rPr>
      <t>u8EpbParkLight</t>
    </r>
  </si>
  <si>
    <t>EPB failure status
EPB故障灯</t>
  </si>
  <si>
    <r>
      <rPr>
        <sz val="11"/>
        <color rgb="FF000000"/>
        <rFont val="等线"/>
        <family val="3"/>
        <charset val="134"/>
      </rPr>
      <t>hld_epb</t>
    </r>
    <r>
      <rPr>
        <sz val="11"/>
        <color rgb="FF000000"/>
        <rFont val="等线"/>
        <family val="3"/>
        <charset val="134"/>
      </rPr>
      <t>_</t>
    </r>
    <r>
      <rPr>
        <sz val="11"/>
        <color rgb="FF000000"/>
        <rFont val="等线"/>
        <family val="3"/>
        <charset val="134"/>
      </rPr>
      <t>u8EpbErrLight</t>
    </r>
  </si>
  <si>
    <t>0:Normal
1:On(常亮，故障)
2:Blink(闪烁)
3:Not Available</t>
  </si>
  <si>
    <t>EPB ECD brake Request
ECD制动</t>
  </si>
  <si>
    <r>
      <rPr>
        <sz val="11"/>
        <color rgb="FF000000"/>
        <rFont val="等线"/>
        <family val="3"/>
        <charset val="134"/>
      </rPr>
      <t>hld_epb</t>
    </r>
    <r>
      <rPr>
        <sz val="11"/>
        <color rgb="FF000000"/>
        <rFont val="等线"/>
        <family val="3"/>
        <charset val="134"/>
      </rPr>
      <t>_</t>
    </r>
    <r>
      <rPr>
        <sz val="11"/>
        <color rgb="FF000000"/>
        <rFont val="等线"/>
        <family val="3"/>
        <charset val="134"/>
      </rPr>
      <t>bEcdBrk</t>
    </r>
  </si>
  <si>
    <t>0：无请求
1：ECD制动请求</t>
  </si>
  <si>
    <t>删除</t>
  </si>
  <si>
    <t>EPB_DYNAMIC_BRAKING
EPB 动态驻车</t>
  </si>
  <si>
    <r>
      <rPr>
        <sz val="11"/>
        <color rgb="FF000000"/>
        <rFont val="等线"/>
        <family val="3"/>
        <charset val="134"/>
      </rPr>
      <t>hld_epb</t>
    </r>
    <r>
      <rPr>
        <sz val="11"/>
        <color rgb="FF000000"/>
        <rFont val="等线"/>
        <family val="3"/>
        <charset val="134"/>
      </rPr>
      <t>_</t>
    </r>
    <r>
      <rPr>
        <sz val="11"/>
        <color rgb="FF000000"/>
        <rFont val="等线"/>
        <family val="3"/>
        <charset val="134"/>
      </rPr>
      <t>bEpbDynPark</t>
    </r>
  </si>
  <si>
    <t>0：Normal
1：Dynamic Braking</t>
  </si>
  <si>
    <t>EPB HMI prompt message
仪表提示信息</t>
  </si>
  <si>
    <r>
      <rPr>
        <sz val="11"/>
        <color rgb="FF000000"/>
        <rFont val="等线"/>
        <family val="3"/>
        <charset val="134"/>
      </rPr>
      <t>hld_epb</t>
    </r>
    <r>
      <rPr>
        <sz val="11"/>
        <color rgb="FF000000"/>
        <rFont val="等线"/>
        <family val="3"/>
        <charset val="134"/>
      </rPr>
      <t>_</t>
    </r>
    <r>
      <rPr>
        <sz val="11"/>
        <color rgb="FF000000"/>
        <rFont val="等线"/>
        <family val="3"/>
        <charset val="134"/>
      </rPr>
      <t>u8IcPrtInfo</t>
    </r>
  </si>
  <si>
    <t>0：无提示信息
1:制动盘温度过高
2:驻坡坡度过大
3:应急制动状态
4:维修释放状态</t>
  </si>
  <si>
    <t>%EPB Faut code
EPB系统故障码</t>
  </si>
  <si>
    <t xml:space="preserve">%10XX:
XX为第xx bit是1 </t>
  </si>
  <si>
    <t>Gradient signal
坡度信号</t>
  </si>
  <si>
    <t>hld_epb_u8GradientSig</t>
  </si>
  <si>
    <t>坡度值</t>
  </si>
  <si>
    <t>-64~64</t>
  </si>
  <si>
    <t>增加</t>
  </si>
  <si>
    <t>Parking current left
驻车电流左</t>
  </si>
  <si>
    <t>hld_epb_u8ParkCurrentL</t>
  </si>
  <si>
    <t>左侧电流值</t>
  </si>
  <si>
    <t>0~50</t>
  </si>
  <si>
    <t>Parking current right
驻车电流右</t>
  </si>
  <si>
    <t>hld_epb_u8ParkCurrentR</t>
  </si>
  <si>
    <t>右侧电流值</t>
  </si>
  <si>
    <t>0x40A</t>
  </si>
  <si>
    <t>EPB信号反馈</t>
  </si>
  <si>
    <t>Left rear wheel speed signal
左后轮速信号</t>
  </si>
  <si>
    <t>hld_epb_LBWheelSpd</t>
  </si>
  <si>
    <t>左后轮速信号</t>
  </si>
  <si>
    <t>Right rear wheel speed signal
右后轮速信号</t>
  </si>
  <si>
    <t>hld_epb_RBWheelSpd</t>
  </si>
  <si>
    <t>右后轮速信号</t>
  </si>
  <si>
    <t>Left rear wheel speed pulse signal
左后轮速脉冲信号</t>
  </si>
  <si>
    <t>hld_epb_LBWheelSpdPulse</t>
  </si>
  <si>
    <t>左后轮速脉冲信号</t>
  </si>
  <si>
    <t>0-64255</t>
  </si>
  <si>
    <t>Right rear wheel speed pulse signal
右后轮速脉冲信号</t>
  </si>
  <si>
    <t>hld_epb_RBWheelSpdPulse</t>
  </si>
  <si>
    <t>右后轮速脉冲信号</t>
  </si>
  <si>
    <t>EPB_T-BOX</t>
  </si>
  <si>
    <t>0x21A</t>
  </si>
  <si>
    <t>EPB Fault Code</t>
  </si>
  <si>
    <t>hld_epb_BraPedSigFlt
制动踏板信号故障</t>
  </si>
  <si>
    <t>hld_epb_bBraPedSigFlt</t>
  </si>
  <si>
    <t>hld_epb_AccPedSigFlt
油门踏板信号故障</t>
  </si>
  <si>
    <t>hld_epb_bAccPedSigFlt</t>
  </si>
  <si>
    <t>hld_epb_VehSpeSigFlt
车速信号故障</t>
  </si>
  <si>
    <t>hld_epb_bVehSpeSigFlt</t>
  </si>
  <si>
    <t>hld_epb_GeaPosSigFlt
档位信号故障</t>
  </si>
  <si>
    <t>hld_epb_bGeaPosSigFlt</t>
  </si>
  <si>
    <t>hld_epb_CANTimeoutFlt
CAN总线超时故障</t>
  </si>
  <si>
    <t>hld_epb_bCANTimeoutFlt</t>
  </si>
  <si>
    <t>Left motor drive circuit fault
左侧电机驱动电路故障</t>
  </si>
  <si>
    <t>hld_epb_bLMotDrvCircuitFlt</t>
  </si>
  <si>
    <t>Right motor drive circuit fault
右侧电机驱动电路故障</t>
  </si>
  <si>
    <t>hld_epb_bRMotDrvCircuitFlt</t>
  </si>
  <si>
    <t>hld_epb_RigMotOpeCirFlt
右侧电机开路故障</t>
  </si>
  <si>
    <t>hld_epb_bRigMotOpeCirFlt</t>
  </si>
  <si>
    <t>hld_epb_RigMotShortCircuit
右侧电机短路</t>
  </si>
  <si>
    <t>hld_epb_bRigMotShortCircuit</t>
  </si>
  <si>
    <t>hld_epb_RigMotStall
右侧电机堵转</t>
  </si>
  <si>
    <t>hld_epb_bRigMotStall</t>
  </si>
  <si>
    <t>hld_epb_LeftMotorOpenCircuitFlt
左侧电机开路故障</t>
  </si>
  <si>
    <t>hld_epb_bLMotOpenCircuitFlt</t>
  </si>
  <si>
    <t>hld_epb_LeftMotorShortCircuit
左侧电机短路</t>
  </si>
  <si>
    <t>hld_epb_bLMotShortCircuit</t>
  </si>
  <si>
    <t>hld_epb_LeftMotorStall
左侧电机堵转</t>
  </si>
  <si>
    <t>hld_epb_bLeftMotorStall</t>
  </si>
  <si>
    <t>hld_epb_BattVoltUndervoltageFlt
电池电压欠压故障</t>
  </si>
  <si>
    <t>hld_epb_bBattUndervoltFlt</t>
  </si>
  <si>
    <t>hld_epb_BattVoltHighFlt
电池电压高故障</t>
  </si>
  <si>
    <t>hld_epb_bBattVoltHighFlt</t>
  </si>
  <si>
    <t>hld_epb_BattVoltlLowProActFlt
电池电压低禁止动作故障</t>
  </si>
  <si>
    <t>hld_epb_bBattVltLowPrcActFlt</t>
  </si>
  <si>
    <t>hld_epb_BattVoltHighProAcFlt
电池电压高禁止动作故障</t>
  </si>
  <si>
    <t>hld_epb_bBattVoltHighProAcFlt</t>
  </si>
  <si>
    <t>hld_epb_EPBSwiNotConne
EPB开关未连接</t>
  </si>
  <si>
    <t>hld_epb_bEPBSwiNotConne</t>
  </si>
  <si>
    <t>hld_epb_RightActParTimeout
右侧执行机构驻车时间超时</t>
  </si>
  <si>
    <t>hld_epb_bRightActParTimeout</t>
  </si>
  <si>
    <t>hld_epb_LefActParTimeout
左侧执行机构驻车时间超时</t>
  </si>
  <si>
    <t>hld_epb_bLefActParTimeout</t>
  </si>
  <si>
    <t>hld_epb_RigActrRelTimeout
右侧执行机构释放时间超时</t>
  </si>
  <si>
    <t>hld_epb_bRigActrRelTimeout</t>
  </si>
  <si>
    <t>hld_epb_LefActRelTimeout
左侧执行机构释放时间超时</t>
  </si>
  <si>
    <t>hld_epb_bLefActRelTimeout</t>
  </si>
  <si>
    <t>hld_epb_RigIdlCurTooHigh
右侧空转电流过高</t>
  </si>
  <si>
    <t>hld_epb_bRigIdlCurTooHigh</t>
  </si>
  <si>
    <t>hld_epb_LefIdlCurTooHigh
左侧空转电流过高</t>
  </si>
  <si>
    <t>hld_epb_bLefIdlCurTooHigh</t>
  </si>
  <si>
    <t>hld_epb_RigMotPowSupOpeCir
右侧电机供电开路</t>
  </si>
  <si>
    <t>hld_epb_bRigMotPowSupOpeCir</t>
  </si>
  <si>
    <t>hld_epb_LeftMotPowSupOpeCir
左侧电机供电开路</t>
  </si>
  <si>
    <t>hld_epb_bLeftMotPowSupOpeCir</t>
  </si>
  <si>
    <t>hld_epb_RigMotCurBiasOverLim
右侧电机电流偏置超限</t>
  </si>
  <si>
    <t>hld_epb_bRigMotCurBiasOverLim</t>
  </si>
  <si>
    <t>hld_epb_LefMotCurBiasOveriLim
左侧电机电流偏置超限</t>
  </si>
  <si>
    <t>hld_epb_bLMotCurBiasOverLim</t>
  </si>
  <si>
    <t>hld_epb_RigActMecHasLarResis
右执行器机构机械阻力大</t>
  </si>
  <si>
    <t>hld_epb_bRigActMecHasLarResis</t>
  </si>
  <si>
    <t>hld_epb_LefActMecHasLarMechResis
左执行器机构机械阻力大</t>
  </si>
  <si>
    <t>hld_epb_bLftActMechExcessRes</t>
  </si>
  <si>
    <t>hld_epb_RigActMechDamaged
右执行器机构损坏，无制动盘</t>
  </si>
  <si>
    <t>hld_epb_bRigActMechDamaged</t>
  </si>
  <si>
    <t>hld_epb_LeftActMechDamaged
左执行器机构损坏，无制动盘</t>
  </si>
  <si>
    <t>hld_epb_bLeftActMechDamaged</t>
  </si>
  <si>
    <t>hld_epb_RigActMechCannotReaTarClamForce
右侧执行机构达不到目标夹紧力</t>
  </si>
  <si>
    <t>hld_epb_bRActrClampFrUnreach</t>
  </si>
  <si>
    <t>hld_epb_LefActuMechaCannoReachTarClamForce
左侧执行机构达不到目标夹紧力</t>
  </si>
  <si>
    <t>hld_epb_bLActrClampFrUnreach</t>
  </si>
  <si>
    <t>hld_epb_RigAndLeftActStaUnconsistent
右左执行器状态不一致</t>
  </si>
  <si>
    <t>hld_epb_bRgLftActStInconsist</t>
  </si>
  <si>
    <t>hld_epb_EPBStateMacInvalid
EPB状态机无效</t>
  </si>
  <si>
    <t>hld_epb_bEPBStateMacInvalid</t>
  </si>
  <si>
    <t>hld_epb_EEPROMDataReadFai
EEPROM数据读取故障</t>
  </si>
  <si>
    <t>hld_epb_bEEPROMDataReadFai</t>
  </si>
  <si>
    <t>hld_epb_EEPROMDataWriFlt
EEPROM数据写入故障</t>
  </si>
  <si>
    <t>hld_epb_bEEPROMDataWriFlt</t>
  </si>
  <si>
    <t>hld_epb_TiltCalExcLim
EPB倾角标定超限</t>
  </si>
  <si>
    <t>hld_epb_bTiltCalExcLim</t>
  </si>
  <si>
    <t>hld_epb_MaliOpeFlt
恶意操作故障</t>
  </si>
  <si>
    <t>hld_epb_bMaliOpeFlt</t>
  </si>
  <si>
    <t>hld_epb_TiltSenTesFail
倾角传感器测试失败故障</t>
  </si>
  <si>
    <t>hld_epb_bTiltSenTesFail</t>
  </si>
  <si>
    <t>hld_epb_VCUNodeLoss
VCU节点丢失</t>
  </si>
  <si>
    <t>hld_epb_bVCUNodeLoss</t>
  </si>
  <si>
    <t>hld_epb_DMCUNodeLoss
DMCU节点丢失</t>
  </si>
  <si>
    <t>hld_epb_bDMCUNodeLoss</t>
  </si>
  <si>
    <t>0x50A</t>
  </si>
  <si>
    <t>EPB SN码</t>
  </si>
  <si>
    <t>u8ProductYear</t>
  </si>
  <si>
    <t>u8ProductMonth</t>
  </si>
  <si>
    <t>u8ProductDay</t>
  </si>
  <si>
    <t>u32ProductSerialNum</t>
  </si>
  <si>
    <t>0x51A</t>
  </si>
  <si>
    <t>EPB 软硬件版本号</t>
  </si>
  <si>
    <t>Send letter "S" in ASCII format,
以 ASCII 格式发送字母“S”</t>
  </si>
  <si>
    <t>Send Project Symbol in ASCII format, range 0 to 9
以 ASCII 格式发送项目符号，范围 0 到 9</t>
  </si>
  <si>
    <t>Send Software Version Symbol in ASCII format, range 0
以 ASCII 格式发送软件版本符号，范围 0到9</t>
  </si>
  <si>
    <t>Send Software Version Symbol in ASCII format, range 0 to 9
以 ASCII 格式发送软件版本符号，范围 0 到 9</t>
  </si>
  <si>
    <t>Send letter "H" in ASCII format
以 ASCII 格式发送字母“H”</t>
  </si>
  <si>
    <t>Send Project Symbol in ASCII format, range 0 to 9;
以 ASCII 格式发送项目符号，范围 0 到 9;</t>
  </si>
  <si>
    <t>Send Hardware Version Symbol in ASCII format, range 0 to 9
以 ASCII 格式发送硬件版本符号，范围 0 到 9</t>
  </si>
  <si>
    <t>0x52A</t>
  </si>
  <si>
    <t>EPB BootLoader软件版本号</t>
  </si>
  <si>
    <t>u8BtSoftSymbl</t>
  </si>
  <si>
    <t>Send letter "S" in ASCII format,
以 ASCII 格式发送字母“B”</t>
  </si>
  <si>
    <t>u8BtSoftPrjSymbl</t>
  </si>
  <si>
    <t>u8BtSoftVersFirSymbl</t>
  </si>
  <si>
    <t>u8BtSoftVersSecSymbl</t>
  </si>
  <si>
    <t>%0x72A</t>
  </si>
  <si>
    <t>%0x71A</t>
  </si>
  <si>
    <t>VCU_CCS1</t>
  </si>
  <si>
    <t>0x211</t>
  </si>
  <si>
    <t>仪表显示——设置反馈</t>
  </si>
  <si>
    <t>OTA时需保存，用户个性化设置和每台车的差异参数</t>
  </si>
  <si>
    <t>VCU Front Max Speed Feedback
前进最大车速</t>
  </si>
  <si>
    <t>cod_ccs_u8MaxForwardSpeed</t>
  </si>
  <si>
    <t>Reverse Max Speed
后退最大车速</t>
  </si>
  <si>
    <t>cod_ccs_u8MaxAsternSpeed</t>
  </si>
  <si>
    <t>Creep or hill hold
蠕行模式设置</t>
  </si>
  <si>
    <t>cod_ccs_bCreepModeSet</t>
  </si>
  <si>
    <t>1:creep,no hill hold;
0:no creep,hill hold;</t>
  </si>
  <si>
    <t>cod_ccs_bEPBAutoHold</t>
  </si>
  <si>
    <t>0:Off;
1:ON;</t>
  </si>
  <si>
    <t>Regen Level
回馈制动等级</t>
  </si>
  <si>
    <t>cod_ccs_u8RegenLevel</t>
  </si>
  <si>
    <t>00:Comfortable;
01:Normal;
11:Strong;</t>
  </si>
  <si>
    <t>Cruise Control
定速巡航设置</t>
  </si>
  <si>
    <t>cod_ccs_bCruiseSet</t>
  </si>
  <si>
    <t>0 : Normal;
1: Cruise control;</t>
  </si>
  <si>
    <t>cod_ccs_u8AutoPwrOffTime</t>
  </si>
  <si>
    <t>0：不开启自动关机；</t>
  </si>
  <si>
    <t>cod_ccs_u8FrigDlyPowOffTime</t>
  </si>
  <si>
    <t>0：不开启；</t>
  </si>
  <si>
    <t>0-240</t>
  </si>
  <si>
    <t>cod_ccs_u8BrkLevel</t>
  </si>
  <si>
    <t>cod_ccs_u8EPSStrengthSetting</t>
  </si>
  <si>
    <t>DrvModFb
驾驶模式反馈</t>
  </si>
  <si>
    <t>cod_ccs_u8DrvModFb</t>
  </si>
  <si>
    <t>Prohibit high-voltage feedback
禁止上高压反馈</t>
  </si>
  <si>
    <t>cod_ccs_bHVOffCmd</t>
  </si>
  <si>
    <t>0：允许上高压；
1：禁止上高压；</t>
  </si>
  <si>
    <t>ShowroomMode Feedback
展厅模式反馈</t>
  </si>
  <si>
    <t>cod_ccs_bshowroomMode</t>
  </si>
  <si>
    <t>0：OFF；
1：ON</t>
  </si>
  <si>
    <t>Current Maximum Achievable Speed
当前可达到最高车速</t>
  </si>
  <si>
    <t>cod_ccs_u8curMaxAchSpeed</t>
  </si>
  <si>
    <t>VCU_CCS2</t>
  </si>
  <si>
    <t>0x221</t>
  </si>
  <si>
    <t>ETO状态反馈</t>
  </si>
  <si>
    <t>ETO不在位则不发</t>
  </si>
  <si>
    <t>Front ETO Feedback
前ETO在位</t>
  </si>
  <si>
    <t>cod_ccs2_bFrontETO</t>
  </si>
  <si>
    <t>0：not in position;
1：in position</t>
  </si>
  <si>
    <t>Rear ETO Feedback
后ETO在位</t>
  </si>
  <si>
    <t>cod_ccs2_bBackETO</t>
  </si>
  <si>
    <t>Front ETO Relay Feedback
前ETO高压继电器</t>
  </si>
  <si>
    <t>cod_ccs2_bFrontETOHvRelay</t>
  </si>
  <si>
    <t>0：open;
1：close;</t>
  </si>
  <si>
    <t>Rear ETO Relay Feedback
后ETO高压继电器</t>
  </si>
  <si>
    <t>cod_ccs2_bBackETOHvRelay</t>
  </si>
  <si>
    <t>VCU_CCS3</t>
  </si>
  <si>
    <t>0x2B1</t>
  </si>
  <si>
    <t>整车状态反馈</t>
  </si>
  <si>
    <t>Brake deepth
刹车深度达到亮屏值</t>
  </si>
  <si>
    <t>cod_ccs_bBrk</t>
  </si>
  <si>
    <t>0：not achieve;
1：achieve;</t>
  </si>
  <si>
    <t>Safty belt
安全带开关</t>
  </si>
  <si>
    <t>cod_ccs_bSeatbeltSwitch</t>
  </si>
  <si>
    <t>0: Unfasten
1:fasten</t>
  </si>
  <si>
    <t>VCU Current Gear shift
当前档位</t>
  </si>
  <si>
    <t>cod_ccs_u8GearState</t>
  </si>
  <si>
    <t>0:no use;
1: R;
2: N;
3: D;
6：S;
7：no use;</t>
  </si>
  <si>
    <t>Brake State
刹车状态</t>
  </si>
  <si>
    <t>cod_ccs_bBreakState</t>
  </si>
  <si>
    <t>0:normal；
1:brake;</t>
  </si>
  <si>
    <t>EPS Zero Position Setting
EPS零位设置</t>
  </si>
  <si>
    <t>cod_ccs_bEPSZeroPosSet</t>
  </si>
  <si>
    <t>0：中位已标定；
1：中位未标定；</t>
  </si>
  <si>
    <t>Winch Relay State
绞盘继电器</t>
  </si>
  <si>
    <t>cod_ccs_bWinchRelay</t>
  </si>
  <si>
    <t>0:open
1:close</t>
  </si>
  <si>
    <t>Front Diff lock
前差速锁</t>
  </si>
  <si>
    <t>cod_ccs_u8FrontDifflock</t>
  </si>
  <si>
    <t>0:Unlock;
1:Waiting;
2:lock;</t>
  </si>
  <si>
    <t>rear diff lock
后差速锁</t>
  </si>
  <si>
    <t>cod_ccs_u8RearDifflock</t>
  </si>
  <si>
    <t>Ready State
可行驶状态</t>
  </si>
  <si>
    <t>cod_ccs_bReadyState</t>
  </si>
  <si>
    <t>0:not ready
1:ready</t>
  </si>
  <si>
    <t>VCU Power Off Feedback
下电</t>
  </si>
  <si>
    <t>cod_ccs_u8VehiclePoweroff</t>
  </si>
  <si>
    <t>0: Normal;
1: Waiting power off;
2: Screen off；
3:Power off  Sucessfull</t>
  </si>
  <si>
    <t>AC System Available
允许空调系统工作</t>
  </si>
  <si>
    <t>cod_ccs_bAcEnable</t>
  </si>
  <si>
    <t>0 : allow work；
1 : no allow work；</t>
  </si>
  <si>
    <t>VCU Feedback AC Socket State
AC插座输出状态</t>
  </si>
  <si>
    <t>cod_ccs_u8AcCurrentState</t>
  </si>
  <si>
    <t>00 : off;
01 : work;
10 : not available</t>
  </si>
  <si>
    <t>预约用车成功
Vehicle Reservation Successful</t>
  </si>
  <si>
    <t>cod_ccs_bResvVehUseSuc</t>
  </si>
  <si>
    <t>0:无效
1：成功</t>
  </si>
  <si>
    <t>VCU Feedback P State
P档状态</t>
  </si>
  <si>
    <t>cod_ccs_u8PState</t>
  </si>
  <si>
    <t>0 : Released
1 : Auto Hold Parked
2 : Manual Parked
3 : Service Released</t>
  </si>
  <si>
    <t>Ready State
行驶状态</t>
  </si>
  <si>
    <t>cod_ccs_u8ReadySt</t>
  </si>
  <si>
    <t>0：Initializing
1:12V on
2：HV on
3：Ready</t>
  </si>
  <si>
    <t>新增20240612</t>
  </si>
  <si>
    <t>Fan delay off
风扇延时关闭</t>
  </si>
  <si>
    <t>cod_ccs_bFandelayflag</t>
  </si>
  <si>
    <t>0: Off;
1: ON ;</t>
  </si>
  <si>
    <t>VCU Traction mode FB
驱动状态</t>
  </si>
  <si>
    <t>cod_ccs_u8TracModeFB</t>
  </si>
  <si>
    <t>0:无
1:FWD
2:RWD
3:4WD</t>
  </si>
  <si>
    <t>VCU Feedback Charger Port AC State
充电口AC输出状态</t>
  </si>
  <si>
    <t>cod_ccs_u8ChaAcCurrentState</t>
  </si>
  <si>
    <t>Display Digital Shifter
显示数字档位</t>
  </si>
  <si>
    <t>cod_ccs_bDisDigShifter</t>
  </si>
  <si>
    <t>0:不显示数字档位；
1：显示数字档位;</t>
  </si>
  <si>
    <t>Display Digital P Switch
显示数字档位</t>
  </si>
  <si>
    <t>cod_ccs_bDisDigPSwt</t>
  </si>
  <si>
    <t>0:不显示数字P；
1：显示数字P;</t>
  </si>
  <si>
    <t>vehicle supplementary charging
车辆补电</t>
  </si>
  <si>
    <t>cod_ccs_bVehSupPwr</t>
  </si>
  <si>
    <t>0:无效
1：补电</t>
  </si>
  <si>
    <t>steering wheel angle
方向盘角度</t>
  </si>
  <si>
    <t>cod_ccs_bSteerWheelAngle</t>
  </si>
  <si>
    <t xml:space="preserve">Vehicle Speed </t>
  </si>
  <si>
    <t>cod_ccs_u8VehicleSpeed</t>
  </si>
  <si>
    <t>0TA Precondition Flag</t>
  </si>
  <si>
    <t>cod_ccs_bOTAPreconditionflg</t>
  </si>
  <si>
    <t>0:false;
1:true;</t>
  </si>
  <si>
    <t>刹车标定最大值完成</t>
  </si>
  <si>
    <t>cod_ccs_u8BrakeCalMaxOK</t>
  </si>
  <si>
    <t>0：无动做
1：标定完成
2：标定失败</t>
  </si>
  <si>
    <t>刹车标定最小值完成</t>
  </si>
  <si>
    <t>cod_ccs_u8BrakeCalMinOK</t>
  </si>
  <si>
    <t>冰箱开启成功
Refrigerator Startup Successful</t>
  </si>
  <si>
    <t>cod_ccs_bFridgeUseSuc</t>
  </si>
  <si>
    <t>远程锁车成功
Remote car locking successful</t>
  </si>
  <si>
    <t>cod_ccs_bRemtLckSuc</t>
  </si>
  <si>
    <t>0:无效
1：锁车/解锁等待
2：锁车成功
3：解锁成功</t>
  </si>
  <si>
    <t>VCU_BMS</t>
  </si>
  <si>
    <t>0x2D1</t>
  </si>
  <si>
    <t>电池相关</t>
  </si>
  <si>
    <t>高压上下电指令</t>
  </si>
  <si>
    <t>cod_vcu_bHvPowerOnCmd</t>
  </si>
  <si>
    <t>0：下电 （BMS收到下电指令立即执行，不做任何判断）
1：上电（在自身无3级故障情况下，立即执行）</t>
  </si>
  <si>
    <t>车辆有无预约充电</t>
  </si>
  <si>
    <t>cod_vcu_bHvPowerOvCmd</t>
  </si>
  <si>
    <t>0：无预约充电
1：有预约充电</t>
  </si>
  <si>
    <t>增加，2025.10.13（BMS</t>
  </si>
  <si>
    <t>开始充电（预约）</t>
  </si>
  <si>
    <t>cod_vcu_bBookChrgSt</t>
  </si>
  <si>
    <t>0：待机
1：开始充电</t>
  </si>
  <si>
    <t>增加，2025.10.13</t>
  </si>
  <si>
    <t>预约开始充电倒计时（分钟）</t>
  </si>
  <si>
    <t>cod_vcu_u16BookChrgTimcnt</t>
  </si>
  <si>
    <t>倒计时为0时开始充电，无预约时默认值为FF</t>
  </si>
  <si>
    <t>分钟</t>
  </si>
  <si>
    <t>设定充电最高SOC值</t>
  </si>
  <si>
    <t>cod_vcu_u8SetChrgSoc</t>
  </si>
  <si>
    <t>1~200</t>
  </si>
  <si>
    <t>保温功能开启或关闭</t>
  </si>
  <si>
    <t>cod_vcu_bKeepWarmCmd</t>
  </si>
  <si>
    <t>0：保温功能关闭（SOC 100%结束后，OBC关机，整车关机）
1：保温功能开启（按照正常保温策略执行）
2：保温功能强制开启（此标志位有效后只要充电枪在位就一直开启保温功能无限制循环。）</t>
  </si>
  <si>
    <t>增加，2025.11.21</t>
  </si>
  <si>
    <t>20260206增加：较上一版本（20250213）增加，强制保温标志位</t>
  </si>
  <si>
    <t>电子锁开锁模式</t>
  </si>
  <si>
    <t>cod_vcu_bUnlockElecLockMode</t>
  </si>
  <si>
    <t>0：按照正常流程关锁、开锁指令都由BMS独立控制
1：关锁指令按照正常流程执行，BMS再任何情况下都不发解锁指令</t>
  </si>
  <si>
    <t>VCU-DC/DC</t>
  </si>
  <si>
    <t>0x231</t>
  </si>
  <si>
    <t>DC/DC DC/AC命令</t>
  </si>
  <si>
    <t>DC/DC Enable
DC/DC控制工作使能</t>
  </si>
  <si>
    <t>cod_u8DcDcControlEnable</t>
  </si>
  <si>
    <t xml:space="preserve">1：Enable;
2：Stop;  </t>
  </si>
  <si>
    <t>DC/AC Enable
DC/AC控制工作使能（V2L）</t>
  </si>
  <si>
    <t>cod_u8DcAcV2LEnbl</t>
  </si>
  <si>
    <t>20260129更改信号名称</t>
  </si>
  <si>
    <t>DC/AC Enable
DC/AC控制工作使能（V2V）</t>
  </si>
  <si>
    <t>cod_u8DcAcV2VEnbl</t>
  </si>
  <si>
    <t>20260129增加</t>
  </si>
  <si>
    <t>DC/DC Output Voltage
DC/DC输出电压</t>
  </si>
  <si>
    <t>cod_u16DcDcOutputVoltage</t>
  </si>
  <si>
    <t>DC/AC输出电压（V2L、V2V用）</t>
  </si>
  <si>
    <t>cod_u16DcAcOutputVoltage</t>
  </si>
  <si>
    <t>电压设置为120V</t>
  </si>
  <si>
    <t>DC/AC输出电压频率（V2L、V2V用）</t>
  </si>
  <si>
    <t>cod_u8DcAcOutputVoltageFry</t>
  </si>
  <si>
    <t>HZ</t>
  </si>
  <si>
    <t>频率不可调出口到美国统一为60HZ</t>
  </si>
  <si>
    <t>VCU_CCS4</t>
  </si>
  <si>
    <t>0x2F1</t>
  </si>
  <si>
    <t>50ms</t>
  </si>
  <si>
    <t>整车故障码</t>
  </si>
  <si>
    <t>没有时不发送，有故障时才发送</t>
  </si>
  <si>
    <t>改为2F1</t>
  </si>
  <si>
    <t>Fault Code
故障码</t>
  </si>
  <si>
    <t>cod_ip_u16FaultCode</t>
  </si>
  <si>
    <t>故障码</t>
  </si>
  <si>
    <t>%Fault Number第几个故障</t>
  </si>
  <si>
    <t>%cod_ip_u16FaultNumber</t>
  </si>
  <si>
    <t>第几个故障</t>
  </si>
  <si>
    <t>删除第几个</t>
  </si>
  <si>
    <t>Current Total Faults Quantity故障总数</t>
  </si>
  <si>
    <t>cod_ip_u16FaultCount</t>
  </si>
  <si>
    <t>Tips
操作提示</t>
  </si>
  <si>
    <t>cod_ip_u8Tips</t>
  </si>
  <si>
    <t>1:tip1;
2,tip2;</t>
  </si>
  <si>
    <t>Highest Fault Level
最高故障等级</t>
  </si>
  <si>
    <t>cod_ip_u8FaultLeval</t>
  </si>
  <si>
    <t>VCU_CCS5</t>
  </si>
  <si>
    <t>0x401</t>
  </si>
  <si>
    <t>总里程</t>
  </si>
  <si>
    <t>Vehicle Odometer
总里程</t>
  </si>
  <si>
    <t>cod_ccs_u32VehOdometer</t>
  </si>
  <si>
    <t>m</t>
  </si>
  <si>
    <t>VCU_CCS9</t>
  </si>
  <si>
    <t>0x441</t>
  </si>
  <si>
    <t>当前驾驶统计-2</t>
  </si>
  <si>
    <t>新增ID,20240705</t>
  </si>
  <si>
    <t>Average Speed
本次驾驶平均速度</t>
  </si>
  <si>
    <t>cod_ccs_u16AvrgSpeed</t>
  </si>
  <si>
    <r>
      <rPr>
        <sz val="12"/>
        <color rgb="FF000000"/>
        <rFont val="楷体"/>
        <family val="3"/>
        <charset val="134"/>
      </rPr>
      <t>Remaining range</t>
    </r>
    <r>
      <rPr>
        <sz val="12"/>
        <color rgb="FF000000"/>
        <rFont val="Times New Roman"/>
        <family val="1"/>
      </rPr>
      <t>​</t>
    </r>
    <r>
      <rPr>
        <sz val="12"/>
        <color rgb="FF000000"/>
        <rFont val="楷体"/>
        <family val="3"/>
        <charset val="134"/>
      </rPr>
      <t xml:space="preserve">
当前剩余里程</t>
    </r>
  </si>
  <si>
    <t>cod_ccs_u16VehRemainMil</t>
  </si>
  <si>
    <t>Vehicle stopped state
车辆停止状态</t>
  </si>
  <si>
    <t>cod_ccs_u8VehicleStopStatus</t>
  </si>
  <si>
    <t>0：停止；1：开始；2：暂停；</t>
  </si>
  <si>
    <t>0x205</t>
  </si>
  <si>
    <t>Vehicle Command</t>
  </si>
  <si>
    <t>不显示</t>
  </si>
  <si>
    <t>Power Control
开、关机</t>
  </si>
  <si>
    <t>hld_ccs_u8VehicleSet</t>
  </si>
  <si>
    <t>1：开机
2：关机
%3：关机充电(改为发关机)
%4：开机充电(改为发开机)
%5：预约用车(删除)
6：智能补电
7；待机
%其他：不用</t>
  </si>
  <si>
    <t>开机充电改为4，增加5、6</t>
  </si>
  <si>
    <t>Winch Control
绞盘操控命令</t>
  </si>
  <si>
    <t>hld_ccs_u8WinchControlOrder</t>
  </si>
  <si>
    <t>0：无信号
1：伸出
2：收回
3：无动作
%根据APP指令</t>
  </si>
  <si>
    <t>Lift Control
货箱举升</t>
  </si>
  <si>
    <t>hld_ccs_u8Lift</t>
  </si>
  <si>
    <t>00：无信号;01：上升;2：下降;3：无动作;</t>
  </si>
  <si>
    <t>AC Socket Control
AC插座</t>
  </si>
  <si>
    <t>hld_ccs_bACSocket</t>
  </si>
  <si>
    <t>0 : Off
1 : On</t>
  </si>
  <si>
    <t>Charge Port AC output Control
充电口AC输出</t>
  </si>
  <si>
    <t>hld_ccs_bACOut</t>
  </si>
  <si>
    <t>Refrige Control
冰箱控制</t>
  </si>
  <si>
    <t>hld_ccs_bFridgeCtrl</t>
  </si>
  <si>
    <t>Reset Trip
重置行驶小计</t>
  </si>
  <si>
    <t>hld_ccs_bResetSubtotal</t>
  </si>
  <si>
    <t>0 : 正常；
1 : 重置小计里程；</t>
  </si>
  <si>
    <t>新改位置</t>
  </si>
  <si>
    <t>hld_ccs_bBrakeCalCmd</t>
  </si>
  <si>
    <t>0:正常；
1：标定；</t>
  </si>
  <si>
    <t>Front Diff lock Setting
前差速锁</t>
  </si>
  <si>
    <t>hld_ccs_bFrontDifflockSet</t>
  </si>
  <si>
    <t>0:Unlock;
1:lock;</t>
  </si>
  <si>
    <t>rear diff lock Setting
后差速锁</t>
  </si>
  <si>
    <t>hld_ccs_bRearDifflockSet</t>
  </si>
  <si>
    <t>EPS Zero Position Setting
EPS零位标定</t>
  </si>
  <si>
    <t>hld_ccs_bEPSzeroPosSet</t>
  </si>
  <si>
    <t>0:无动做；
1：开始标定</t>
  </si>
  <si>
    <r>
      <rPr>
        <sz val="10"/>
        <color rgb="FF000000"/>
        <rFont val="宋体"/>
        <family val="3"/>
        <charset val="134"/>
      </rPr>
      <t>预约充电开始</t>
    </r>
    <r>
      <rPr>
        <sz val="10"/>
        <color rgb="FF000000"/>
        <rFont val="Calibri"/>
        <family val="2"/>
      </rPr>
      <t>Hour</t>
    </r>
  </si>
  <si>
    <t>hld_ccs_u8SchdStChgHour</t>
  </si>
  <si>
    <t>新增</t>
  </si>
  <si>
    <r>
      <rPr>
        <sz val="10"/>
        <color rgb="FF000000"/>
        <rFont val="宋体"/>
        <family val="3"/>
        <charset val="134"/>
      </rPr>
      <t>预约充电开始</t>
    </r>
    <r>
      <rPr>
        <sz val="10"/>
        <color rgb="FF000000"/>
        <rFont val="Calibri"/>
        <family val="2"/>
      </rPr>
      <t>Minute</t>
    </r>
  </si>
  <si>
    <t>hld_ccs_u8SchdStChgMinu</t>
  </si>
  <si>
    <t>0：仅本次（下电清除预约时间）
1：每次（下电记忆预约时间）
2：无预约充电设置
3: 无效</t>
  </si>
  <si>
    <r>
      <rPr>
        <sz val="10"/>
        <color rgb="FF000000"/>
        <rFont val="宋体"/>
        <family val="3"/>
        <charset val="134"/>
      </rPr>
      <t>预约充电结束</t>
    </r>
    <r>
      <rPr>
        <sz val="10"/>
        <color rgb="FF000000"/>
        <rFont val="Calibri"/>
        <family val="2"/>
      </rPr>
      <t>Hour</t>
    </r>
  </si>
  <si>
    <t>hld_ccs_u8SchdOvChgHour</t>
  </si>
  <si>
    <r>
      <rPr>
        <sz val="10"/>
        <color rgb="FF000000"/>
        <rFont val="宋体"/>
        <family val="3"/>
        <charset val="134"/>
      </rPr>
      <t>预约充电结束</t>
    </r>
    <r>
      <rPr>
        <sz val="10"/>
        <color rgb="FF000000"/>
        <rFont val="Calibri"/>
        <family val="2"/>
      </rPr>
      <t>Minute</t>
    </r>
  </si>
  <si>
    <t>hld_ccs_u8SchdOvChgMinu</t>
  </si>
  <si>
    <t>Traction mode cmd
驱动命令</t>
  </si>
  <si>
    <t>hld_ccs_u8TracModeCmd</t>
  </si>
  <si>
    <t>Bluetooth key status
蓝牙钥匙连接状态</t>
  </si>
  <si>
    <t>hld_ccs_u8BTkeyStaus</t>
  </si>
  <si>
    <t>0:无效
1:已连接
2:已断开</t>
  </si>
  <si>
    <t>防滑
Anti Slip</t>
  </si>
  <si>
    <t>hld_ccs_u8AntiSlip</t>
  </si>
  <si>
    <t>0:ON
1:OFF</t>
  </si>
  <si>
    <t>禁止上高压指令
HighVoltageEnablecommand</t>
  </si>
  <si>
    <t>hld_ccs_u8HVOffEnbl</t>
  </si>
  <si>
    <t>0:无指令；
1：禁止上高压；</t>
  </si>
  <si>
    <t>Conter
计数</t>
  </si>
  <si>
    <t>hld_ccs_u8Count1</t>
  </si>
  <si>
    <t>%0~255 循环计数</t>
  </si>
  <si>
    <t>CCS_VCU2</t>
  </si>
  <si>
    <t>0x225</t>
  </si>
  <si>
    <t>Shift Selector</t>
  </si>
  <si>
    <t>接到档位开关故障,故障码XXX，激活数字档位界面，初始档位与VCU反馈档位一致;无故障则不发</t>
  </si>
  <si>
    <t>DRV_RQ_SHFT
驾驶员换挡请求</t>
  </si>
  <si>
    <t>hld_ccs_u8DrvReqSHFT</t>
  </si>
  <si>
    <r>
      <rPr>
        <sz val="12"/>
        <color rgb="FF000000"/>
        <rFont val="楷体"/>
        <family val="3"/>
        <charset val="134"/>
      </rPr>
      <t>0: 不用
1: R
2: N
3: D                                                                              %</t>
    </r>
    <r>
      <rPr>
        <strike/>
        <sz val="12"/>
        <color rgb="FF000000"/>
        <rFont val="楷体"/>
        <family val="3"/>
        <charset val="134"/>
      </rPr>
      <t>110: S</t>
    </r>
    <r>
      <rPr>
        <sz val="12"/>
        <color theme="1"/>
        <rFont val="等线"/>
        <family val="2"/>
        <charset val="134"/>
        <scheme val="minor"/>
      </rPr>
      <t xml:space="preserve">
</t>
    </r>
    <r>
      <rPr>
        <strike/>
        <sz val="12"/>
        <color rgb="FF000000"/>
        <rFont val="楷体"/>
        <family val="3"/>
        <charset val="134"/>
      </rPr>
      <t>%111: P</t>
    </r>
  </si>
  <si>
    <t>hld_ccs_u8EPBReq
驾驶员P挡请求</t>
  </si>
  <si>
    <t>hld_ccs_u8EPBReq</t>
  </si>
  <si>
    <t>0：park；
1：release；</t>
  </si>
  <si>
    <t>hld_ccs_u8ShftCount</t>
  </si>
  <si>
    <t>0~255 循环计数</t>
  </si>
  <si>
    <t>OBC-BMS</t>
  </si>
  <si>
    <t>0x3E7</t>
  </si>
  <si>
    <t>OBC反馈</t>
  </si>
  <si>
    <t>Output Voltage
输出电压</t>
  </si>
  <si>
    <t>hld_OBC_u16OutVoltage</t>
  </si>
  <si>
    <t>Output Current
输出电流</t>
  </si>
  <si>
    <t>hld_OBC_u16OutCurrent</t>
  </si>
  <si>
    <t>Hardware Protection
硬件保护</t>
  </si>
  <si>
    <t>hld_OBC_HardProtectFlt</t>
  </si>
  <si>
    <t>0：正常。1：硬件保护</t>
  </si>
  <si>
    <t>添加故障码</t>
  </si>
  <si>
    <t>Temperature Protection
温度保护</t>
  </si>
  <si>
    <t>hld_OBC_TmprotectFlt</t>
  </si>
  <si>
    <t>0：正常。1：内部温度保护</t>
  </si>
  <si>
    <t>Input Voltage Status
输入电压状态</t>
  </si>
  <si>
    <t>hld_OBC_u8InpVoltageSte</t>
  </si>
  <si>
    <t>0：电压正常。1：输入欠压
2：输入过压。3：无输入电压</t>
  </si>
  <si>
    <t>Output Undervoltage
输出欠压</t>
  </si>
  <si>
    <t>hld_OBC_OutUnderVolFlt</t>
  </si>
  <si>
    <t>Output Overvoltage
输出过压</t>
  </si>
  <si>
    <t>hld_OBC_OutOvVolFlt</t>
  </si>
  <si>
    <t>Output Overcurrent
输出过流</t>
  </si>
  <si>
    <t>hld_OBC_OutOvCurlFlt</t>
  </si>
  <si>
    <t>Output Short Circuit
输出短路</t>
  </si>
  <si>
    <t>hld_OBC_OutSCFlt</t>
  </si>
  <si>
    <t>Communication Status
通信状态</t>
  </si>
  <si>
    <t>hld_OBC_CommTimeoutFlt</t>
  </si>
  <si>
    <t>0：通信正常。1：接收通信超时</t>
  </si>
  <si>
    <t>Operating Status
工作状态</t>
  </si>
  <si>
    <t>hld_OBC_U8WorkSta</t>
  </si>
  <si>
    <t>0：未定义。1：工作。
2：停机。3：停机或待机。</t>
  </si>
  <si>
    <t>Initialization Completed
初始化完成</t>
  </si>
  <si>
    <t>hld_OBC_Initialize</t>
  </si>
  <si>
    <t>0：初始化未完成。1：初始化完成</t>
  </si>
  <si>
    <t>Fan Enable
风扇工作使能</t>
  </si>
  <si>
    <t>hld_OBC_FanOperaEnbl</t>
  </si>
  <si>
    <t>0：关闭。1：开启</t>
  </si>
  <si>
    <t>Cooling Water Pump Fan Enable冷却水泵风扇工作使能</t>
  </si>
  <si>
    <t>hld_OBC_WaterpmpFanEnbl</t>
  </si>
  <si>
    <t>PP Signal Status
PP信号状态</t>
  </si>
  <si>
    <t>hld_OBC_U8PPSignalStat</t>
  </si>
  <si>
    <t>0：未连接。1：放电插座连接
2：正常连接。3：电阻检测错误</t>
  </si>
  <si>
    <t>CP Signal Status
CP信号状态</t>
  </si>
  <si>
    <t>hld_OBC_CPSignalStat</t>
  </si>
  <si>
    <t>0：未检测到CP信号，
1：CP信号正常</t>
  </si>
  <si>
    <t>Charging Socket Overheat Status
充电插座过热状态</t>
  </si>
  <si>
    <t>hld_OBC_SocketOvHeatFlt</t>
  </si>
  <si>
    <t>0：正常。1：充电插座过温保护</t>
  </si>
  <si>
    <t>Electronic Lock Status
电子锁状态</t>
  </si>
  <si>
    <t>hld_OBC_u8ElectLckSt</t>
  </si>
  <si>
    <t>0：判断中。1：已锁。2：未锁。
3：解锁故障（控制解锁实际检测到已锁）
4：上锁故障（控制上锁实际检测到未锁）</t>
  </si>
  <si>
    <t>S2 Switch Status
S2开关状态</t>
  </si>
  <si>
    <t>hld_OBC_S2SwitchStat</t>
  </si>
  <si>
    <t>0：断开， 1：闭合</t>
  </si>
  <si>
    <t>Charger Internal Temperature充电机内部温度</t>
  </si>
  <si>
    <t>hld_OBC_u8CharInterTemp</t>
  </si>
  <si>
    <t>分辨率：1℃/bit 
偏移量：-40</t>
  </si>
  <si>
    <t>DCDC-VCU</t>
  </si>
  <si>
    <t>0x407</t>
  </si>
  <si>
    <t>DC/DC反馈</t>
  </si>
  <si>
    <t>hld_dcdc_u16Voltage</t>
  </si>
  <si>
    <t>hld_dcdc_u16Current</t>
  </si>
  <si>
    <t>hld_dcdc_bHwProtect</t>
  </si>
  <si>
    <t>hld_dcdc_bTmpProtect</t>
  </si>
  <si>
    <t>hld_dcdc_u8VoltageSte</t>
  </si>
  <si>
    <t>713~715</t>
  </si>
  <si>
    <t>hld_dcdc_bUnderVoltage</t>
  </si>
  <si>
    <t>hld_dcdc_bOvVoltage</t>
  </si>
  <si>
    <t>hld_dcdc_bOvCurrent</t>
  </si>
  <si>
    <t>hld_dcdc_bShortOut</t>
  </si>
  <si>
    <t>hld_dcdc_bCommuSte</t>
  </si>
  <si>
    <t>hld_dcdc_u8WorkSte</t>
  </si>
  <si>
    <t>hld_dcdc_bInitialComplete</t>
  </si>
  <si>
    <t>hld_dcdc_bFanEnable</t>
  </si>
  <si>
    <t>hld_dcdc_bCoolPumpFanEnable</t>
  </si>
  <si>
    <t>Interlock Signal
互锁信号</t>
  </si>
  <si>
    <t>hld_dcdc_bInterlock</t>
  </si>
  <si>
    <t>0：完成互锁。1：未互锁</t>
  </si>
  <si>
    <t xml:space="preserve">Temperature
温度 </t>
  </si>
  <si>
    <t>hld_dcdc_u8Tmp</t>
  </si>
  <si>
    <t>DCAC-VCU</t>
  </si>
  <si>
    <t>0x417</t>
  </si>
  <si>
    <t>DC/AC反馈</t>
  </si>
  <si>
    <t>Output Voltage
输出电压</t>
  </si>
  <si>
    <t>hld_dcac_u16Voltage</t>
  </si>
  <si>
    <t>hld_dcac_u16Current</t>
  </si>
  <si>
    <t>hld_dcac_bHwProtect</t>
  </si>
  <si>
    <t>hld_dcac_bTmpProtect</t>
  </si>
  <si>
    <t>hld_dcac_u8VoltageSte</t>
  </si>
  <si>
    <t>hld_dcac_bUnderVoltage</t>
  </si>
  <si>
    <t>hld_dcac_bOvVoltage</t>
  </si>
  <si>
    <t>hld_dcac_bOvCurrent</t>
  </si>
  <si>
    <t>hld_dcac_bShortOut</t>
  </si>
  <si>
    <t>hld_dcac_bCommuSte</t>
  </si>
  <si>
    <t>hld_dcac_u8WorkSte</t>
  </si>
  <si>
    <t>hld_dcac_bInitialComplete</t>
  </si>
  <si>
    <t>hld_dcac_bFanEnable</t>
  </si>
  <si>
    <t>hld_dcac_bCoolPumpFanEnable</t>
  </si>
  <si>
    <t>输出电压频率</t>
  </si>
  <si>
    <t>hld_dcac_u8VolOutFreq</t>
  </si>
  <si>
    <t xml:space="preserve">分辨率：1HZ/bit 
偏移量：0  </t>
  </si>
  <si>
    <t>hld_dcac_u8Tmp</t>
  </si>
  <si>
    <t>OBC_T-BOX</t>
  </si>
  <si>
    <t>0x507</t>
  </si>
  <si>
    <t>OBC SN码</t>
  </si>
  <si>
    <t>以下未核实</t>
  </si>
  <si>
    <t>OBC_T-BOX1</t>
  </si>
  <si>
    <t>0x517</t>
  </si>
  <si>
    <t>OBC 软硬件版本号</t>
  </si>
  <si>
    <t>OBC_T-BOX2</t>
  </si>
  <si>
    <t>0x527</t>
  </si>
  <si>
    <t>OBC BootLoader软件版本号</t>
  </si>
  <si>
    <t>cod_OBC_u8BtSymb</t>
  </si>
  <si>
    <t>cod_OBC_u8BtPrjSymb</t>
  </si>
  <si>
    <t>cod_OBC_u8BtPrjFirSymb</t>
  </si>
  <si>
    <t>cod_OBC_u8BtPrjSecSymb</t>
  </si>
  <si>
    <t>OBC_T-BOX3</t>
  </si>
  <si>
    <t>%0x727</t>
  </si>
  <si>
    <t>T-BOX_OBC</t>
  </si>
  <si>
    <t>%0x717</t>
  </si>
  <si>
    <t>BMS-Vehicel1</t>
  </si>
  <si>
    <t>0x209</t>
  </si>
  <si>
    <t>充、放电</t>
  </si>
  <si>
    <t>High Voltage Status
高压状态</t>
  </si>
  <si>
    <t>hld_bms_bHvState</t>
  </si>
  <si>
    <t>Charge or Discharge
运行模式</t>
  </si>
  <si>
    <t>hld_bms_bWorkMode</t>
  </si>
  <si>
    <t>0：放电模式
1：充电模式</t>
  </si>
  <si>
    <t xml:space="preserve"> </t>
  </si>
  <si>
    <t>BMS Fault Level
系统故障等级</t>
  </si>
  <si>
    <t>hld_bms_u8SystemFaultLeval</t>
  </si>
  <si>
    <t>0：正常
1：一级故障（轻微）
2：二级故障
3：三级故障（严重、须下高压）
%多个故障同事发生报最严重故障</t>
  </si>
  <si>
    <t>Precharge Status
预充状态</t>
  </si>
  <si>
    <t>hld_bms_u8PreChargeState</t>
  </si>
  <si>
    <t>0：预充成功
1：预充正在进行
3：预充失败
2：未动作</t>
  </si>
  <si>
    <t>Precharge Contactor Status
预充电接触器状态</t>
  </si>
  <si>
    <t>hld_bms_bPreCharRelayState</t>
  </si>
  <si>
    <t>0：断开
1：闭合</t>
  </si>
  <si>
    <t>Main Positive Contactor Status
总正接触器状态</t>
  </si>
  <si>
    <t>hld_bms_bPositiveRelayState</t>
  </si>
  <si>
    <t>Main Negative Contactor Status
总负接触器状态</t>
  </si>
  <si>
    <t>hld_bms_bNegativeRelayState</t>
  </si>
  <si>
    <t>Charging Port Contact Status
充电口接触状态</t>
  </si>
  <si>
    <t>hld_bms_bChargeRelayState</t>
  </si>
  <si>
    <t>0：断开
1：连接</t>
  </si>
  <si>
    <t>Battery Heater (PTC) Operation Status
电池加热（PTC）工作状态</t>
  </si>
  <si>
    <t>hld_bms_u8PTCworkState</t>
  </si>
  <si>
    <t>0：未工作
1：工作
2：故障</t>
  </si>
  <si>
    <t>Charging Gun Presence Status
充电枪在位状态</t>
  </si>
  <si>
    <t>hld_bms_bChargeGunState</t>
  </si>
  <si>
    <t>0：未未插枪
1：插枪</t>
  </si>
  <si>
    <t>Highest Voltage Cell Number
最高单体电压编号</t>
  </si>
  <si>
    <t>hld_bms_u8MaxVolCellNum</t>
  </si>
  <si>
    <t>Battery Cell Highest Voltage
电池最高单体电压</t>
  </si>
  <si>
    <t>hld_bms_u16MaxVol</t>
  </si>
  <si>
    <t>Lowest Cell Voltage Number
最低单体电压编号</t>
  </si>
  <si>
    <t>hld_bms_u8MinVolCellNum</t>
  </si>
  <si>
    <t>Battery Cell Lowest Voltage
电池最低单体电压</t>
  </si>
  <si>
    <t>hld_bms_u16MinVol</t>
  </si>
  <si>
    <t>BMS-Vehicel2</t>
  </si>
  <si>
    <t>0x219</t>
  </si>
  <si>
    <t>可用电流</t>
  </si>
  <si>
    <t>有改动，数量范围不对</t>
  </si>
  <si>
    <t>Maximum Available Continuous Charging Current
最大可用持续充电电流</t>
  </si>
  <si>
    <t>hld_bms_u16MaxConCharC</t>
  </si>
  <si>
    <t>Available Peak Charging Current (30s)
最大可用短时充电电流（30s）</t>
  </si>
  <si>
    <t>hld_bms_u16MaxInsCharC</t>
  </si>
  <si>
    <t>Maximum Available Continuous Discharge Current
最大可用持续放电电流</t>
  </si>
  <si>
    <t>hld_bms_u16MaxConDischarC</t>
  </si>
  <si>
    <t>Available Peak Discharge Current (30s)
最大可用短时放电电流（30s）</t>
  </si>
  <si>
    <t>hld_bms_u16MaxInsDischarC</t>
  </si>
  <si>
    <t>BMS-OBC</t>
  </si>
  <si>
    <t>0x229</t>
  </si>
  <si>
    <t>Maximum Allowable Charging Voltage
最高允许充电电压</t>
  </si>
  <si>
    <t>hld_bms_u16MaxAlwChrgVol</t>
  </si>
  <si>
    <t>Maximum Allowable Charging Current
最高允许充电电流</t>
  </si>
  <si>
    <t>hld_bms_u16MaxAlwChrgCur</t>
  </si>
  <si>
    <t>Charge Control 
控制工作使能</t>
  </si>
  <si>
    <t>hld_bms_u8ChargCtlEna</t>
  </si>
  <si>
    <t>0：开启充电。
1：关闭输出。
2：充电结束。（充电机收到该指令后进入休眠）
%其他值：无效。</t>
  </si>
  <si>
    <t>Charge Mode Control
控制工作模式</t>
  </si>
  <si>
    <t>hld_bms_u8ChrgModCtl</t>
  </si>
  <si>
    <t>0：充电模式。
1：加热模式
%（加热模式是充电机给电池内的加热膜加热，该模式下充电机不需要检测到输出端电压即可工作，设计加热膜的阻值时需注意加热膜工作电压必须介于该电池的最低电压与最高电压之间，最好是接近电池的最高电压。模式切换的时候最好先关闭输出）
%其他值：无效</t>
  </si>
  <si>
    <t>增加，2025.11.21
无预约充电时按照正常逻辑充电，有预约充电时，在电芯未开始充电前，保持OBC高压输出（也是加热模式为了DCDC工作）不给电芯充电。</t>
  </si>
  <si>
    <t>AC or DC Charge
交直流充电模式</t>
  </si>
  <si>
    <t>hld_bms_u8ACDCChrg</t>
  </si>
  <si>
    <t>0：未知模式。
1：直流充电模式
2：交流充电模式
%其他值：无效</t>
  </si>
  <si>
    <t>信号描述太长，dbc生成不了</t>
  </si>
  <si>
    <t>Charge Port Lock Cmd
开锁关锁指令</t>
  </si>
  <si>
    <t>hld_bms_u8ChrgLckCmd</t>
  </si>
  <si>
    <t>0：保持当前状态
1：解锁指令.
2：关锁指令
%其他值：无效</t>
  </si>
  <si>
    <t>BMS-CCS</t>
  </si>
  <si>
    <t>0x239</t>
  </si>
  <si>
    <t>BMS请求上高压</t>
  </si>
  <si>
    <t>充电状态下BMS请求上下高压</t>
  </si>
  <si>
    <t>hld_bms_bChrgHvCmd</t>
  </si>
  <si>
    <t>0：正常 （BMS处于激活状态，无严重故障，可以上高压）
1：上电请求（充电状态下BMS请求上下高压）
2：充放电状态下BMS请求下高压（默认10S后BMS自动下高压）
3：预留</t>
  </si>
  <si>
    <t>增加，2025.11.21
插枪确认后立即请求上高压，与有无预约充电开始指令无关），充电或者保温结束，按照正常流程结束</t>
  </si>
  <si>
    <t>BMS-Vehicel3</t>
  </si>
  <si>
    <t>0x409</t>
  </si>
  <si>
    <t>SOC和电压电流反馈</t>
  </si>
  <si>
    <t>SOC Showed</t>
  </si>
  <si>
    <t>hld_bms_u8BatterySOC</t>
  </si>
  <si>
    <t>SOH</t>
  </si>
  <si>
    <t>hld_bms_u8BatterySOH</t>
  </si>
  <si>
    <t xml:space="preserve">HV Battery Total Voltage
电池组总电压 </t>
  </si>
  <si>
    <t>hld_bms_u16BatteryVoltage</t>
  </si>
  <si>
    <t>HV Battery Total Current
电池组总电流</t>
  </si>
  <si>
    <t>hld_bms_u16BatteryCurrent</t>
  </si>
  <si>
    <t>hld_bms_u8BatteryMaxTmp</t>
  </si>
  <si>
    <t>hld_bms_u8BatteryMinTmp</t>
  </si>
  <si>
    <t>BMS-Vehicel4</t>
  </si>
  <si>
    <t>0x419</t>
  </si>
  <si>
    <t>报警状态</t>
  </si>
  <si>
    <t>温度差异报警</t>
  </si>
  <si>
    <t>hld_bms_u8TmpDiffAlm</t>
  </si>
  <si>
    <t>0:正常; 1:一级故障; 2:二级故障; 3:三级故障;</t>
  </si>
  <si>
    <t>单体电压差异报警</t>
  </si>
  <si>
    <t>hld_bms_u8CellVolDiffAlm</t>
  </si>
  <si>
    <t>放电温度过高报警</t>
  </si>
  <si>
    <t>hld_bms_u8DischTmpHiAlm</t>
  </si>
  <si>
    <t>20251203更改，将“温度过高报警”改为“放电温度过高报警”</t>
  </si>
  <si>
    <t>温度过低报警</t>
  </si>
  <si>
    <t>hld_bms_u8TmpLoAlm</t>
  </si>
  <si>
    <t>单体过压报警</t>
  </si>
  <si>
    <t>hld_bms_u8CellHiVolAlm</t>
  </si>
  <si>
    <t>单体欠压报警</t>
  </si>
  <si>
    <t>hld_bms_u8CellLoVolAlm</t>
  </si>
  <si>
    <t>总压过高报警</t>
  </si>
  <si>
    <t>hld_bms_u8BattVolHiAlm</t>
  </si>
  <si>
    <t>总压过低报警</t>
  </si>
  <si>
    <t>hld_bms_u8BattVolLoAlm</t>
  </si>
  <si>
    <t>充电过流报警</t>
  </si>
  <si>
    <t>hld_bms_u8ChgOvCurAlm</t>
  </si>
  <si>
    <t>放电持续过流报警</t>
  </si>
  <si>
    <t>hld_bms_u8DChrCostOvCurAlm</t>
  </si>
  <si>
    <t>20251203更改，将“放电过流报警”改为“放电持续过流报警”</t>
  </si>
  <si>
    <t>放电峰值过流报警</t>
  </si>
  <si>
    <t>hld_bms_u8DChrPkOvcurAlm</t>
  </si>
  <si>
    <t>20251203更改，将“将SOC过低报警”改为“放电峰值过流报警”</t>
  </si>
  <si>
    <t>绝缘报警</t>
  </si>
  <si>
    <t>hld_bms_u8InsulAlm</t>
  </si>
  <si>
    <t>充电座温度报警</t>
  </si>
  <si>
    <t>hld_bms_u8ChgdckTmpAlm</t>
  </si>
  <si>
    <t>加热膜（PTC）故障</t>
  </si>
  <si>
    <t>hld_bms_u8PTCFlt</t>
  </si>
  <si>
    <t>0：正常
1：一级故障（开路）
2：温升异常
3：一级级故障（过流、短路）</t>
  </si>
  <si>
    <t>20251203更改，取消三几故障。对应故障阀值策略表中的加热开路故障与短路故障</t>
  </si>
  <si>
    <t>PACK是否需要维修</t>
  </si>
  <si>
    <t>hld_bms_u8PACKRepReq</t>
  </si>
  <si>
    <t>0:正常不需要维修 ; 1:充电后可解决;  2:预留;   3:立即维修 ;</t>
  </si>
  <si>
    <t>回馈过流报警</t>
  </si>
  <si>
    <t>hld_bms_u8FdbakOvCurAlm</t>
  </si>
  <si>
    <t>烟雾报警</t>
  </si>
  <si>
    <t>hld_bms_bSmokeAlm</t>
  </si>
  <si>
    <t>0:正常; 1:三级故障;</t>
  </si>
  <si>
    <t>主从监控异常</t>
  </si>
  <si>
    <t>hld_bms_bMaSlMoniAbn</t>
  </si>
  <si>
    <t>采样芯片故障</t>
  </si>
  <si>
    <t>hld_bms_bSampChipFlt</t>
  </si>
  <si>
    <t>单体电压断线</t>
  </si>
  <si>
    <t>hld_bms_bVolOrTmpDiscont</t>
  </si>
  <si>
    <t>温感离线故障</t>
  </si>
  <si>
    <t>hld_bms_bTempSnsrOffFlt</t>
  </si>
  <si>
    <r>
      <rPr>
        <sz val="11"/>
        <color rgb="FF000000"/>
        <rFont val="宋体"/>
        <family val="3"/>
        <charset val="134"/>
      </rPr>
      <t>与VCU</t>
    </r>
    <r>
      <rPr>
        <sz val="10"/>
        <color rgb="FF000000"/>
        <rFont val="宋体"/>
        <family val="3"/>
        <charset val="134"/>
      </rPr>
      <t>通讯故障</t>
    </r>
  </si>
  <si>
    <t>hld_bms_bVCUComtionFlt</t>
  </si>
  <si>
    <t>电流传感器异常</t>
  </si>
  <si>
    <t>hld_bms_bCurSrAbmal</t>
  </si>
  <si>
    <t>内部通讯故障</t>
  </si>
  <si>
    <t>hld_bms_bInCanFlt</t>
  </si>
  <si>
    <t>与充电机通讯故障</t>
  </si>
  <si>
    <t>hld_bms_bChrgComtionFlt</t>
  </si>
  <si>
    <t>MSD高压互锁</t>
  </si>
  <si>
    <t>hld_bms_bMsdHiVolInlockFlt</t>
  </si>
  <si>
    <t>预充、主正接触器故障（粘连检测）</t>
  </si>
  <si>
    <t>hld_bms_bPrePosRelFlt</t>
  </si>
  <si>
    <t>主负接触器故障（粘连检测）</t>
  </si>
  <si>
    <t>hld_bms_bNegRelFlt</t>
  </si>
  <si>
    <t>加热接触器故障（粘连检测）</t>
  </si>
  <si>
    <t>hld_bms_bHeatRelFlt</t>
  </si>
  <si>
    <t>直流充电接触器故障（粘连检测）</t>
  </si>
  <si>
    <t>hld_bms_bDcChgerRelFlt</t>
  </si>
  <si>
    <t>12V电压低</t>
  </si>
  <si>
    <t>hld_bms_b12VolLow</t>
  </si>
  <si>
    <t xml:space="preserve">20251203更改，将“将SOC过高报警”改为“低压12V告警” </t>
  </si>
  <si>
    <t>加热时主负闭合失败</t>
  </si>
  <si>
    <t>hld_bms_bHeatNegClsFail</t>
  </si>
  <si>
    <t>300ms内闭合失败</t>
  </si>
  <si>
    <t>BMS自检</t>
  </si>
  <si>
    <t>hld_bms_bBmsCheckSelf</t>
  </si>
  <si>
    <t>热失控故障</t>
  </si>
  <si>
    <t>hld_bms_bTemrawyFlt</t>
  </si>
  <si>
    <t>增加，BMS建议立即断高压没有10s延迟</t>
  </si>
  <si>
    <t>电池充电温度高报警</t>
  </si>
  <si>
    <t>hld_bms_u8ChgTmpHiAlm</t>
  </si>
  <si>
    <t>0：正常 ;
1：一级报警 
2：二级报警
3：三级报警</t>
  </si>
  <si>
    <t>20251203更改，增加</t>
  </si>
  <si>
    <t>EVCC故障</t>
  </si>
  <si>
    <t>hld_bms_bEvccFlt</t>
  </si>
  <si>
    <t>20251203更改，将“将SOC过高报警”改为“EVCC故障报警” 此故障位预留</t>
  </si>
  <si>
    <t>PACK进水温度传感器故障</t>
  </si>
  <si>
    <t>hld_bms_BatWtInTempopen</t>
  </si>
  <si>
    <t>0:正常; 1:故障;</t>
  </si>
  <si>
    <t>20260310增加（BMS检测温感阻值超出温感阻值范围报故障）</t>
  </si>
  <si>
    <t>hld_bms_BatWtOutTempopen</t>
  </si>
  <si>
    <t>0:正常; 1:故障</t>
  </si>
  <si>
    <t>BMS-Vehicel</t>
  </si>
  <si>
    <t>0x429</t>
  </si>
  <si>
    <t>累计充、放电电流</t>
  </si>
  <si>
    <r>
      <rPr>
        <sz val="12"/>
        <color rgb="FF000000"/>
        <rFont val="楷体"/>
        <family val="3"/>
        <charset val="134"/>
      </rPr>
      <t>Total Charging Ampere-hours
充电累计</t>
    </r>
    <r>
      <rPr>
        <sz val="12"/>
        <color rgb="FF000000"/>
        <rFont val="楷体"/>
        <family val="3"/>
        <charset val="134"/>
      </rPr>
      <t>AH数</t>
    </r>
  </si>
  <si>
    <t>hld_bms_u16TotalChargAh</t>
  </si>
  <si>
    <t>AH</t>
  </si>
  <si>
    <r>
      <rPr>
        <sz val="12"/>
        <color rgb="FF000000"/>
        <rFont val="楷体"/>
        <family val="3"/>
        <charset val="134"/>
      </rPr>
      <t>Total Discharging Ampere-hours (A·h)
放电累计</t>
    </r>
    <r>
      <rPr>
        <sz val="12"/>
        <color rgb="FF000000"/>
        <rFont val="楷体"/>
        <family val="3"/>
        <charset val="134"/>
      </rPr>
      <t>AH数</t>
    </r>
  </si>
  <si>
    <t>hld_bms_u16TotalDisChargAh</t>
  </si>
  <si>
    <t>Total Cycle Count
累计充电次数</t>
  </si>
  <si>
    <t>hld_bms_u16TotalChargCnt</t>
  </si>
  <si>
    <t xml:space="preserve"> BMS-Vehicel</t>
  </si>
  <si>
    <t>0x439</t>
  </si>
  <si>
    <t>单体电压、温度</t>
  </si>
  <si>
    <t>Battery Cell xx
第xx单体</t>
  </si>
  <si>
    <t>hld_bms_u8BatCell</t>
  </si>
  <si>
    <t>Voltage Value Of Cell xx
第xx单体电压值</t>
  </si>
  <si>
    <t>hld_bms_u8BatCellVol</t>
  </si>
  <si>
    <t>mV</t>
  </si>
  <si>
    <t>Temperature Sampling Point xx
第xx温度采样点</t>
  </si>
  <si>
    <t>hld_bms_u8BatCellPoint</t>
  </si>
  <si>
    <t>Temperature of Temperature Sampling Point xx
第xx温度采样点温度</t>
  </si>
  <si>
    <t>hld_bms_u8BatCellPointTmp</t>
  </si>
  <si>
    <t>0x449</t>
  </si>
  <si>
    <t>hld_bms_bwaterheatReq</t>
  </si>
  <si>
    <t>hld_bms_bwatercoolReq</t>
  </si>
  <si>
    <t>hld_bms_u8maxwaterTmp</t>
  </si>
  <si>
    <t>hld_bms_u8minwaterTmp</t>
  </si>
  <si>
    <t>hld_bms_u8waterrate</t>
  </si>
  <si>
    <t>PACK Allowed Inlet Water Pressure
PACK允许进水压力</t>
  </si>
  <si>
    <t>hld_bms_u8AllowWaterPress</t>
  </si>
  <si>
    <r>
      <rPr>
        <sz val="12"/>
        <color rgb="FF000000"/>
        <rFont val="楷体"/>
        <family val="3"/>
        <charset val="134"/>
      </rPr>
      <t>kgf/cm</t>
    </r>
    <r>
      <rPr>
        <sz val="12"/>
        <color rgb="FF000000"/>
        <rFont val="Arial"/>
        <family val="2"/>
      </rPr>
      <t>²</t>
    </r>
  </si>
  <si>
    <t>hld_bms_u8PackInWatTemp</t>
  </si>
  <si>
    <t>hld_bms_u8PackOutWatTemp</t>
  </si>
  <si>
    <t>增加.2025.10.13</t>
  </si>
  <si>
    <t>0x459</t>
  </si>
  <si>
    <t>充电信息</t>
  </si>
  <si>
    <t>20240626新增</t>
  </si>
  <si>
    <t>Charging Mode
充电模式</t>
  </si>
  <si>
    <t>u8ChrgMod</t>
  </si>
  <si>
    <t>0：未充电；1：直流充电；2：交流充电</t>
  </si>
  <si>
    <t>Positive Pole Temperature of Charging Gun
充电枪正极温度</t>
  </si>
  <si>
    <t>u8ChrgGunPosvTmp</t>
  </si>
  <si>
    <t>Negative Pole Temperature of Charging Gun
充电枪负极温度</t>
  </si>
  <si>
    <t>u8ChrgGunNegTmp</t>
  </si>
  <si>
    <t>Estimated Remaining Charging Time (min)
预计充电剩余时间(min)</t>
  </si>
  <si>
    <t>u8EstRemainChrgMinTm</t>
  </si>
  <si>
    <t>充电状态：a.正常充电时发剩余充电时间；b.充满电后发0;c.充电异常发FF</t>
  </si>
  <si>
    <t>Estimated Remaining Charging Time (h)
预计充电剩余时间(h)</t>
  </si>
  <si>
    <t>u8EstRemainChrgHTm</t>
  </si>
  <si>
    <t>h</t>
  </si>
  <si>
    <t>Charged Time (min)
已充电时间(min)</t>
  </si>
  <si>
    <t>u8ChrgTimeMin</t>
  </si>
  <si>
    <t>Charged Time (h)
已充电时间(h)</t>
  </si>
  <si>
    <t>u8ChrgTimeHour</t>
  </si>
  <si>
    <t>0x469</t>
  </si>
  <si>
    <t>绝缘电阻</t>
  </si>
  <si>
    <t>BMS LV Power Supply Voltage
BMS供电电压</t>
  </si>
  <si>
    <t>u8BmsLvSupVol</t>
  </si>
  <si>
    <t>HV Battery Humidity Status
电池湿度状态</t>
  </si>
  <si>
    <t>u8HvBatHumidSt</t>
  </si>
  <si>
    <t>HV Battery Negative Insulation Resistance
负极绝缘阻值</t>
  </si>
  <si>
    <t>u8HvBatNegIR</t>
  </si>
  <si>
    <t>KΩ</t>
  </si>
  <si>
    <t>HV Battery Positive Insulation Resistance
正极绝缘阻值</t>
  </si>
  <si>
    <t>u8HvBatPosIR</t>
  </si>
  <si>
    <r>
      <rPr>
        <sz val="12"/>
        <color rgb="FF000000"/>
        <rFont val="楷体"/>
        <family val="3"/>
        <charset val="134"/>
      </rPr>
      <t>HV Battery Actual Battery SOC Value
真实电池</t>
    </r>
    <r>
      <rPr>
        <sz val="11"/>
        <color rgb="FF000000"/>
        <rFont val="Arial"/>
        <family val="2"/>
      </rPr>
      <t>SOC</t>
    </r>
    <r>
      <rPr>
        <sz val="11"/>
        <color rgb="FF000000"/>
        <rFont val="宋体"/>
        <family val="3"/>
        <charset val="134"/>
      </rPr>
      <t>值</t>
    </r>
  </si>
  <si>
    <t>u8HvBatActSoc</t>
  </si>
  <si>
    <t>EVCC-BMS</t>
  </si>
  <si>
    <t>0x1C3</t>
  </si>
  <si>
    <t>交流充电不用</t>
  </si>
  <si>
    <t>先修正一下id，扩展帧还未添加，沙朱杰修改</t>
  </si>
  <si>
    <t>CF_Secc_S2_OnReq</t>
  </si>
  <si>
    <t>u8S2OnReq</t>
  </si>
  <si>
    <t>1: S2 close request, 0: S2 open request</t>
  </si>
  <si>
    <t>0-1</t>
  </si>
  <si>
    <t>CF_Secc_S2Sts</t>
  </si>
  <si>
    <t>u8S2Sts</t>
  </si>
  <si>
    <t>1: S2 close, 0: S2 open</t>
  </si>
  <si>
    <t xml:space="preserve">CF_Lock_Status </t>
  </si>
  <si>
    <t>u8LockSts</t>
  </si>
  <si>
    <t>1: Lock, 0: Unlock</t>
  </si>
  <si>
    <t>CF_CP_Status</t>
  </si>
  <si>
    <t>u8CpSts</t>
  </si>
  <si>
    <t>CP State 0:Unplugged(A) 1: B1 2: B2 3: C1 4: C2</t>
  </si>
  <si>
    <t>0-4</t>
  </si>
  <si>
    <t>CF_Lock_Alarm</t>
  </si>
  <si>
    <t>u8LckAlarm</t>
  </si>
  <si>
    <t>0:No alarm; 1: Lock failure alarm; 2:Unlock failure alarm; 3:Reserved</t>
  </si>
  <si>
    <t>0-3</t>
  </si>
  <si>
    <t>CR_Secc_IsolationStatus</t>
  </si>
  <si>
    <t>u8SeccIsolation</t>
  </si>
  <si>
    <t>0:Invalid 1:Valid 2:Warning 3:Error</t>
  </si>
  <si>
    <t>CR_Evcc_PDStatus</t>
  </si>
  <si>
    <t>u8EvccPDStatus</t>
  </si>
  <si>
    <t>0:unplug 1:plugin 2: S3 pressed</t>
  </si>
  <si>
    <t>0-2</t>
  </si>
  <si>
    <t xml:space="preserve">CR_Secc_AC_MaxCurrent </t>
  </si>
  <si>
    <t>u8SeccMaxCur</t>
  </si>
  <si>
    <t>Maximum current value (AC Charging Mode)</t>
  </si>
  <si>
    <t>6-80</t>
  </si>
  <si>
    <t>沙朱杰：拆分单元格</t>
  </si>
  <si>
    <t>DC_Charging_Mode</t>
  </si>
  <si>
    <t>u8DCChargMod</t>
  </si>
  <si>
    <t>Charging Procedure (DC Charging Mode)</t>
  </si>
  <si>
    <t>CF_Secc_DCAC_ChgMode</t>
  </si>
  <si>
    <t>u8SeccDCACChgMode</t>
  </si>
  <si>
    <t>0: unknown, 1: DC Charging Mode, 2:AC Charging Mode</t>
  </si>
  <si>
    <t>EVCC_Fault_Status</t>
  </si>
  <si>
    <t>u8EVCCFltSt</t>
  </si>
  <si>
    <t>EVCC status and error code
(0： no charging 1: charging in process 2:going to sleep 3: EVSE charging error 4: EVCC charging error 5: EVSE manual stop)</t>
  </si>
  <si>
    <t>0-5</t>
  </si>
  <si>
    <t>CR_Secc_EvseOutVolt</t>
  </si>
  <si>
    <t>u8SeccEvseOutVolt</t>
  </si>
  <si>
    <t>Voltage output value (For Welding Detection)</t>
  </si>
  <si>
    <t>0-6553.5</t>
  </si>
  <si>
    <t>CR_Secc_EVSEMaxPowerLimit</t>
  </si>
  <si>
    <t>u8SeccEvseMaxOwrLmt</t>
  </si>
  <si>
    <t>Charger’s Max. Power Limit</t>
  </si>
  <si>
    <t>1-65000</t>
  </si>
  <si>
    <t>BMS_T-BOX</t>
  </si>
  <si>
    <t>0x509</t>
  </si>
  <si>
    <t>BMS SN码</t>
  </si>
  <si>
    <t>以下未核对</t>
  </si>
  <si>
    <t>u16BmsManFactuNum</t>
  </si>
  <si>
    <t>u8BmsPrdctYear</t>
  </si>
  <si>
    <t>u8BmsPrdctMonth</t>
  </si>
  <si>
    <t>u8BmsPrdctDay</t>
  </si>
  <si>
    <t>u32BmsPrdctSerialNum</t>
  </si>
  <si>
    <t>0x519</t>
  </si>
  <si>
    <t>BMS 软硬件版本号</t>
  </si>
  <si>
    <t>u8BmsSoftSymbl</t>
  </si>
  <si>
    <t>u8BmsSoftPrjSymbl</t>
  </si>
  <si>
    <t>u8BmsSoftVersFirSymbl</t>
  </si>
  <si>
    <t>u8BmsSoftVersSecSymbl</t>
  </si>
  <si>
    <t>u8BmsHardSymbl</t>
  </si>
  <si>
    <t>u8BmsHardPrjSymbl</t>
  </si>
  <si>
    <t>u8BmsHardVersFirSymbl</t>
  </si>
  <si>
    <t>u8BmsHardVersSecSymbl</t>
  </si>
  <si>
    <t>0x529</t>
  </si>
  <si>
    <t>BMS BootLoader软件版本号</t>
  </si>
  <si>
    <t>u8BmsBtSoftSymb</t>
  </si>
  <si>
    <t>u8BmsBtSoftPrjSymb</t>
  </si>
  <si>
    <t>u8BmsBtSoftFirymb</t>
  </si>
  <si>
    <t>u8BmsBtSoftSecSymb</t>
  </si>
  <si>
    <t>%0x729</t>
  </si>
  <si>
    <t>T-BOX_BMS</t>
  </si>
  <si>
    <t>%0x719</t>
  </si>
  <si>
    <t>EVCC_T-BOX</t>
  </si>
  <si>
    <t>0x539</t>
  </si>
  <si>
    <t>EVCC SN码</t>
  </si>
  <si>
    <t>u16EvccManFactuNum</t>
  </si>
  <si>
    <t>u8EvccPrdctYear</t>
  </si>
  <si>
    <t>u8EvccPrdctMonth</t>
  </si>
  <si>
    <t>u8EvccPrdctDay</t>
  </si>
  <si>
    <t>u32EvccPrdctSerialNum</t>
  </si>
  <si>
    <t>0x549</t>
  </si>
  <si>
    <t>EVCC 软硬件版本号</t>
  </si>
  <si>
    <t>u8EvccSoftSymbl</t>
  </si>
  <si>
    <t>u8EvccSoftPrjSymbl</t>
  </si>
  <si>
    <t>u8EvccSoftVersFirSymbl</t>
  </si>
  <si>
    <t>u8EvccSoftVersSecSymbl</t>
  </si>
  <si>
    <t>u8EvccHardSymbl</t>
  </si>
  <si>
    <t>u8EvccHardPrjSymbl</t>
  </si>
  <si>
    <t>u8EvccHardVersFirSymbl</t>
  </si>
  <si>
    <t>u8EvccHardVersSecSymbl</t>
  </si>
  <si>
    <t>0x559</t>
  </si>
  <si>
    <t>EVCC BootLoader软件版本号</t>
  </si>
  <si>
    <t>u8EvccBtSoftSymb</t>
  </si>
  <si>
    <t>u8EvccBtSoftPrjSymb</t>
  </si>
  <si>
    <t>u8EvccBtSoftFirymb</t>
  </si>
  <si>
    <t>u8EvccBtSoftSecSymb</t>
  </si>
  <si>
    <t>%0x749</t>
  </si>
  <si>
    <t>T_Box_EVCC</t>
  </si>
  <si>
    <t>%0x739</t>
  </si>
  <si>
    <t>0x599</t>
  </si>
  <si>
    <t>PACK SN码</t>
  </si>
  <si>
    <t>原5AE,20240612</t>
  </si>
  <si>
    <t>u16PackManFactuNum</t>
  </si>
  <si>
    <t>u8PackPrdctYear</t>
  </si>
  <si>
    <t>u8PackPrdctMonth</t>
  </si>
  <si>
    <t>u8PackPrdctDay</t>
  </si>
  <si>
    <t>u32PackPrdctSerialNum</t>
  </si>
  <si>
    <t>DS_VCU</t>
  </si>
  <si>
    <t>0x4A5</t>
  </si>
  <si>
    <t>仪表Fault Code</t>
  </si>
  <si>
    <t>无则不发</t>
  </si>
  <si>
    <t>待补充，20240612</t>
  </si>
  <si>
    <t>仪表与VCU通讯故障
VCU communication fail</t>
  </si>
  <si>
    <t>hld_DS_bDSVCUComFail</t>
  </si>
  <si>
    <t>0:无故障
1：故障</t>
  </si>
  <si>
    <t>%0x4B5</t>
  </si>
  <si>
    <t>仪表采集到的光感值</t>
  </si>
  <si>
    <t>仪表换算的亮度等级</t>
  </si>
  <si>
    <t>DS_T-BOX1</t>
  </si>
  <si>
    <t>0x5A5</t>
  </si>
  <si>
    <t>Display SN码</t>
  </si>
  <si>
    <t>DS_T-BOX2</t>
  </si>
  <si>
    <t>0x5B5</t>
  </si>
  <si>
    <t>Display 软硬件版本号</t>
  </si>
  <si>
    <t>DS_T-BOX3</t>
  </si>
  <si>
    <t>0x5C5</t>
  </si>
  <si>
    <t>Display BootLoader软件版本号</t>
  </si>
  <si>
    <t>cod_Disp_u8BtSymb</t>
  </si>
  <si>
    <t>cod_Disp_u8BtPrjSymb</t>
  </si>
  <si>
    <t>cod_Disp_u8BtPrjFirSymb</t>
  </si>
  <si>
    <t>cod_Disp_u8BtPrjSecSymb</t>
  </si>
  <si>
    <t>DS_T-BOX4</t>
  </si>
  <si>
    <t>%0x745</t>
  </si>
  <si>
    <t>Display UDS 应答</t>
  </si>
  <si>
    <t>T-BOX_DS</t>
  </si>
  <si>
    <t>%0x735</t>
  </si>
  <si>
    <t>Display UDS 请求</t>
  </si>
  <si>
    <t>CCS_DS1</t>
  </si>
  <si>
    <t>0x415</t>
  </si>
  <si>
    <t>中控指令</t>
  </si>
  <si>
    <t>里程单位制式</t>
  </si>
  <si>
    <t>u8MileageUnit</t>
  </si>
  <si>
    <t>00: 公制
01: 英制
03: 无效值 仪表保持上次开机值处理，或默认值</t>
  </si>
  <si>
    <t>温度单位</t>
  </si>
  <si>
    <t>u8TempUnit</t>
  </si>
  <si>
    <t>0:摄氏度
1: 华氏度
3 :无效值</t>
  </si>
  <si>
    <t>时间显示制式</t>
  </si>
  <si>
    <t>u8TimeUnit</t>
  </si>
  <si>
    <t>0 :24小时制
1 :12小时制
3 :无效值</t>
  </si>
  <si>
    <t>胎压单位</t>
  </si>
  <si>
    <t>u8TirePressUnit</t>
  </si>
  <si>
    <t>0 :bar
1 :PSI
2 :kPa
3 :无效值</t>
  </si>
  <si>
    <t>仪表屏幕亮度调节模式</t>
  </si>
  <si>
    <t>u8ScrenBrigtMod</t>
  </si>
  <si>
    <t>0 :自动
1 :手动1(亮度10)
2 :手动2(亮度20)
……
10: 手动10(亮度100)
15: 无效值 仪表保持上次开机值处理，或默认值</t>
  </si>
  <si>
    <t>语言</t>
  </si>
  <si>
    <t>u8Language</t>
  </si>
  <si>
    <t>0 :中文
1 :英文
2 :俄文
15:无效值</t>
  </si>
  <si>
    <t>时间戳，单位s</t>
  </si>
  <si>
    <t>u32Timestamp</t>
  </si>
  <si>
    <t>白天/黑夜</t>
  </si>
  <si>
    <t>u8DayOrNight</t>
  </si>
  <si>
    <t>0: 白天
1 :黑夜
3 :无效值</t>
  </si>
  <si>
    <t>主题</t>
  </si>
  <si>
    <t>u8Theme</t>
  </si>
  <si>
    <t>0: 默认主题
15: 无效值</t>
  </si>
  <si>
    <t>屏幕控制</t>
  </si>
  <si>
    <t>u8ScreenCtr</t>
  </si>
  <si>
    <t>0:无效值；
1：亮屏；
2：黑屏；
3：息屏；</t>
  </si>
  <si>
    <t>车速表样式
SpeedOmeter style</t>
  </si>
  <si>
    <t>u8SpeedOmeterStyle</t>
  </si>
  <si>
    <t>0:无设置；
1：Work样式；
2：Analog样式；</t>
  </si>
  <si>
    <t>Turn Left Light
左转信号</t>
  </si>
  <si>
    <t>cod_ccs_u8TurnLLight</t>
  </si>
  <si>
    <t>Turn Right Light
右转信号</t>
  </si>
  <si>
    <t>cod_ccs_u8TurnRLight</t>
  </si>
  <si>
    <t>Low Beam Light
近光灯</t>
  </si>
  <si>
    <t>cod_ccs_u8LowBeamLight</t>
  </si>
  <si>
    <t>High Beam Light
远光灯</t>
  </si>
  <si>
    <t>cod_ccs_u8HighBeamLight</t>
  </si>
  <si>
    <t>Hazard Warning Light
危险报警灯</t>
  </si>
  <si>
    <t>cod_ccs_u8HazardWarLight</t>
  </si>
  <si>
    <t>故障码由二个字节表示</t>
  </si>
  <si>
    <r>
      <rPr>
        <sz val="12"/>
        <color rgb="FF000000"/>
        <rFont val="宋体"/>
        <family val="3"/>
        <charset val="134"/>
      </rPr>
      <t>故障含义</t>
    </r>
  </si>
  <si>
    <r>
      <rPr>
        <sz val="12"/>
        <color rgb="FF000000"/>
        <rFont val="宋体"/>
        <family val="3"/>
        <charset val="134"/>
      </rPr>
      <t>故障分类</t>
    </r>
  </si>
  <si>
    <r>
      <rPr>
        <sz val="12"/>
        <color rgb="FF000000"/>
        <rFont val="宋体"/>
        <family val="3"/>
        <charset val="134"/>
      </rPr>
      <t>故障等级</t>
    </r>
  </si>
  <si>
    <r>
      <rPr>
        <sz val="12"/>
        <color rgb="FF000000"/>
        <rFont val="宋体"/>
        <family val="3"/>
        <charset val="134"/>
      </rPr>
      <t>故障码高位</t>
    </r>
  </si>
  <si>
    <r>
      <rPr>
        <sz val="12"/>
        <color rgb="FF000000"/>
        <rFont val="宋体"/>
        <family val="3"/>
        <charset val="134"/>
      </rPr>
      <t>故障码低位</t>
    </r>
  </si>
  <si>
    <r>
      <rPr>
        <sz val="12"/>
        <color rgb="FF000000"/>
        <rFont val="宋体"/>
        <family val="3"/>
        <charset val="134"/>
      </rPr>
      <t>故障说明</t>
    </r>
  </si>
  <si>
    <r>
      <rPr>
        <sz val="12"/>
        <color rgb="FF000000"/>
        <rFont val="Times New Roman"/>
        <family val="1"/>
      </rPr>
      <t>1</t>
    </r>
    <r>
      <rPr>
        <sz val="12"/>
        <color rgb="FF000000"/>
        <rFont val="宋体"/>
        <family val="3"/>
        <charset val="134"/>
      </rPr>
      <t>、整车故障码（</t>
    </r>
    <r>
      <rPr>
        <sz val="12"/>
        <color rgb="FF000000"/>
        <rFont val="Times New Roman"/>
        <family val="1"/>
      </rPr>
      <t>VCU</t>
    </r>
    <r>
      <rPr>
        <sz val="12"/>
        <color rgb="FF000000"/>
        <rFont val="宋体"/>
        <family val="3"/>
        <charset val="134"/>
      </rPr>
      <t>发给</t>
    </r>
    <r>
      <rPr>
        <sz val="12"/>
        <color rgb="FF000000"/>
        <rFont val="Times New Roman"/>
        <family val="1"/>
      </rPr>
      <t>IP</t>
    </r>
    <r>
      <rPr>
        <sz val="12"/>
        <color rgb="FF000000"/>
        <rFont val="宋体"/>
        <family val="3"/>
        <charset val="134"/>
      </rPr>
      <t>显示）</t>
    </r>
    <r>
      <rPr>
        <sz val="12"/>
        <color rgb="FF000000"/>
        <rFont val="Times New Roman"/>
        <family val="1"/>
      </rPr>
      <t xml:space="preserve">
2</t>
    </r>
    <r>
      <rPr>
        <sz val="12"/>
        <color rgb="FF000000"/>
        <rFont val="宋体"/>
        <family val="3"/>
        <charset val="134"/>
      </rPr>
      <t>、</t>
    </r>
    <r>
      <rPr>
        <sz val="12"/>
        <color rgb="FF000000"/>
        <rFont val="Times New Roman"/>
        <family val="1"/>
      </rPr>
      <t>EPS</t>
    </r>
    <r>
      <rPr>
        <sz val="12"/>
        <color rgb="FF000000"/>
        <rFont val="宋体"/>
        <family val="3"/>
        <charset val="134"/>
      </rPr>
      <t>、前后电控、</t>
    </r>
    <r>
      <rPr>
        <sz val="12"/>
        <color rgb="FF000000"/>
        <rFont val="Times New Roman"/>
        <family val="1"/>
      </rPr>
      <t>BMS</t>
    </r>
    <r>
      <rPr>
        <sz val="12"/>
        <color rgb="FF000000"/>
        <rFont val="宋体"/>
        <family val="3"/>
        <charset val="134"/>
      </rPr>
      <t>、档位等故障码统一（发给</t>
    </r>
    <r>
      <rPr>
        <sz val="12"/>
        <color rgb="FF000000"/>
        <rFont val="Times New Roman"/>
        <family val="1"/>
      </rPr>
      <t>VCU</t>
    </r>
    <r>
      <rPr>
        <sz val="12"/>
        <color rgb="FF000000"/>
        <rFont val="宋体"/>
        <family val="3"/>
        <charset val="134"/>
      </rPr>
      <t>判断，由VCU发给仪表显示）</t>
    </r>
    <r>
      <rPr>
        <sz val="12"/>
        <color rgb="FF000000"/>
        <rFont val="Times New Roman"/>
        <family val="1"/>
      </rPr>
      <t xml:space="preserve">
</t>
    </r>
  </si>
  <si>
    <t>故障等级：分为三个等级，0~3；                            0：Read 提示，仪表显示，不做故障处理。                1：Reduce Power报警，仪表显示，不做处理；
2：creep;跛行车辆发生故障可以驾驶，但无人身安全风险，无设备安全风险，可以坡行或限功率运行，可能需要维修。                     
3:shutdown high voltage power：驾驶有安全风险，下高压。</t>
  </si>
  <si>
    <r>
      <rPr>
        <sz val="12"/>
        <color rgb="FF000000"/>
        <rFont val="Times New Roman"/>
        <family val="1"/>
      </rPr>
      <t xml:space="preserve"> </t>
    </r>
    <r>
      <rPr>
        <sz val="12"/>
        <color rgb="FF000000"/>
        <rFont val="宋体"/>
        <family val="3"/>
        <charset val="134"/>
      </rPr>
      <t>故障码</t>
    </r>
    <r>
      <rPr>
        <sz val="12"/>
        <color rgb="FF000000"/>
        <rFont val="Times New Roman"/>
        <family val="1"/>
      </rPr>
      <t>(</t>
    </r>
    <r>
      <rPr>
        <sz val="12"/>
        <color rgb="FF000000"/>
        <rFont val="宋体"/>
        <family val="3"/>
        <charset val="134"/>
      </rPr>
      <t>见故障代码表或数据帧</t>
    </r>
    <r>
      <rPr>
        <sz val="12"/>
        <color rgb="FF000000"/>
        <rFont val="Times New Roman"/>
        <family val="1"/>
      </rPr>
      <t>)</t>
    </r>
  </si>
  <si>
    <t>故障诊断列表（ID 0x2F1）</t>
  </si>
  <si>
    <t>故障等级</t>
  </si>
  <si>
    <t>故障诊断</t>
  </si>
  <si>
    <t>故障恢复</t>
  </si>
  <si>
    <t>ECU本体故障处理措施</t>
  </si>
  <si>
    <t>故障处理措施(开机自检)</t>
  </si>
  <si>
    <t>力矩为0时下高压，车速≦5KM</t>
  </si>
  <si>
    <t>仪表显示</t>
  </si>
  <si>
    <t>诊断前提条件</t>
  </si>
  <si>
    <t>诊断触发条件</t>
  </si>
  <si>
    <t>恢复的前提条件</t>
  </si>
  <si>
    <t>故障恢复条件</t>
  </si>
  <si>
    <t>故障自恢复老化机制</t>
  </si>
  <si>
    <t>DTC自清除的方法</t>
  </si>
  <si>
    <t>高压上电</t>
  </si>
  <si>
    <t>ready状态</t>
  </si>
  <si>
    <t>VCU发下高压</t>
  </si>
  <si>
    <t>车辆行车力矩限制</t>
  </si>
  <si>
    <t>车速限制</t>
  </si>
  <si>
    <t>是否下ready状态</t>
  </si>
  <si>
    <t>行车加热</t>
  </si>
  <si>
    <t>充电</t>
  </si>
  <si>
    <t>可能故障原因</t>
  </si>
  <si>
    <t>维修建议</t>
  </si>
  <si>
    <t>故障等级（L1\L2\L3)</t>
  </si>
  <si>
    <t>放电</t>
  </si>
  <si>
    <t>回馈</t>
  </si>
  <si>
    <t>慢充充电</t>
  </si>
  <si>
    <t>慢充加热</t>
  </si>
  <si>
    <t>hld_can1_bBusOff</t>
  </si>
  <si>
    <t>VCU Body CAN BUS OFF</t>
  </si>
  <si>
    <t>VCU车身CAN断线故障</t>
  </si>
  <si>
    <t>0101</t>
  </si>
  <si>
    <t>9V≦V≦16V</t>
  </si>
  <si>
    <t>VCU V02脚收到12V+后的3s内未收到总线CAN1报文</t>
  </si>
  <si>
    <t>收到报文&amp;重启</t>
  </si>
  <si>
    <t>40次IGN循环（OFF--ON）</t>
  </si>
  <si>
    <t>1、14服务清除    2、DTC自恢复</t>
  </si>
  <si>
    <t>\</t>
  </si>
  <si>
    <t>禁止</t>
  </si>
  <si>
    <t>是</t>
  </si>
  <si>
    <t>断线前一刻功率50%</t>
  </si>
  <si>
    <t>≦25KM</t>
  </si>
  <si>
    <t>允许</t>
  </si>
  <si>
    <t>声光</t>
  </si>
  <si>
    <t>1、断线  2、短路  3、对地短路                  4、反接</t>
  </si>
  <si>
    <t>排查CAN1线路</t>
  </si>
  <si>
    <t>hld_can2_bBusOff</t>
  </si>
  <si>
    <t>VCU Powertrain CAN BUS OFF</t>
  </si>
  <si>
    <t>VCU动力CAN断线故障</t>
  </si>
  <si>
    <t>0102</t>
  </si>
  <si>
    <t>VCU 77号脚输出12V+后的3s内未收到总线CAN2报文</t>
  </si>
  <si>
    <t>下</t>
  </si>
  <si>
    <t>排查CAN2线路</t>
  </si>
  <si>
    <t>hld_bms1_bRxTimeout</t>
  </si>
  <si>
    <t>BMS Timeout</t>
  </si>
  <si>
    <t>bms接收消息超时（0x209)</t>
  </si>
  <si>
    <t>0103</t>
  </si>
  <si>
    <t>CAN1正常</t>
  </si>
  <si>
    <t>VCU 77号脚输出12V+后的3s内未收到BMS报文</t>
  </si>
  <si>
    <t>收到BMS报文&amp;重启</t>
  </si>
  <si>
    <t>排查BMScan线</t>
  </si>
  <si>
    <t>hld_EPS1_bRxTimeout</t>
  </si>
  <si>
    <t>EPSTimeout</t>
  </si>
  <si>
    <t>EPS接收消息超时（0x114)</t>
  </si>
  <si>
    <t>0104</t>
  </si>
  <si>
    <t>CAN2正常</t>
  </si>
  <si>
    <t>VCU 77号脚输出12V+后的3s内未收到EPS报文</t>
  </si>
  <si>
    <t>收到EPS报文&amp;重启</t>
  </si>
  <si>
    <t>排查EPScan线</t>
  </si>
  <si>
    <t>hld_ccs1_bRxTimeout</t>
  </si>
  <si>
    <t>CCS Timeout</t>
  </si>
  <si>
    <t>中控大屏接收消息超时(0x205)</t>
  </si>
  <si>
    <t>0105</t>
  </si>
  <si>
    <t>VCU V02脚收到12V+后的3s内未收到CCS报文</t>
  </si>
  <si>
    <t>收到CCS报文&amp;重启</t>
  </si>
  <si>
    <t>1、断线  2、短路  3、对地短路                  5、反接</t>
  </si>
  <si>
    <t>排查CCS CAN线</t>
  </si>
  <si>
    <t>P档在位电机转速小于500 ra10分钟强制下电</t>
  </si>
  <si>
    <t>hld_Rmcu1_bRxTimeout</t>
  </si>
  <si>
    <t>RMCU Timeout</t>
  </si>
  <si>
    <t>后电控接收消息超时(0x103)</t>
  </si>
  <si>
    <t>0106</t>
  </si>
  <si>
    <t>VCU 77号脚输出12V+后的3s内未收到Rmcu报文</t>
  </si>
  <si>
    <t>收到RMCU报文&amp;重启</t>
  </si>
  <si>
    <t>排查RMCU CAN线</t>
  </si>
  <si>
    <t>后电机0扭矩，重启恢复</t>
  </si>
  <si>
    <t>hld_Fmcu1_bRxTimeout</t>
  </si>
  <si>
    <t>FMCU Timeout</t>
  </si>
  <si>
    <t>前电控接收消息超时(0x102)</t>
  </si>
  <si>
    <t>0107</t>
  </si>
  <si>
    <t>VCU 77号脚输出12V+后的3s内未收到Fmcu报文</t>
  </si>
  <si>
    <t>前电机0扭矩，重启恢复</t>
  </si>
  <si>
    <t>pdd_bAccPd1OvFlt</t>
  </si>
  <si>
    <t>Accelerator pedal 1 overvoltage fault</t>
  </si>
  <si>
    <t>加速踏板1过压故障</t>
  </si>
  <si>
    <t>0108</t>
  </si>
  <si>
    <t>电压超过4.25V</t>
  </si>
  <si>
    <t>电压≦4.25V&amp;重启</t>
  </si>
  <si>
    <t>VCU输出过压或加速踏板损坏</t>
  </si>
  <si>
    <t>更换加速踏板</t>
  </si>
  <si>
    <t>pdd_bAccPd1UvFlt</t>
  </si>
  <si>
    <t>Accelerator pedal 1 undervoltage fault</t>
  </si>
  <si>
    <t>加速踏板1欠压故障</t>
  </si>
  <si>
    <t>0109</t>
  </si>
  <si>
    <t>电压低于0.55V</t>
  </si>
  <si>
    <t>电压≧0.65V&amp;重启</t>
  </si>
  <si>
    <t>VCU输出欠压或加速踏板损坏</t>
  </si>
  <si>
    <t>pdd_bAccPd2OvFlt</t>
  </si>
  <si>
    <t>Accelerator pedal 2 overvoltage fault</t>
  </si>
  <si>
    <t>加速踏板2过压故障</t>
  </si>
  <si>
    <t>0110</t>
  </si>
  <si>
    <t>电压超过2.35V</t>
  </si>
  <si>
    <t>电压≦2.35V&amp;重启</t>
  </si>
  <si>
    <t>pdd_bAccPd2UvFlt</t>
  </si>
  <si>
    <t>Accelerator pedal 2 undervoltage fault</t>
  </si>
  <si>
    <t>加速踏板2欠压故障</t>
  </si>
  <si>
    <t>0111</t>
  </si>
  <si>
    <t>电压低于0.275V</t>
  </si>
  <si>
    <t>电压≧0.275V&amp;重启</t>
  </si>
  <si>
    <t>VCU输出欠压或制动踏板损坏</t>
  </si>
  <si>
    <t>pdd_bBrkPd1OvFlt</t>
  </si>
  <si>
    <t>Brake pedal 1 overvoltage fault</t>
  </si>
  <si>
    <t>制动踏板1过压故障</t>
  </si>
  <si>
    <t>0112</t>
  </si>
  <si>
    <t>电压超过4.3V</t>
  </si>
  <si>
    <t>VCU输出过压或制动踏板损坏</t>
  </si>
  <si>
    <t>更换制动踏板传感器</t>
  </si>
  <si>
    <t>pdd_bBrkPd1UvFlt</t>
  </si>
  <si>
    <t>Brake pedal 1 undervoltage fault</t>
  </si>
  <si>
    <t>制动踏板1欠压故障</t>
  </si>
  <si>
    <t>0113</t>
  </si>
  <si>
    <t>电压低于1V</t>
  </si>
  <si>
    <t>电压≧0.9V&amp;重启</t>
  </si>
  <si>
    <t>pdd_bBrkPd2OvFlt</t>
  </si>
  <si>
    <t>Brake pedal 2 overvoltage fault</t>
  </si>
  <si>
    <t>制动踏板2过压故障</t>
  </si>
  <si>
    <t>0114</t>
  </si>
  <si>
    <t>电压超过2.15V</t>
  </si>
  <si>
    <t>电压≦2.2V&amp;重启</t>
  </si>
  <si>
    <t>pdd_bBrkPd2UvFlt</t>
  </si>
  <si>
    <t>Brake pedal 2 undervoltage fault</t>
  </si>
  <si>
    <t>制动踏板2欠压故障</t>
  </si>
  <si>
    <t>0115</t>
  </si>
  <si>
    <t>电压低于0.5V</t>
  </si>
  <si>
    <t>电压≧0.45V&amp;重启</t>
  </si>
  <si>
    <t>pdd_bAccPdSynFlt</t>
  </si>
  <si>
    <t>Accelerator pedal two-channel voltage difference out-of-range fault</t>
  </si>
  <si>
    <t>加速踏板2路电压差超范围故障</t>
  </si>
  <si>
    <t>0116</t>
  </si>
  <si>
    <t>PD1电压超过4.25V或电压低于0.55V，pd2电压超过2.35V或电压低于0.275</t>
  </si>
  <si>
    <t>pd1:0.55≦V1≦4.25V,pd2:0.275≦V1≦2.35V&amp;重启</t>
  </si>
  <si>
    <t>pdd_bBrkPdSynFlt</t>
  </si>
  <si>
    <t>Brake pedal two-channel voltage difference out-of-range fault</t>
  </si>
  <si>
    <t>制动踏板2路电压差超范围故障</t>
  </si>
  <si>
    <t>0117</t>
  </si>
  <si>
    <t>PD1电压超过4.2V或电压低于0.9V，pd2电压超过2.2V或电压低于0.45</t>
  </si>
  <si>
    <t>pd1:0.9≦V1≦4.2V,pd2:0.45≦V1≦2.2V&amp;重启</t>
  </si>
  <si>
    <t>dgd_bLvBatOvFlt</t>
  </si>
  <si>
    <t>Low voltage higher than 16V</t>
  </si>
  <si>
    <t>12V电压超过16V故障</t>
  </si>
  <si>
    <t>0118</t>
  </si>
  <si>
    <t>VCU 唤醒后100ms</t>
  </si>
  <si>
    <t>Vlot&gt;16V</t>
  </si>
  <si>
    <t>VCU 唤醒</t>
  </si>
  <si>
    <r>
      <rPr>
        <sz val="11"/>
        <color rgb="FF000000"/>
        <rFont val="等线"/>
        <family val="3"/>
        <charset val="134"/>
      </rPr>
      <t>16V</t>
    </r>
    <r>
      <rPr>
        <sz val="11"/>
        <color rgb="FF000000"/>
        <rFont val="等线"/>
        <family val="3"/>
        <charset val="134"/>
      </rPr>
      <t>&gt;</t>
    </r>
    <r>
      <rPr>
        <sz val="11"/>
        <color rgb="FF000000"/>
        <rFont val="等线"/>
        <family val="3"/>
        <charset val="134"/>
      </rPr>
      <t>Vlot&amp;重启</t>
    </r>
  </si>
  <si>
    <t>DCDC输出过压或DCDC损坏</t>
  </si>
  <si>
    <t>更换DCDC</t>
  </si>
  <si>
    <t>dgd_bLvBatUVFlt</t>
  </si>
  <si>
    <t>Low voltage  lower than 9V</t>
  </si>
  <si>
    <t>12V电压低于9V故障</t>
  </si>
  <si>
    <t>0119</t>
  </si>
  <si>
    <t>Vlot&lt;9V</t>
  </si>
  <si>
    <r>
      <rPr>
        <sz val="11"/>
        <color rgb="FF000000"/>
        <rFont val="等线"/>
        <family val="3"/>
        <charset val="134"/>
      </rPr>
      <t>9V</t>
    </r>
    <r>
      <rPr>
        <sz val="11"/>
        <color rgb="FF000000"/>
        <rFont val="等线"/>
        <family val="3"/>
        <charset val="134"/>
      </rPr>
      <t>&lt;</t>
    </r>
    <r>
      <rPr>
        <sz val="11"/>
        <color rgb="FF000000"/>
        <rFont val="等线"/>
        <family val="3"/>
        <charset val="134"/>
      </rPr>
      <t>Vlot&amp;重启</t>
    </r>
  </si>
  <si>
    <t>12V小电瓶亏电或DCDC无输出、DCDC损坏</t>
  </si>
  <si>
    <t>给小电瓶搭电，或更换DCDC</t>
  </si>
  <si>
    <t>bGearFlt</t>
  </si>
  <si>
    <t>%Gear fault</t>
  </si>
  <si>
    <t>换挡拨杆故障</t>
  </si>
  <si>
    <t>0120</t>
  </si>
  <si>
    <t>VCU 77号脚输出12V+后</t>
  </si>
  <si>
    <t>挡位任一故障包括故障id 0123 0149 150 151</t>
  </si>
  <si>
    <t>挡位故障全部清除</t>
  </si>
  <si>
    <t>换挡拨杆占空比采集错误或机械故障</t>
  </si>
  <si>
    <t>更换换挡拨杆</t>
  </si>
  <si>
    <t>bHandBrkFlt</t>
  </si>
  <si>
    <t>EPB status fault</t>
  </si>
  <si>
    <t>EPB状态故障</t>
  </si>
  <si>
    <t>0121</t>
  </si>
  <si>
    <t>车速大于1</t>
  </si>
  <si>
    <t>车速大于1并且EPB在驻车状态</t>
  </si>
  <si>
    <t>车速小于1</t>
  </si>
  <si>
    <t>EPB解锁</t>
  </si>
  <si>
    <t>≦5KM</t>
  </si>
  <si>
    <t>EPB开关损坏或断线</t>
  </si>
  <si>
    <t>更换EPB的开关</t>
  </si>
  <si>
    <t>bSafetyBeltFlt</t>
  </si>
  <si>
    <t>Seat belt unfasten</t>
  </si>
  <si>
    <t>安全带故障</t>
  </si>
  <si>
    <t>0122</t>
  </si>
  <si>
    <t>车速大于5</t>
  </si>
  <si>
    <t>车速大于5并且安全带不在位</t>
  </si>
  <si>
    <t>车速小于5</t>
  </si>
  <si>
    <t>安全带在位</t>
  </si>
  <si>
    <t>安全带未系或安全带线断</t>
  </si>
  <si>
    <t>检查安全带有没有插或线束有没有断</t>
  </si>
  <si>
    <t>gmd_bGearLpFlt</t>
  </si>
  <si>
    <t>Gear circuit detection fault</t>
  </si>
  <si>
    <t>档位回路检测故障</t>
  </si>
  <si>
    <t>0123</t>
  </si>
  <si>
    <t>挡位占空比不在28-82占空比范围内</t>
  </si>
  <si>
    <t>挡位占空比在28-82占空比范围内</t>
  </si>
  <si>
    <t>换挡拨杆占空比采集错误</t>
  </si>
  <si>
    <t>bFrontDiffLockNOFlt</t>
  </si>
  <si>
    <t>Front differential lock fault</t>
  </si>
  <si>
    <t>前差速锁故障</t>
  </si>
  <si>
    <t>0126</t>
  </si>
  <si>
    <t>ON档状态</t>
  </si>
  <si>
    <t>当电机转速&gt;615，开关有效</t>
  </si>
  <si>
    <t>开关无效</t>
  </si>
  <si>
    <t>在电机转速大于615时触碰前差速锁开关</t>
  </si>
  <si>
    <t>将开关回复原位</t>
  </si>
  <si>
    <t>bBackDiffLockNOFlt</t>
  </si>
  <si>
    <t>Rear differential lock fault</t>
  </si>
  <si>
    <t>后差速锁故障</t>
  </si>
  <si>
    <t>0127</t>
  </si>
  <si>
    <t>在电机转速大于615时触碰后差速锁开关</t>
  </si>
  <si>
    <t>bLifterIncNOFlt</t>
  </si>
  <si>
    <t>电举升上升输出故障</t>
  </si>
  <si>
    <t>0128</t>
  </si>
  <si>
    <t>当车速&gt;5，并且开关有效</t>
  </si>
  <si>
    <t>当车速小于5，或开关无效</t>
  </si>
  <si>
    <t>在车速大于5时触碰开关</t>
  </si>
  <si>
    <t>bLifterDecNOFlt</t>
  </si>
  <si>
    <t>电举升下降输出故障</t>
  </si>
  <si>
    <t>0129</t>
  </si>
  <si>
    <t>hld_AirCompressor2E8_bRxTimeout</t>
  </si>
  <si>
    <t>Compressor CAN Message Timeout</t>
  </si>
  <si>
    <t>压缩机CAN消息超时(0x2E8)</t>
  </si>
  <si>
    <t>0130</t>
  </si>
  <si>
    <t>VCU 唤醒后100ms&amp;安装过压缩机</t>
  </si>
  <si>
    <t>300mS内未收到压缩机CAN报文</t>
  </si>
  <si>
    <t>收到压缩机CAN报文</t>
  </si>
  <si>
    <t>DTC自恢复</t>
  </si>
  <si>
    <t>压缩机CAN线损坏</t>
  </si>
  <si>
    <t>1、排查线束，2、更换压缩机</t>
  </si>
  <si>
    <t>vmd_u8VcuModeErr</t>
  </si>
  <si>
    <t>High-voltage power-on timeout</t>
  </si>
  <si>
    <t>高压上电超时</t>
  </si>
  <si>
    <t>0131</t>
  </si>
  <si>
    <t>VCU 77号脚输出12V+</t>
  </si>
  <si>
    <t>VCU发出上高压请求并且5S内无上高压完成反馈</t>
  </si>
  <si>
    <t>关机重启</t>
  </si>
  <si>
    <t>BMS故障或 CAN线断开。</t>
  </si>
  <si>
    <t>排查高压盒</t>
  </si>
  <si>
    <t>High-voltage power-off timeout</t>
  </si>
  <si>
    <t>高压下电超时</t>
  </si>
  <si>
    <t>0132</t>
  </si>
  <si>
    <t>上高压状态</t>
  </si>
  <si>
    <t>发送高压下电指令后3S内电池仍然上报还在高压状态</t>
  </si>
  <si>
    <t>%Low-voltage power-off timeout</t>
  </si>
  <si>
    <t>低压下电超时</t>
  </si>
  <si>
    <t>0133</t>
  </si>
  <si>
    <t>ON档继电器断开</t>
  </si>
  <si>
    <t>继电器断开后VCU仍有中控发出的ON档使能信号</t>
  </si>
  <si>
    <t>ON档使能信号断开</t>
  </si>
  <si>
    <t>中控损坏</t>
  </si>
  <si>
    <t>更换中控</t>
  </si>
  <si>
    <t>hld_OBC_bRxTimeout</t>
  </si>
  <si>
    <t>Chargertimeout</t>
  </si>
  <si>
    <t>充电机消息超时(0x3E7)</t>
  </si>
  <si>
    <t>0134</t>
  </si>
  <si>
    <t>VCU 77号脚输出12V+后的3s内未收到OBC报文</t>
  </si>
  <si>
    <t>收到OBC报文&amp;关机重启</t>
  </si>
  <si>
    <t>排查OBC线</t>
  </si>
  <si>
    <t>hld_Tbox20C_bRxTimeout</t>
  </si>
  <si>
    <t>T-BOX timeout</t>
  </si>
  <si>
    <t>接收TBOX消息超时(0x20C)</t>
  </si>
  <si>
    <t>0135</t>
  </si>
  <si>
    <t>VCU 77号脚输出12V+后的3s内未收到TBOX报文</t>
  </si>
  <si>
    <t>收到TBOX报文</t>
  </si>
  <si>
    <t>排查TBOX线</t>
  </si>
  <si>
    <t>hld_DiS4C5_bRxTimeout</t>
  </si>
  <si>
    <t>Central control message timeout</t>
  </si>
  <si>
    <t>接收仪表消息超时(0x4C5)</t>
  </si>
  <si>
    <t>0136</t>
  </si>
  <si>
    <t>VCU V02脚收到12V+后的3s内未收到DS报文</t>
  </si>
  <si>
    <t>收到仪表报文</t>
  </si>
  <si>
    <t>排查中控can线</t>
  </si>
  <si>
    <t>hld_EPB1_bRxTimeout</t>
  </si>
  <si>
    <t>EPB timeout</t>
  </si>
  <si>
    <t>EPB消息超时(0x20A)</t>
  </si>
  <si>
    <t>0137</t>
  </si>
  <si>
    <t>VCU 77号脚输出12V+后的3s内未收到EPB报文</t>
  </si>
  <si>
    <t>收到EPB报文</t>
  </si>
  <si>
    <t>排查EPBcan线</t>
  </si>
  <si>
    <t>hld_LBMS_bRxTimeout</t>
  </si>
  <si>
    <t>LBMS timeout</t>
  </si>
  <si>
    <t>LBMS消息超时(0x29E)</t>
  </si>
  <si>
    <t>0138</t>
  </si>
  <si>
    <t>VCU发送4FC消息3S内没接收到报文</t>
  </si>
  <si>
    <t>收到LBMS报文</t>
  </si>
  <si>
    <t>排查;BMScan线</t>
  </si>
  <si>
    <t>hld_LC_bRxTimeout</t>
  </si>
  <si>
    <t>LCM timeout</t>
  </si>
  <si>
    <t>LCM消息超时(0x41E)</t>
  </si>
  <si>
    <t>0139</t>
  </si>
  <si>
    <t>VCU 77号脚输出12V+后的3s内未收到LC报文</t>
  </si>
  <si>
    <t>收到LCM报文</t>
  </si>
  <si>
    <t>排查;LCMcan线</t>
  </si>
  <si>
    <t>hld_winch1_bRxTimeout</t>
  </si>
  <si>
    <t>Winch timeout</t>
  </si>
  <si>
    <t>绞盘消息超时&amp;出现过(0x2AE)</t>
  </si>
  <si>
    <t>0140</t>
  </si>
  <si>
    <t>VCU 77号脚输出12V+后的3s内未收到winch报文</t>
  </si>
  <si>
    <t>收到绞盘报文</t>
  </si>
  <si>
    <t>排查;绞盘can线</t>
  </si>
  <si>
    <t>bBmsWpumpIdleFlt</t>
  </si>
  <si>
    <t>Battery water pump idling</t>
  </si>
  <si>
    <t>电池水泵空转</t>
  </si>
  <si>
    <t>0141</t>
  </si>
  <si>
    <t>水泵PWM反馈占空比为40%</t>
  </si>
  <si>
    <t>水泵PWM反馈占空比为0%</t>
  </si>
  <si>
    <t>冷却管路漏液</t>
  </si>
  <si>
    <t>查找管路漏液点进行更换管路，重新加注冷却水</t>
  </si>
  <si>
    <t>bBmsWNoInFlt</t>
  </si>
  <si>
    <t>Battery pump speed control circuit open</t>
  </si>
  <si>
    <t>电池水泵PWM调速开路</t>
  </si>
  <si>
    <t>0142</t>
  </si>
  <si>
    <t>水泵PWM反馈占空比为70%</t>
  </si>
  <si>
    <t xml:space="preserve">PWM断线  </t>
  </si>
  <si>
    <t>排查水泵是否连接器松动或端子脱落</t>
  </si>
  <si>
    <t>bBmsWPumpOCFlt</t>
  </si>
  <si>
    <t>Battery pump fault</t>
  </si>
  <si>
    <t>电池水泵其他故障</t>
  </si>
  <si>
    <t>0143</t>
  </si>
  <si>
    <t>水泵PWM反馈占空比为100%</t>
  </si>
  <si>
    <t>冷却管路内有异物堵塞管路</t>
  </si>
  <si>
    <t>查找并疏通</t>
  </si>
  <si>
    <t>bMotPumpIdling</t>
  </si>
  <si>
    <t>Motor water pump idling</t>
  </si>
  <si>
    <t>电机水泵空转</t>
  </si>
  <si>
    <t>0144</t>
  </si>
  <si>
    <t>bMotorPumpNoPwmCtrl</t>
  </si>
  <si>
    <t>Motor pump speed control circuit open</t>
  </si>
  <si>
    <t>电机水泵PWM调速开路</t>
  </si>
  <si>
    <t>0145</t>
  </si>
  <si>
    <t>bMotorPumpFlt</t>
  </si>
  <si>
    <t>Motor pump fault</t>
  </si>
  <si>
    <t>电机水泵其他故障</t>
  </si>
  <si>
    <t>0146</t>
  </si>
  <si>
    <t>dgd_bFridgeTimeout</t>
  </si>
  <si>
    <t>Refrigerator Message Timeout Fault</t>
  </si>
  <si>
    <t>冰箱消息超时故障</t>
  </si>
  <si>
    <t>0147</t>
  </si>
  <si>
    <t>VCU 77号脚输出12V+后的3s内未收到Fridge报文</t>
  </si>
  <si>
    <t>收到Fridge报文</t>
  </si>
  <si>
    <t>1、断线  2、短路  3、对地短路                  4、反接,冰箱损坏</t>
  </si>
  <si>
    <t>排查;Fridgean线或更换冰箱</t>
  </si>
  <si>
    <t>%Reverse gear button sticking warning</t>
  </si>
  <si>
    <t>0148</t>
  </si>
  <si>
    <t>后退档一直在位超过3s</t>
  </si>
  <si>
    <t>换挡开关回到N档位置</t>
  </si>
  <si>
    <t>用户误操作，外力将挡位置于后退档</t>
  </si>
  <si>
    <t>无需维修</t>
  </si>
  <si>
    <t>dgd_bGearFAdhesionFlt</t>
  </si>
  <si>
    <t>Forward gear button sticking fault</t>
  </si>
  <si>
    <t>前进挡位按键粘连故障</t>
  </si>
  <si>
    <t>0149</t>
  </si>
  <si>
    <t>前进档一直在位超过60s</t>
  </si>
  <si>
    <t>挡位故障，占空比采集失效，或前进挡卡住</t>
  </si>
  <si>
    <t>更换换挡开关</t>
  </si>
  <si>
    <t>dgd_bGearRAdhesionFlt</t>
  </si>
  <si>
    <t>Reverse gear button sticking failure</t>
  </si>
  <si>
    <t>后退挡位按键粘连故障</t>
  </si>
  <si>
    <t>0150</t>
  </si>
  <si>
    <t>后退档一直在位超过60s</t>
  </si>
  <si>
    <t>挡位故障，占空比采集失效，或后退挡卡住</t>
  </si>
  <si>
    <t>dgd_bGearFRAllHLvlFlt</t>
  </si>
  <si>
    <t>Fault of forward and reverse gear buttons being in position at the same time</t>
  </si>
  <si>
    <t>前进后退挡位按键同时在位故障</t>
  </si>
  <si>
    <t>0151</t>
  </si>
  <si>
    <t>前进挡和后退档同时在位超过100ms</t>
  </si>
  <si>
    <t>前进挡和后退档任一不在位超过100ms</t>
  </si>
  <si>
    <t>挡位故障，占空比采集失效</t>
  </si>
  <si>
    <t>dgd_bDNShiftOvWarn</t>
  </si>
  <si>
    <t>Three way valve LIN response error</t>
  </si>
  <si>
    <t>三通阀LIN响应错误</t>
  </si>
  <si>
    <t>0152</t>
  </si>
  <si>
    <t>lin线断线或水阀损坏</t>
  </si>
  <si>
    <t>检查lin线通断或更换水阀</t>
  </si>
  <si>
    <t>dgd_bDNShiftNoBrkWarn</t>
  </si>
  <si>
    <t>Overpressure fault of three-way valve</t>
  </si>
  <si>
    <t>三通阀过压故障</t>
  </si>
  <si>
    <t>0153</t>
  </si>
  <si>
    <t>电压超过16V</t>
  </si>
  <si>
    <t>检查低压电是否过高或更换水阀</t>
  </si>
  <si>
    <t>dgd_bDNShiftNoBrkOvWarn</t>
  </si>
  <si>
    <t>Three way valve overcurrent fault</t>
  </si>
  <si>
    <t>三通阀过流故障</t>
  </si>
  <si>
    <t>0154</t>
  </si>
  <si>
    <t>电流超过规定阈值</t>
  </si>
  <si>
    <t>重启不恢复更换水阀</t>
  </si>
  <si>
    <t>Three way valve overheating fault</t>
  </si>
  <si>
    <t>三通阀过温故障</t>
  </si>
  <si>
    <t>0155</t>
  </si>
  <si>
    <t>温度超过规定阈值</t>
  </si>
  <si>
    <t>温度下降不恢复更换水阀</t>
  </si>
  <si>
    <t>Three way valve under voltage fault</t>
  </si>
  <si>
    <t>三通阀欠压故障</t>
  </si>
  <si>
    <t>0156</t>
  </si>
  <si>
    <t>电压低于9V</t>
  </si>
  <si>
    <t>电压超过10V补恢复更换水阀</t>
  </si>
  <si>
    <t>disconnection fault of three-way valve</t>
  </si>
  <si>
    <t>三通阀断线故障</t>
  </si>
  <si>
    <t>0157</t>
  </si>
  <si>
    <t>Four way valve LIN response error</t>
  </si>
  <si>
    <t>四通阀LIN响应错误</t>
  </si>
  <si>
    <t>0158</t>
  </si>
  <si>
    <t>Overpressure fault of four-way valve</t>
  </si>
  <si>
    <t>四通阀过压故障</t>
  </si>
  <si>
    <t>0159</t>
  </si>
  <si>
    <t>Four way valve overcurrent fault</t>
  </si>
  <si>
    <t>四通阀过流故障</t>
  </si>
  <si>
    <t>0160</t>
  </si>
  <si>
    <t>Four way valve overheating fault</t>
  </si>
  <si>
    <t>四通阀过温故障</t>
  </si>
  <si>
    <t>0161</t>
  </si>
  <si>
    <t>Four way valve under voltage fault</t>
  </si>
  <si>
    <t>四通阀欠压故障</t>
  </si>
  <si>
    <t>0162</t>
  </si>
  <si>
    <t>disconnection fault of four-way valve</t>
  </si>
  <si>
    <t>四通阀断线故障</t>
  </si>
  <si>
    <t>0163</t>
  </si>
  <si>
    <t xml:space="preserve">amd_bWinchSwAlrm </t>
  </si>
  <si>
    <t>Winch switch output and input short circuit fault</t>
  </si>
  <si>
    <t>绞盘开关出和进短路故障</t>
  </si>
  <si>
    <t>0164</t>
  </si>
  <si>
    <t>绞盘开关进和出2根引脚短路</t>
  </si>
  <si>
    <t>开关进水短路</t>
  </si>
  <si>
    <t>将水吹干</t>
  </si>
  <si>
    <t>amd_bDiffLockSwAlrm</t>
  </si>
  <si>
    <t>Front and rear differential lock switches short circuit</t>
  </si>
  <si>
    <t>前后差速锁开关短路</t>
  </si>
  <si>
    <t>0165</t>
  </si>
  <si>
    <t>前后差速锁进和出22根引脚短路</t>
  </si>
  <si>
    <t>amd_bLifterSwAlrm</t>
  </si>
  <si>
    <t>Lift switch inlet and outlet short circuit fault</t>
  </si>
  <si>
    <t>举升开关出和进短路故障</t>
  </si>
  <si>
    <t>0166</t>
  </si>
  <si>
    <t>绞盘开关进和出22根引脚短路</t>
  </si>
  <si>
    <t>Brake pedal lowest position calibration alarm</t>
  </si>
  <si>
    <t>制动踏板最低位标定报警：保持最低位，若不在1.2V到2.0V的电压区间内，则报警</t>
  </si>
  <si>
    <t>0167</t>
  </si>
  <si>
    <t>标定制动踏板最小电压值，不在1.2V到2.0V的电压区间内</t>
  </si>
  <si>
    <t>标定期间电压范围回归到1.2V到2.0V的电压区间内</t>
  </si>
  <si>
    <t>制动踏板人为标定失误或本身制动踏板采集故障</t>
  </si>
  <si>
    <t>排查标定行为，若仍然报错，更换制动踏板</t>
  </si>
  <si>
    <t>Brake pedal highest position calibration alarm</t>
  </si>
  <si>
    <t>制动踏板最高位标定报警：在最高位标定完松开踏板时检测标定准确性，若不在3V到4.3V的区间内，则报警</t>
  </si>
  <si>
    <t>0168</t>
  </si>
  <si>
    <t>标定制动踏板最小电压值，不在3V到4.3V的电压区间内</t>
  </si>
  <si>
    <t>标定期间电压范围回归到3V到4.3V的电压区间内</t>
  </si>
  <si>
    <t>hld_TMS238_bRxTimeout</t>
  </si>
  <si>
    <t>TMS timeout</t>
  </si>
  <si>
    <t>TMS消息超时(0x238)</t>
  </si>
  <si>
    <t>0169</t>
  </si>
  <si>
    <t>VCU 77号脚输出12V+后的3s内未收到TMS报文</t>
  </si>
  <si>
    <t>bBmsWPumpLRFlt</t>
  </si>
  <si>
    <t>Battery water pump stall</t>
  </si>
  <si>
    <t>电池水泵堵转</t>
  </si>
  <si>
    <t>0170</t>
  </si>
  <si>
    <t>冷却液减少或漏液</t>
  </si>
  <si>
    <t>检查冷却水管路有没有破损</t>
  </si>
  <si>
    <t>Battery water pump overheating</t>
  </si>
  <si>
    <t>电池水泵过温</t>
  </si>
  <si>
    <t>0171</t>
  </si>
  <si>
    <t>冷却风扇故障停转</t>
  </si>
  <si>
    <t>检查冷却风扇是否损坏或断线</t>
  </si>
  <si>
    <t>Battery water pump overcurrent</t>
  </si>
  <si>
    <t>电池水泵过流</t>
  </si>
  <si>
    <t>0172</t>
  </si>
  <si>
    <t>水泵损坏</t>
  </si>
  <si>
    <t>更换水泵</t>
  </si>
  <si>
    <t>Battery water pump under-voltage</t>
  </si>
  <si>
    <t>电池水泵欠压</t>
  </si>
  <si>
    <t>0173</t>
  </si>
  <si>
    <t>12V电源电压不够或水泵损坏</t>
  </si>
  <si>
    <t>检查线路电压没问题更换水泵</t>
  </si>
  <si>
    <t>motor water pump stall</t>
  </si>
  <si>
    <t>电机水泵堵转</t>
  </si>
  <si>
    <t>0174</t>
  </si>
  <si>
    <t>motor water pump overheating</t>
  </si>
  <si>
    <t>电机水泵过温</t>
  </si>
  <si>
    <t>0175</t>
  </si>
  <si>
    <t>motor water pump overcurrent</t>
  </si>
  <si>
    <t>电机水泵过流</t>
  </si>
  <si>
    <t>0176</t>
  </si>
  <si>
    <t>motor water pump under-voltage</t>
  </si>
  <si>
    <t>电机水泵欠压</t>
  </si>
  <si>
    <t>0177</t>
  </si>
  <si>
    <t>Motor inlet water temperature sensor open circuit</t>
  </si>
  <si>
    <t>电机进水温度传感器开路</t>
  </si>
  <si>
    <t>0178</t>
  </si>
  <si>
    <t>传感器损坏或连接线断开</t>
  </si>
  <si>
    <t>检查传感器线束是否完好，如果线束完好再更换新的传感器测试</t>
  </si>
  <si>
    <t>Motor outlet water temperature sensor open circuit</t>
  </si>
  <si>
    <t>电机出水温度传感器开路</t>
  </si>
  <si>
    <t>0179</t>
  </si>
  <si>
    <t>PTC temperature sensor open circuit</t>
  </si>
  <si>
    <t>PTC温度传感器开路</t>
  </si>
  <si>
    <t>0180</t>
  </si>
  <si>
    <t>amd_BrkOil_bBrkOilLackFlt</t>
  </si>
  <si>
    <t>Brake fluid too low</t>
  </si>
  <si>
    <t>制动液过低</t>
  </si>
  <si>
    <t>0181</t>
  </si>
  <si>
    <t>vcu的pin23反馈为0表征油液较低</t>
  </si>
  <si>
    <t>重新添加油液</t>
  </si>
  <si>
    <t>油液较少</t>
  </si>
  <si>
    <t>母线硬件过压故障</t>
  </si>
  <si>
    <t>0201</t>
  </si>
  <si>
    <t>高压供电1S后</t>
  </si>
  <si>
    <r>
      <rPr>
        <sz val="11"/>
        <color rgb="FF000000"/>
        <rFont val="等线"/>
        <family val="3"/>
        <charset val="134"/>
      </rPr>
      <t>MCU检测到硬件过压硬线故障信号</t>
    </r>
    <r>
      <rPr>
        <sz val="11"/>
        <color rgb="FF000000"/>
        <rFont val="等线"/>
        <family val="3"/>
        <charset val="134"/>
      </rPr>
      <t>(</t>
    </r>
    <r>
      <rPr>
        <sz val="11"/>
        <color rgb="FF000000"/>
        <rFont val="等线"/>
        <family val="3"/>
        <charset val="134"/>
      </rPr>
      <t>母线电压峰值大于480V）</t>
    </r>
  </si>
  <si>
    <t>重启恢复</t>
  </si>
  <si>
    <t>控制器重启恢复</t>
  </si>
  <si>
    <t>1.高压电路异常
2.电池输出电压异常</t>
  </si>
  <si>
    <t>重启不恢复更换控制器</t>
  </si>
  <si>
    <t>母线软件过压故障</t>
  </si>
  <si>
    <t>0202</t>
  </si>
  <si>
    <t>母线电压超过过压故障阈值（&gt;450V）</t>
  </si>
  <si>
    <t>hld_mcuF_bPhaseCurSoftwareOvCurFlt</t>
  </si>
  <si>
    <t>mcuF_Phase current software overcurrent fault</t>
  </si>
  <si>
    <t>相电流软件过流故障</t>
  </si>
  <si>
    <t>0203</t>
  </si>
  <si>
    <t>相电流大于370A（30kW）、220A（10kW）</t>
  </si>
  <si>
    <t>三项电流峰值均小于355A(30kW)、210A（10kW）且扭矩降为0后清除故障信息</t>
  </si>
  <si>
    <t>1.电机短路
2.旋变角度异常
3.相电流信号异常
4.负载突然变化引起电流畸变
5.线束短路
6.MOS/IGBT损坏</t>
  </si>
  <si>
    <t>检查外部电路</t>
  </si>
  <si>
    <t>同时发生也能开</t>
  </si>
  <si>
    <t>hld_mcuF_bPhaseCurHardwareOvCurFlt</t>
  </si>
  <si>
    <t>相电流硬件过流故障</t>
  </si>
  <si>
    <t>0204</t>
  </si>
  <si>
    <t>相电流峰值超过676A（30kW）、632A（10kW）</t>
  </si>
  <si>
    <t>U相电流传感器有效性故障</t>
  </si>
  <si>
    <t>0205</t>
  </si>
  <si>
    <t>连续10个周期，U相电流采样AD值超出范围（&gt;3900或者&lt;200）</t>
  </si>
  <si>
    <t>1.12V供电异常
2.MCU内部线束或者硬件电路故障</t>
  </si>
  <si>
    <t>更换控制器</t>
  </si>
  <si>
    <t>U相电流传感器初始化故障</t>
  </si>
  <si>
    <t>0206</t>
  </si>
  <si>
    <t>上电自检阶段，U相电流传感器AD采样值不在范围（2140-2380）内超过150次</t>
  </si>
  <si>
    <t>W相电流传感器有效性故障</t>
  </si>
  <si>
    <t>0207</t>
  </si>
  <si>
    <t>连续10个周期，W相电流采样AD值超出范围（&gt;3900或者&lt;200）</t>
  </si>
  <si>
    <t>1.MCU内部线束或者硬件电路故障</t>
  </si>
  <si>
    <t>W相电流传感器初始化故障</t>
  </si>
  <si>
    <t>0208</t>
  </si>
  <si>
    <t>上电自检阶段，W相电流传感器AD采样值不在范围（2140-2380）内超过150次</t>
  </si>
  <si>
    <t>功率管直通故障</t>
  </si>
  <si>
    <t>0209</t>
  </si>
  <si>
    <t>Igbt驱动芯片检测到：1、正负母线直通2、三相短路3、驱动欠压（小于11.8V）</t>
  </si>
  <si>
    <t>1.电机短路
2.相电流信号异常
3.负载突然变化引起电流畸变
4.线束短路
5.MOS/IGBT损坏</t>
  </si>
  <si>
    <t>旋变信号故障</t>
  </si>
  <si>
    <t>0210</t>
  </si>
  <si>
    <t>1、转速大于等于100rpm，500ms内一直检测到断线2、转速大于等于100rpm，400ms内控制器检测到旋变信号幅值异常（sin、cos信号超限）超过2000次但不超过3500次。以上满足其一。</t>
  </si>
  <si>
    <t>重启后清除故障信息</t>
  </si>
  <si>
    <t>控制器重启后清除故障信息</t>
  </si>
  <si>
    <t>当前电机0扭矩，另一个电机全扭矩</t>
  </si>
  <si>
    <t>1.旋变线束损坏或进水
2.电机旋变异常
3.电机控制器异常</t>
  </si>
  <si>
    <t>检查外部i线束或更换控制器</t>
  </si>
  <si>
    <t>mcuF_Resolver excitation fault</t>
  </si>
  <si>
    <t>旋变激励故障</t>
  </si>
  <si>
    <t>0211</t>
  </si>
  <si>
    <t>1、转速大于等于100rpm，400ms内控制器检测到旋变信号幅值异常（sin、cos信号超限）超过3500次。2、400ms内15V激励电源超出上下限（10V-17V）超过3500次3、1s内持续检测到均方根故障以上满足其一。</t>
  </si>
  <si>
    <t>连续1000个周期幅值恢复正常或触发旋变信号异常3级故障清除</t>
  </si>
  <si>
    <t>1、旋变激励芯片短路</t>
  </si>
  <si>
    <t>hld_mcuF_bCurSensor5VPowSupFlt</t>
  </si>
  <si>
    <t>%mcuF_Current sensor 5V power supply fault</t>
  </si>
  <si>
    <t>电流传感器5V供电故障</t>
  </si>
  <si>
    <t>0212</t>
  </si>
  <si>
    <t>控制器内部电流传感器供电回采电压&lt;4.75V或&gt;5.25V</t>
  </si>
  <si>
    <t>1、控制器内部电源模块受损</t>
  </si>
  <si>
    <t>%mcuF_Software high load fault</t>
  </si>
  <si>
    <t>软件负载过高故障</t>
  </si>
  <si>
    <t>0213</t>
  </si>
  <si>
    <t>软件中断负载率&gt;90%</t>
  </si>
  <si>
    <t>1、软件执行异常
2、主控芯片故障受损</t>
  </si>
  <si>
    <t>%mcuF_Stack overflow fault</t>
  </si>
  <si>
    <t>堆栈溢出故障</t>
  </si>
  <si>
    <t>0214</t>
  </si>
  <si>
    <t>软件底层上报堆栈溢出故障标志</t>
  </si>
  <si>
    <t>%mcuF_MCU self-test failed</t>
  </si>
  <si>
    <t>MCU自检失败</t>
  </si>
  <si>
    <t>0215</t>
  </si>
  <si>
    <t>自检异常</t>
  </si>
  <si>
    <t>%mcuF_Bus overcurrent</t>
  </si>
  <si>
    <t>母线过流</t>
  </si>
  <si>
    <t>0216</t>
  </si>
  <si>
    <r>
      <rPr>
        <strike/>
        <sz val="11"/>
        <color rgb="FF000000"/>
        <rFont val="等线"/>
        <family val="3"/>
        <charset val="134"/>
      </rPr>
      <t>母线相电流超过母线过流故障阈</t>
    </r>
    <r>
      <rPr>
        <strike/>
        <sz val="11"/>
        <color rgb="FF000000"/>
        <rFont val="等线"/>
        <family val="3"/>
        <charset val="134"/>
      </rPr>
      <t>值(&gt;140A)</t>
    </r>
  </si>
  <si>
    <t>1.车辆高速行驶，旋变角度异常2.负载突然变化引起电流畸变</t>
  </si>
  <si>
    <t>低压欠压故障</t>
  </si>
  <si>
    <t>0217</t>
  </si>
  <si>
    <t>低压电池电压小于9V</t>
  </si>
  <si>
    <t>VCU 77号脚输出13V+后</t>
  </si>
  <si>
    <t>连续300个周期蓄电池电压大于10V小于15V故障清除</t>
  </si>
  <si>
    <t>1.蓄电池电量不足
2.电压连接处接触不良
3.硬件12V采样回路异常</t>
  </si>
  <si>
    <t>1.首先排查蓄电池电量是否正常
2.排查其他子系统是否有相同情况
3.更换控制器</t>
  </si>
  <si>
    <t>低压过压故障</t>
  </si>
  <si>
    <t>0218</t>
  </si>
  <si>
    <t>低压电池电压大于16V</t>
  </si>
  <si>
    <t>1.硬件12V采样回路异常
2.蓄电池异常</t>
  </si>
  <si>
    <t>1.优先排查蓄电池状态
2.更换控制器</t>
  </si>
  <si>
    <t>母线欠压故障</t>
  </si>
  <si>
    <t>0219</t>
  </si>
  <si>
    <t>母线电压小于210V</t>
  </si>
  <si>
    <t>1.线束异常
2.电池输出电压异常
3.检查硬件电路</t>
  </si>
  <si>
    <t>1.先检查其他模块的电压是否正常。
2.如果检查正常的话，利用万用表进行IPU电控两端电压测量：
（1）显示正常的话，证明IPU内部电压电路损坏。
（2）显示无异常的话，则需要排查电池方面原因。</t>
  </si>
  <si>
    <t>控制器过温故障</t>
  </si>
  <si>
    <t>0220</t>
  </si>
  <si>
    <t>IGBT温度超过95℃</t>
  </si>
  <si>
    <t>1.长时间高负载运行
2.电扇未能及时开启
3.控制器温度采样回路异常</t>
  </si>
  <si>
    <t>1.如果电控温度降下来之后可恢复，则不需要处理
2.如果电控温度降下来之后无法恢复，则需要更换电控</t>
  </si>
  <si>
    <t>1、一个报故障，可跛行。
2、两个都报故障，等温度下降60℃后拖车。</t>
  </si>
  <si>
    <t>电机过温故障</t>
  </si>
  <si>
    <t>0221</t>
  </si>
  <si>
    <t>电机温度超过155℃</t>
  </si>
  <si>
    <t>1.电机长期高负载运行
2.线束异常
3.电机热敏异常
4.电控温度采样回路异常
5.长时间低速爬坡</t>
  </si>
  <si>
    <t>1.温度降下来之后可以恢复，则不需要处理
2.如果温度降下来之后不可恢复，则需要更换电控</t>
  </si>
  <si>
    <t>电机超速警告故障</t>
  </si>
  <si>
    <t>0222</t>
  </si>
  <si>
    <t>电机转速超过11000RPM</t>
  </si>
  <si>
    <t>转速小于10300rpm时清除故障</t>
  </si>
  <si>
    <t>1.电机控制失效
2.发生打滑</t>
  </si>
  <si>
    <t>1.首先检查是否可恢复，如果可以恢复则不需要处理，如果不可恢复，则需要更换电机控制器</t>
  </si>
  <si>
    <t>电机超速故障</t>
  </si>
  <si>
    <t>0223</t>
  </si>
  <si>
    <t>电机转速超过12000RPM</t>
  </si>
  <si>
    <t>总线BUSOFF故障</t>
  </si>
  <si>
    <t>0224</t>
  </si>
  <si>
    <t>控制器连续执行10次BUS-OFF快恢复后（相当于BUS-OFF故障持续500ms），仍然检测到BUS-OFF</t>
  </si>
  <si>
    <t>控制器恢复报文发送后连续发送成功100ms，恢复故障并清除故障信息</t>
  </si>
  <si>
    <t>1.总线中有干扰
2.CAN网络受到干扰
3.CAN高和CAN低短接</t>
  </si>
  <si>
    <t>1.重新上电，看是否可恢复，可恢复则需要检查当时的工况是受到何种干扰
2.检查总线，看是否有短接的情况</t>
  </si>
  <si>
    <t>VCU通讯超时故障</t>
  </si>
  <si>
    <t>0225</t>
  </si>
  <si>
    <t>1.550ms内收不到VCU报文2.无busoff故障</t>
  </si>
  <si>
    <t>接收到报文恢复</t>
  </si>
  <si>
    <t>1.CAN网络受严重干扰
2.线束问题
3.低压接插件接触不良</t>
  </si>
  <si>
    <t>1.重新上电恢复，则继续观察
2.不能恢复，则检查其他节点是否也上报异常
3.不能恢复，更换电机控制器</t>
  </si>
  <si>
    <t>堵转故障</t>
  </si>
  <si>
    <t>0226</t>
  </si>
  <si>
    <t>1、电机转速&lt;50rpm 2、输出转矩&gt;50NM 3、持续5s后报堵转故障</t>
  </si>
  <si>
    <t>IPU执行扭矩小于40NM或转速大于80rpm后恢复</t>
  </si>
  <si>
    <t>1.电机堵转
2.电机旋变异常
3.电机失控</t>
  </si>
  <si>
    <t>1.先判断是否是堵转工况，如果是堵转工况并且可恢复则无需处理
2.如果不是堵转工况，需要用我们的旋变自学习上位机进行旋变值的读取，看是否旋变值不对
3.确认软件版本号</t>
  </si>
  <si>
    <t>限20N</t>
  </si>
  <si>
    <t>电机温度传感器故障</t>
  </si>
  <si>
    <t>0227</t>
  </si>
  <si>
    <t>上电自检阶段，连续检测300次，当电机温度传感器AD采样值不在范围（5—4092）内超过150次</t>
  </si>
  <si>
    <t>≦10KM</t>
  </si>
  <si>
    <t>1.线束异常
2.电机温度传感器采样回路异常</t>
  </si>
  <si>
    <t>1.进行重新上下电，看是否可恢复
2.检查温感线束有没有插好
3.更换电机控制器</t>
  </si>
  <si>
    <t>hld_mcuF_bMcuTemSensorUnderVoFlt</t>
  </si>
  <si>
    <t>%mcuF_Controller temperature sensor undervoltage fault</t>
  </si>
  <si>
    <t>控制器温度传感器欠压故障</t>
  </si>
  <si>
    <t>0228</t>
  </si>
  <si>
    <t>控制器温度传感器采样值超出正常范围（采样ADC &gt;4070)</t>
  </si>
  <si>
    <t>控制器温感采样ADC值恢复正常（50,4095)</t>
  </si>
  <si>
    <t>母线过压警告</t>
  </si>
  <si>
    <t>0229</t>
  </si>
  <si>
    <t>母线电压大于430V</t>
  </si>
  <si>
    <t>母线电压小于420V时清除故障</t>
  </si>
  <si>
    <t>1.检查高压电路
2.利用万用表测试IPU电控两端的电压</t>
  </si>
  <si>
    <t>母线欠压警告</t>
  </si>
  <si>
    <t>0230</t>
  </si>
  <si>
    <t>母线电压低于240V</t>
  </si>
  <si>
    <t>母线电压大于200V故障清除</t>
  </si>
  <si>
    <t>控制器过温警告</t>
  </si>
  <si>
    <t>0231</t>
  </si>
  <si>
    <t>IGBT温度超过85℃</t>
  </si>
  <si>
    <t>IGBT温度小于80℃时清除故障</t>
  </si>
  <si>
    <t>电机过温警告</t>
  </si>
  <si>
    <t>0232</t>
  </si>
  <si>
    <t>电机温度超过145℃</t>
  </si>
  <si>
    <t>电机温度小于140℃时清除故障</t>
  </si>
  <si>
    <t>快速放电故障</t>
  </si>
  <si>
    <t>0233</t>
  </si>
  <si>
    <t>快速放电3s，母线电压高于60V</t>
  </si>
  <si>
    <t>电容损坏</t>
  </si>
  <si>
    <t>重启不恢复，需更换电容</t>
  </si>
  <si>
    <t>%mcuF_Internal EEPROM failure</t>
  </si>
  <si>
    <t>内部EEPROM故障</t>
  </si>
  <si>
    <t>0234</t>
  </si>
  <si>
    <t>软件底层上报Eeprom读写不一致故障标志</t>
  </si>
  <si>
    <t>Eeprom读写一致</t>
  </si>
  <si>
    <t>无措施、仅报警</t>
  </si>
  <si>
    <t>0301</t>
  </si>
  <si>
    <t>MCU检测到硬件过压硬线故障信号（母线电压峰值大于480V）</t>
  </si>
  <si>
    <t>0302</t>
  </si>
  <si>
    <t>hld_mcuR_bPhaseCurSoftwareOvCurFlt</t>
  </si>
  <si>
    <t>mcuR_Phase current software overcurrent fault</t>
  </si>
  <si>
    <t>0303</t>
  </si>
  <si>
    <t>hld_mcuR_bPhaseCurHardwareOvCurFlt</t>
  </si>
  <si>
    <t>0304</t>
  </si>
  <si>
    <t>0305</t>
  </si>
  <si>
    <t>0306</t>
  </si>
  <si>
    <t>0307</t>
  </si>
  <si>
    <t>0308</t>
  </si>
  <si>
    <t>0309</t>
  </si>
  <si>
    <r>
      <rPr>
        <sz val="11"/>
        <color rgb="FF000000"/>
        <rFont val="宋体"/>
        <family val="3"/>
        <charset val="134"/>
      </rPr>
      <t>Igbt驱动芯片检测到：1、正负母线直通</t>
    </r>
    <r>
      <rPr>
        <sz val="11"/>
        <color rgb="FF000000"/>
        <rFont val="宋体"/>
        <family val="3"/>
        <charset val="134"/>
      </rPr>
      <t xml:space="preserve"> </t>
    </r>
    <r>
      <rPr>
        <sz val="11"/>
        <color rgb="FF000000"/>
        <rFont val="宋体"/>
        <family val="3"/>
        <charset val="134"/>
      </rPr>
      <t>2、三相短路</t>
    </r>
    <r>
      <rPr>
        <sz val="11"/>
        <color rgb="FF000000"/>
        <rFont val="宋体"/>
        <family val="3"/>
        <charset val="134"/>
      </rPr>
      <t xml:space="preserve"> </t>
    </r>
    <r>
      <rPr>
        <sz val="11"/>
        <color rgb="FF000000"/>
        <rFont val="宋体"/>
        <family val="3"/>
        <charset val="134"/>
      </rPr>
      <t>3、驱动欠压（小于11.8V）上报条件：上述三个条件其中之一不满足时</t>
    </r>
  </si>
  <si>
    <t>0310</t>
  </si>
  <si>
    <r>
      <rPr>
        <sz val="11"/>
        <color rgb="FF000000"/>
        <rFont val="宋体"/>
        <family val="3"/>
        <charset val="134"/>
      </rPr>
      <t>1、转速大于等于100rpm，500ms内一直检测到断线</t>
    </r>
    <r>
      <rPr>
        <sz val="11"/>
        <color rgb="FF000000"/>
        <rFont val="宋体"/>
        <family val="3"/>
        <charset val="134"/>
      </rPr>
      <t xml:space="preserve"> </t>
    </r>
    <r>
      <rPr>
        <sz val="11"/>
        <color rgb="FF000000"/>
        <rFont val="宋体"/>
        <family val="3"/>
        <charset val="134"/>
      </rPr>
      <t>2、转速大于等于100rpm，400ms内控制器检测到旋变信号幅值异常（sin、cos信号超限）超过2000次但不超过3500次。以上满足其一。</t>
    </r>
  </si>
  <si>
    <t>mcuR_Resolver excitation fault</t>
  </si>
  <si>
    <t>0311</t>
  </si>
  <si>
    <t>hld_mcuR_bCurSensor5VPowSupFlt</t>
  </si>
  <si>
    <t>%mcuR_Current sensor 5V power supply fault</t>
  </si>
  <si>
    <t>0312</t>
  </si>
  <si>
    <t>%mcuR_Software high load fault</t>
  </si>
  <si>
    <t>0313</t>
  </si>
  <si>
    <t>%mcuR_Stack overflow fault</t>
  </si>
  <si>
    <t>0314</t>
  </si>
  <si>
    <t>%mcuR_MCU self-test failed</t>
  </si>
  <si>
    <t>0315</t>
  </si>
  <si>
    <t>%mcuR_Bus overcurrent</t>
  </si>
  <si>
    <t>0316</t>
  </si>
  <si>
    <t>0317</t>
  </si>
  <si>
    <t>0318</t>
  </si>
  <si>
    <t>0319</t>
  </si>
  <si>
    <t>0320</t>
  </si>
  <si>
    <t>0321</t>
  </si>
  <si>
    <t>0322</t>
  </si>
  <si>
    <t>0323</t>
  </si>
  <si>
    <t>0324</t>
  </si>
  <si>
    <t>0325</t>
  </si>
  <si>
    <r>
      <rPr>
        <sz val="11"/>
        <color rgb="FF000000"/>
        <rFont val="宋体"/>
        <family val="3"/>
        <charset val="134"/>
      </rPr>
      <t>1.550ms内收不到VCU报文</t>
    </r>
    <r>
      <rPr>
        <sz val="11"/>
        <color rgb="FF000000"/>
        <rFont val="宋体"/>
        <family val="3"/>
        <charset val="134"/>
      </rPr>
      <t xml:space="preserve"> </t>
    </r>
    <r>
      <rPr>
        <sz val="11"/>
        <color rgb="FF000000"/>
        <rFont val="宋体"/>
        <family val="3"/>
        <charset val="134"/>
      </rPr>
      <t>2.无busoff故障</t>
    </r>
  </si>
  <si>
    <t>0326</t>
  </si>
  <si>
    <r>
      <rPr>
        <sz val="11"/>
        <color rgb="FF000000"/>
        <rFont val="宋体"/>
        <family val="3"/>
        <charset val="134"/>
      </rPr>
      <t>1、电机转速&lt;50rpm</t>
    </r>
    <r>
      <rPr>
        <sz val="11"/>
        <color rgb="FF000000"/>
        <rFont val="宋体"/>
        <family val="3"/>
        <charset val="134"/>
      </rPr>
      <t xml:space="preserve"> </t>
    </r>
    <r>
      <rPr>
        <sz val="11"/>
        <color rgb="FF000000"/>
        <rFont val="宋体"/>
        <family val="3"/>
        <charset val="134"/>
      </rPr>
      <t>2、输出转矩&gt;50NM</t>
    </r>
    <r>
      <rPr>
        <sz val="11"/>
        <color rgb="FF000000"/>
        <rFont val="宋体"/>
        <family val="3"/>
        <charset val="134"/>
      </rPr>
      <t xml:space="preserve"> </t>
    </r>
    <r>
      <rPr>
        <sz val="11"/>
        <color rgb="FF000000"/>
        <rFont val="宋体"/>
        <family val="3"/>
        <charset val="134"/>
      </rPr>
      <t>3、持续5s后报堵转故障</t>
    </r>
  </si>
  <si>
    <t>0327</t>
  </si>
  <si>
    <t>hld_mcuR_bMcuTemSensorUnderVoFlt</t>
  </si>
  <si>
    <t>%mcuR_Controller temperature sensor undervoltage fault</t>
  </si>
  <si>
    <t>0328</t>
  </si>
  <si>
    <t>0329</t>
  </si>
  <si>
    <t>1.高压电路异常
2.电池输出电压异常</t>
  </si>
  <si>
    <t>0330</t>
  </si>
  <si>
    <t>1.线束异常
2.电池输出电压异常
3.检查硬件电路</t>
  </si>
  <si>
    <t>0331</t>
  </si>
  <si>
    <t>1.长时间高负载运行
2.电扇未能及时开启
3.控制器温度采样回路异常</t>
  </si>
  <si>
    <t>0332</t>
  </si>
  <si>
    <t>1.电机长期高负载运行
2.线束异常
3.电机热敏异常
4.电控温度采样回路异常
5.长时间低速爬坡</t>
  </si>
  <si>
    <t>0333</t>
  </si>
  <si>
    <t>%mcuR_Internal EEPROM failure</t>
  </si>
  <si>
    <t>0334</t>
  </si>
  <si>
    <t>EPSInpVolOverUpLmt</t>
  </si>
  <si>
    <t>EPS input overvoltage fault</t>
  </si>
  <si>
    <t>EPS输入过压故障</t>
  </si>
  <si>
    <t>0401</t>
  </si>
  <si>
    <t>输入电压&gt;17.5V超过500ms</t>
  </si>
  <si>
    <t>输入电压&lt;16.5V超过500ms</t>
  </si>
  <si>
    <t>供电系统出现明显异常或转向控制崇内部电路故障。</t>
  </si>
  <si>
    <t>确认输入电压是否过高，若电压过高则检查系统电源否则更换转向控制器</t>
  </si>
  <si>
    <t>EPSInpVolOverLoLmt</t>
  </si>
  <si>
    <t>EPS input undervoltage fault</t>
  </si>
  <si>
    <t>EPS输入欠压故障</t>
  </si>
  <si>
    <t>0402</t>
  </si>
  <si>
    <t>输入电压&lt;8.5超过500ms</t>
  </si>
  <si>
    <t>魽壁鐸喱入燚谟电压&lt;Sv超过500ms</t>
  </si>
  <si>
    <t>确认输入电压是否过低，若电压过高则检查系统电源否则更换转向控制器</t>
  </si>
  <si>
    <t>EPSOverTemp</t>
  </si>
  <si>
    <t>EPS controller over temperature</t>
  </si>
  <si>
    <t>EPS控制器过温</t>
  </si>
  <si>
    <t>0403</t>
  </si>
  <si>
    <t>1、控制器温度&gt;85°C超过1s;.2、控制器温度&gt;100°C超过5s</t>
  </si>
  <si>
    <t>1、控制器温度&lt;80°C超过1s;.2、控制器温度&lt;90°C超过1s，重新点火</t>
  </si>
  <si>
    <t>行驶路面路况恶劣或转向轮因外力卡死</t>
  </si>
  <si>
    <t>1、降温后自动回复。2、降温后重新点火</t>
  </si>
  <si>
    <t>EPSTrqSensFlt</t>
  </si>
  <si>
    <t>EPS torque sensor failure</t>
  </si>
  <si>
    <t>EPS扭矩传感器故障</t>
  </si>
  <si>
    <t>0404</t>
  </si>
  <si>
    <t>扭矩相关信号超界</t>
  </si>
  <si>
    <t>扭矩相关信号恢复正常，重新点火</t>
  </si>
  <si>
    <t>传感器插件松动或脱开，传感器线束破损或短路</t>
  </si>
  <si>
    <t>1、检查传感器线束插件完整性；2、更换控制器</t>
  </si>
  <si>
    <t>EPSAglSensFlt</t>
  </si>
  <si>
    <t>EPS angle sensor failure</t>
  </si>
  <si>
    <t>EPS角度传感器故障</t>
  </si>
  <si>
    <t>0405</t>
  </si>
  <si>
    <t>角度相关信号超界</t>
  </si>
  <si>
    <t>角度相关信号恢复正常，重新点火</t>
  </si>
  <si>
    <t>EPSContrFlt</t>
  </si>
  <si>
    <t>EPS controller error</t>
  </si>
  <si>
    <t>EPS控制器内部故障</t>
  </si>
  <si>
    <t>0406</t>
  </si>
  <si>
    <t>1.控制器内部除电机相关任意主要元器件出现通讯、数据校验未通过或中断未触发等非正常工作状态；2.历史故障存储故障</t>
  </si>
  <si>
    <t>软件BUG，过压过流损坏内部芯片，非规范上下电导致数据丢失或数据存贮中断</t>
  </si>
  <si>
    <t>1.相关故障解除，重新点火；
2.重新刷新软件</t>
  </si>
  <si>
    <t>EPSCANLstFlt</t>
  </si>
  <si>
    <t>EPS communication failure</t>
  </si>
  <si>
    <t>EPS通讯故障</t>
  </si>
  <si>
    <t>0407</t>
  </si>
  <si>
    <t>未接收到VCU信号超过300ms</t>
  </si>
  <si>
    <t>重新接收到VCU信号</t>
  </si>
  <si>
    <t>软件BUG、过压过流损坏内部芯片，非规范上下电导致数据丢失或数据贮存中断</t>
  </si>
  <si>
    <t>重新上电，若故障未消失，重新刷写APP若仍未解除则更换控制器</t>
  </si>
  <si>
    <t>EPSAglMediNoCali</t>
  </si>
  <si>
    <t>EPS angle median is not calibrated</t>
  </si>
  <si>
    <t>EPS角度中位未标定</t>
  </si>
  <si>
    <t>0408</t>
  </si>
  <si>
    <t>角度中位软件标志位为0</t>
  </si>
  <si>
    <t>角度中位标志位为1，重新点火</t>
  </si>
  <si>
    <t>转向墨出厂未标定或数据区数据丢失</t>
  </si>
  <si>
    <t>重新进行中位标定动作，若无法标定，则检查是否有控制器内部故障</t>
  </si>
  <si>
    <t>EPSMotDrvieFlt</t>
  </si>
  <si>
    <t>EPS motor and drive failure</t>
  </si>
  <si>
    <t>EPS电机及驱动故障</t>
  </si>
  <si>
    <t>0409</t>
  </si>
  <si>
    <t>电机及其驱动电路过流、过压、欠压、通讯等故障</t>
  </si>
  <si>
    <t>相关故障解除重新点火</t>
  </si>
  <si>
    <t>轮胎撞击路牙等导致电机短暂过流，或外力使电机被动高速转动，反向电动势击穿驱动电路</t>
  </si>
  <si>
    <t>重新点火观察故障是否恢复，若未恢复则更换控制器</t>
  </si>
  <si>
    <t>DSNoComFromVCU</t>
  </si>
  <si>
    <t>DS no communication from VCU</t>
  </si>
  <si>
    <t>DS未收到VCU报文</t>
  </si>
  <si>
    <t>0601</t>
  </si>
  <si>
    <t>开机3S后，3S内收不到0X2B1报文</t>
  </si>
  <si>
    <t>1.CAN线断线或短路
2.VCU故障</t>
  </si>
  <si>
    <t>1.检查CAN线
2.更换VCU</t>
  </si>
  <si>
    <t>CCSNoComFromVCU</t>
  </si>
  <si>
    <t>CCS no communication from VCU</t>
  </si>
  <si>
    <t>中控未收到VCU报文</t>
  </si>
  <si>
    <t>0501</t>
  </si>
  <si>
    <t>hld_OBC_HardwareProtectFlt</t>
  </si>
  <si>
    <t>OBC hardware protection</t>
  </si>
  <si>
    <t>OBC硬件保护</t>
  </si>
  <si>
    <t>0701</t>
  </si>
  <si>
    <t>充电模式下</t>
  </si>
  <si>
    <t>满足前提条件5S后底层硬件故障</t>
  </si>
  <si>
    <t>底层硬件故障恢复并且持续时间&gt;2s</t>
  </si>
  <si>
    <t>OBC损坏</t>
  </si>
  <si>
    <t>更换OBC</t>
  </si>
  <si>
    <t>hld_OBC_TemprotectFlt</t>
  </si>
  <si>
    <t>OBC temperature protection</t>
  </si>
  <si>
    <t>OBC温度保护</t>
  </si>
  <si>
    <t>0702</t>
  </si>
  <si>
    <t>满足前提条件3S后温度&gt;100℃</t>
  </si>
  <si>
    <t>温度&lt;100℃并且持续时间&gt;3s</t>
  </si>
  <si>
    <t>温度传感器损坏或冷却水过温或漏液</t>
  </si>
  <si>
    <t>更换OBC或维修水路</t>
  </si>
  <si>
    <t>hld_OBC_U8InputVolFlt</t>
  </si>
  <si>
    <t>OBC input undervoltage</t>
  </si>
  <si>
    <t>OBC输入欠压</t>
  </si>
  <si>
    <t>0703</t>
  </si>
  <si>
    <t>满足前提条件2S后输入电压&lt;80V</t>
  </si>
  <si>
    <t>输入电压&gt;90V并且持续时间&gt;2s</t>
  </si>
  <si>
    <t>外部电源电压不足</t>
  </si>
  <si>
    <t>检查外部供电</t>
  </si>
  <si>
    <t>OBC input overvoltage</t>
  </si>
  <si>
    <t>OBC输入过压</t>
  </si>
  <si>
    <t>0704</t>
  </si>
  <si>
    <t>满足前提条件2S后输入电压&gt;274V</t>
  </si>
  <si>
    <t>输入电压&lt;264V并且持续时间&gt;5s</t>
  </si>
  <si>
    <t>外部电源电压过压</t>
  </si>
  <si>
    <t>OBC no input voltage</t>
  </si>
  <si>
    <t>OBC无输入电压</t>
  </si>
  <si>
    <t>0705</t>
  </si>
  <si>
    <t>输入电压&lt;50V</t>
  </si>
  <si>
    <t>输入电压&gt;55V</t>
  </si>
  <si>
    <t>外部电源电压没输入到OBC内或插件脱落，线束断开</t>
  </si>
  <si>
    <t>检查外部电源若没问题则检查OBC内部插件和接线</t>
  </si>
  <si>
    <t>hld_OBC_OutputUnderVolFlt</t>
  </si>
  <si>
    <t>OBC output undervoltage</t>
  </si>
  <si>
    <t>OBC输出欠压</t>
  </si>
  <si>
    <t>0706</t>
  </si>
  <si>
    <t>满足前提条件2S后输出电压&lt;190V</t>
  </si>
  <si>
    <t>输出电压&gt;200V并且持续时间&gt;5s</t>
  </si>
  <si>
    <t>OBC内部电路故障</t>
  </si>
  <si>
    <t>hld_OBC_OutputOverVolFlt</t>
  </si>
  <si>
    <t>OBC output overvoltage</t>
  </si>
  <si>
    <t>OBC输出过压</t>
  </si>
  <si>
    <t>0707</t>
  </si>
  <si>
    <t>，满足前提条件0.5S后输出电压&gt;490V</t>
  </si>
  <si>
    <t>输出电压&lt;480V并且持续时间&gt;3s</t>
  </si>
  <si>
    <t>hld_OBC_OutputOveCurlFlt</t>
  </si>
  <si>
    <t>OBC output overcurrent</t>
  </si>
  <si>
    <t>OBC输出过流</t>
  </si>
  <si>
    <t>0708</t>
  </si>
  <si>
    <t>满足前提条件1S后输出电流&gt;24A</t>
  </si>
  <si>
    <t>输出电流&lt;23A并且持续时间&gt;5s</t>
  </si>
  <si>
    <t>hld_OBC_OutputShortCircuitlFlt</t>
  </si>
  <si>
    <t>OBC output short circuit</t>
  </si>
  <si>
    <t>OBC输出短路</t>
  </si>
  <si>
    <t>0709</t>
  </si>
  <si>
    <t>满足前提条件0.2S后短路故障标志位置1</t>
  </si>
  <si>
    <t>短路故障标志位置0并且持续时间&gt;5s</t>
  </si>
  <si>
    <t>外部输出线路短路，或硬件损坏</t>
  </si>
  <si>
    <t>检查外部线路或更换OBC</t>
  </si>
  <si>
    <t>OBC bus communication timeout</t>
  </si>
  <si>
    <t>OBC总线通信超时</t>
  </si>
  <si>
    <t>0710</t>
  </si>
  <si>
    <t>满足前提条件5S后报文丢失</t>
  </si>
  <si>
    <t>报文恢复</t>
  </si>
  <si>
    <t>CAN线1、断线  2、短路  3、对地短路                  4、反接</t>
  </si>
  <si>
    <t>排查OBC CAN线路</t>
  </si>
  <si>
    <t>hld_OBC_SocketOverHeatFlt</t>
  </si>
  <si>
    <t>OBC charging socket overheating</t>
  </si>
  <si>
    <t>OBC充电插座过热</t>
  </si>
  <si>
    <t>0711</t>
  </si>
  <si>
    <t>充电枪未插到位、或充电座与充电枪内是有灰尘</t>
  </si>
  <si>
    <t>可恢复报警，检查充电座与充电枪内是否清洁有无灰尘</t>
  </si>
  <si>
    <t>hld_OBC_U8ElectronicLockStatus</t>
  </si>
  <si>
    <t>OBC electronic lock unlocking failure</t>
  </si>
  <si>
    <t>OBC电子锁解锁故障</t>
  </si>
  <si>
    <t>0712</t>
  </si>
  <si>
    <t>有异物阻塞电子锁舌运动</t>
  </si>
  <si>
    <t>先手动复位，若故障码不消失则更换电子锁</t>
  </si>
  <si>
    <t>OBC electronic lock locking failure</t>
  </si>
  <si>
    <t>OBC电子锁上锁故障</t>
  </si>
  <si>
    <t>0713</t>
  </si>
  <si>
    <t>DCDC hardware protection</t>
  </si>
  <si>
    <t>DCDC硬件保护</t>
  </si>
  <si>
    <t>0714</t>
  </si>
  <si>
    <t>上高压或主正继电器闭合并且VCU使能DCDC</t>
  </si>
  <si>
    <t>硬件故障标志位置1</t>
  </si>
  <si>
    <t>硬件故障标志位置0且持续2S</t>
  </si>
  <si>
    <t>DCDC损坏</t>
  </si>
  <si>
    <t>hld_dcdc_bTempProtect</t>
  </si>
  <si>
    <t>DCDC temperature protection</t>
  </si>
  <si>
    <t>DCDC温度保护</t>
  </si>
  <si>
    <t>0715</t>
  </si>
  <si>
    <t>温度小于105且持续3S</t>
  </si>
  <si>
    <t>更换三合一或维修水路</t>
  </si>
  <si>
    <t>DCDC input overvoltage</t>
  </si>
  <si>
    <t>DCDC输入过压</t>
  </si>
  <si>
    <t>0716</t>
  </si>
  <si>
    <t>满足前提条件2S输入电压&gt;490V</t>
  </si>
  <si>
    <t>输入电压&lt;480V且持续2S</t>
  </si>
  <si>
    <t>DCDC电压传感器故障</t>
  </si>
  <si>
    <t>DCDC input undervoltage</t>
  </si>
  <si>
    <t>DCDC输入欠压</t>
  </si>
  <si>
    <t>0717</t>
  </si>
  <si>
    <t>满足前提条件2S输入电压&lt;190V</t>
  </si>
  <si>
    <t>输入电压&gt;200V且持续2S</t>
  </si>
  <si>
    <t>电压传感器故障</t>
  </si>
  <si>
    <t>DCDC no input voltage</t>
  </si>
  <si>
    <t>DCDC无输入电压</t>
  </si>
  <si>
    <t>0718</t>
  </si>
  <si>
    <t>输入电压&lt;35V</t>
  </si>
  <si>
    <t>输入电压&gt;40V</t>
  </si>
  <si>
    <t>电压传感器故障，或高压输入插件接触不良</t>
  </si>
  <si>
    <t>检查接插件是否接触良好</t>
  </si>
  <si>
    <t>DCDC output undervoltage</t>
  </si>
  <si>
    <t>DCDC输出欠压</t>
  </si>
  <si>
    <t>0719</t>
  </si>
  <si>
    <t>满足前提条件2S输出电压&lt;7.5V</t>
  </si>
  <si>
    <t>输出电压&gt;8V并且持续5S</t>
  </si>
  <si>
    <t>hld_dcdc_bOverVoltage</t>
  </si>
  <si>
    <t>DCDC output overvoltage</t>
  </si>
  <si>
    <t>DCDC输出过压</t>
  </si>
  <si>
    <t>0720</t>
  </si>
  <si>
    <t>满足前提条件2S输出电压&gt;17V</t>
  </si>
  <si>
    <t>输出电压&lt;16.5V并且持续5S</t>
  </si>
  <si>
    <t>hld_dcdc_bOverCurrent</t>
  </si>
  <si>
    <t>DCDC output overcurrent</t>
  </si>
  <si>
    <t>DCDC输出过流</t>
  </si>
  <si>
    <t>0721</t>
  </si>
  <si>
    <t>满足前提条件0.2S输出过流标志位置1</t>
  </si>
  <si>
    <t>输出过流标志位置0并且持续3S</t>
  </si>
  <si>
    <t>DCDC内部电流传感器损坏</t>
  </si>
  <si>
    <t>DCDC output short circuit</t>
  </si>
  <si>
    <t>DCDC输出短路</t>
  </si>
  <si>
    <t>0722</t>
  </si>
  <si>
    <t>满足前提条件0.2S输出短路故障标志位置1</t>
  </si>
  <si>
    <t>短路故障标志位置0并且持续3S</t>
  </si>
  <si>
    <t>DCDC外部接线短路</t>
  </si>
  <si>
    <t>检查外部线路</t>
  </si>
  <si>
    <t>DCDC receiving communication timeout</t>
  </si>
  <si>
    <t>DCDC接收通信超时</t>
  </si>
  <si>
    <t>0723</t>
  </si>
  <si>
    <t>满足前提条件5S后未收到整车报文</t>
  </si>
  <si>
    <t>收到报文</t>
  </si>
  <si>
    <t>DCAC hardware protection</t>
  </si>
  <si>
    <t>DCAC硬件保护</t>
  </si>
  <si>
    <t>0724</t>
  </si>
  <si>
    <t>上高压并且VCU使能DCACC</t>
  </si>
  <si>
    <t>硬件故障标志位置0并且持续2S</t>
  </si>
  <si>
    <t>关闭DCAC使能</t>
  </si>
  <si>
    <t>DCAC损坏</t>
  </si>
  <si>
    <t>更换DCAC</t>
  </si>
  <si>
    <t>hld_dcac_bTempProtect</t>
  </si>
  <si>
    <t>DCAC temperature protection</t>
  </si>
  <si>
    <t>DCAC温度保护</t>
  </si>
  <si>
    <t>0725</t>
  </si>
  <si>
    <t>温度小于85并且持续3S</t>
  </si>
  <si>
    <t>DCAC input overvoltage</t>
  </si>
  <si>
    <t>DCAC输入过压</t>
  </si>
  <si>
    <t>0726</t>
  </si>
  <si>
    <t>输入电压&lt;480V并且持续5S</t>
  </si>
  <si>
    <t>DCADC电压传感器故障</t>
  </si>
  <si>
    <t>DCAC input undervoltage</t>
  </si>
  <si>
    <t>DCAC输入欠压</t>
  </si>
  <si>
    <t>0727</t>
  </si>
  <si>
    <t>输入电压&gt;200V</t>
  </si>
  <si>
    <t>DCAC no input voltage</t>
  </si>
  <si>
    <t>DCAC无输入电压</t>
  </si>
  <si>
    <t>0728</t>
  </si>
  <si>
    <t>输入电压&gt;200V并且持续3S</t>
  </si>
  <si>
    <t>DCAC output undervoltage</t>
  </si>
  <si>
    <t>DCAC输出欠压</t>
  </si>
  <si>
    <t>0729</t>
  </si>
  <si>
    <t>满足前提条件2S输出电压&lt;硬件最小输出电压</t>
  </si>
  <si>
    <t>输出电压&gt;硬件最小输出电压*1.01并且持续5S</t>
  </si>
  <si>
    <t>hld_dcac_bOverVoltage</t>
  </si>
  <si>
    <t>DCAC output overvoltage</t>
  </si>
  <si>
    <t>DCAC输出过压</t>
  </si>
  <si>
    <t>0730</t>
  </si>
  <si>
    <t>满足前提条件2S输出电压&gt;硬件最大输出电压</t>
  </si>
  <si>
    <t>输出电压&lt;硬件最小输出电压*0.99并且持续5S</t>
  </si>
  <si>
    <t>hld_dcac_bOverCurrent</t>
  </si>
  <si>
    <t>DCAC output overcurrent</t>
  </si>
  <si>
    <t>DCAC输出过流</t>
  </si>
  <si>
    <t>0731</t>
  </si>
  <si>
    <t>满足前提条件2S输出电流&gt;硬件输出最大电流*1.05</t>
  </si>
  <si>
    <t>输出电流&lt;硬件输出最大电流*1.01并且持续5S</t>
  </si>
  <si>
    <t>DCAC内部电流传感器损坏</t>
  </si>
  <si>
    <t>DCAC output short circuit</t>
  </si>
  <si>
    <t>DCAC输出短路</t>
  </si>
  <si>
    <t>0732</t>
  </si>
  <si>
    <t>满足前提条件1S输出电压&lt;10V且输出电流&gt;5A</t>
  </si>
  <si>
    <t>输出电压&gt;10V或输出电流&lt;5A</t>
  </si>
  <si>
    <t>DCAC外部接线短路</t>
  </si>
  <si>
    <t>DCAC communication status</t>
  </si>
  <si>
    <t>DCAC通信状态</t>
  </si>
  <si>
    <t>0733</t>
  </si>
  <si>
    <t>满足前提条件5S收不到报文</t>
  </si>
  <si>
    <t>OBC_bNotWork</t>
  </si>
  <si>
    <t>OBC_NotWork</t>
  </si>
  <si>
    <t>OBC未工作</t>
  </si>
  <si>
    <t>0734</t>
  </si>
  <si>
    <t>充电继电器闭合并且充电枪插入</t>
  </si>
  <si>
    <t>OBC工作</t>
  </si>
  <si>
    <t>BMS未给OBC发使能信号</t>
  </si>
  <si>
    <t>检测充电条件是否满足</t>
  </si>
  <si>
    <t>red 20251230</t>
  </si>
  <si>
    <t>dcdc_bNotWork</t>
  </si>
  <si>
    <t>DCDC_NotWork</t>
  </si>
  <si>
    <t>DCDC未工作</t>
  </si>
  <si>
    <t>0735</t>
  </si>
  <si>
    <t>上高压或主正继电器闭合</t>
  </si>
  <si>
    <t>上高压或主正继电器闭合并且DCDC未工作</t>
  </si>
  <si>
    <t>DCDC恢复工作</t>
  </si>
  <si>
    <t>VCU没有给DCDC发使能信号或</t>
  </si>
  <si>
    <t>检测DCDC启动条件是否满足，或更换DCDC</t>
  </si>
  <si>
    <t>dcAc_bNotWork</t>
  </si>
  <si>
    <t>DCAC_NotWork</t>
  </si>
  <si>
    <t>DCAC未工作</t>
  </si>
  <si>
    <t>0736</t>
  </si>
  <si>
    <t>主正继电器闭合并且虚拟按键按下</t>
  </si>
  <si>
    <t>DCAC工作</t>
  </si>
  <si>
    <t>VCU没有给DCAC发使能信号或</t>
  </si>
  <si>
    <t>检测DCAC是否损坏，更换DCAC</t>
  </si>
  <si>
    <t>hld_OBC_u8PPSigSt</t>
  </si>
  <si>
    <t>PP Resistance detection error</t>
  </si>
  <si>
    <t>PP信号电阻检测错误</t>
  </si>
  <si>
    <t>0737</t>
  </si>
  <si>
    <t>PP信号电阻恢复正常</t>
  </si>
  <si>
    <t>PP信号电阻开路</t>
  </si>
  <si>
    <t>更换充电插座</t>
  </si>
  <si>
    <t>hld_TMS_bEXV_3_RespErr</t>
  </si>
  <si>
    <t>EXV_3_Response Error</t>
  </si>
  <si>
    <t>EXV_3_通讯错误</t>
  </si>
  <si>
    <t>0801</t>
  </si>
  <si>
    <t>EXV_3_响应错误</t>
  </si>
  <si>
    <t>EXV_A损坏</t>
  </si>
  <si>
    <t>更换阀组</t>
  </si>
  <si>
    <t>hld_TMS_bEXV_3_ShrtCirc</t>
  </si>
  <si>
    <t>EXV_3 Motor-ShrtCirc</t>
  </si>
  <si>
    <t>EXV_3  电机线圈短路</t>
  </si>
  <si>
    <t>0802</t>
  </si>
  <si>
    <t>hld_TMS_bEXV_3_NoLoad</t>
  </si>
  <si>
    <t>EXV_3 Motor-Coil open load</t>
  </si>
  <si>
    <t>EXV_3  电机线圈空载</t>
  </si>
  <si>
    <t>0803</t>
  </si>
  <si>
    <t>hld_TMS_bEXV_3_OverTempShutDown</t>
  </si>
  <si>
    <t>EXV_3 Over temperature shutdown</t>
  </si>
  <si>
    <t>EXV_3  超温停机</t>
  </si>
  <si>
    <t>0804</t>
  </si>
  <si>
    <t>PT传感器损坏导致冷媒温度过高</t>
  </si>
  <si>
    <t>PT传感器损坏，更换传感器</t>
  </si>
  <si>
    <t>hld_TMS_bEXV_3_OverVol</t>
  </si>
  <si>
    <t>EXV_3 Over Voltage</t>
  </si>
  <si>
    <t>EXV_3 过压</t>
  </si>
  <si>
    <t>0805</t>
  </si>
  <si>
    <t>hld_TMS_bEXV_3_UndVol</t>
  </si>
  <si>
    <t>EXV_3 Under Voltage</t>
  </si>
  <si>
    <t>EXV_3  欠压</t>
  </si>
  <si>
    <t>0806</t>
  </si>
  <si>
    <t>12V电源欠压或EXV_A损坏</t>
  </si>
  <si>
    <t>检查外部12v电压，12V电压正常更换阀组</t>
  </si>
  <si>
    <t>hld_TMS_bEXV_3_TempWarn</t>
  </si>
  <si>
    <t>EXV_3 Temperature Warn</t>
  </si>
  <si>
    <t>EXV_3 温度警报</t>
  </si>
  <si>
    <t>0807</t>
  </si>
  <si>
    <t>hld_TMS_bEXV_B_RespErr</t>
  </si>
  <si>
    <t>EXV_B_Response Error</t>
  </si>
  <si>
    <t>EXV_B_通讯错误</t>
  </si>
  <si>
    <t>0808</t>
  </si>
  <si>
    <t>EXV_B_响应错误</t>
  </si>
  <si>
    <t>EXV_B损坏</t>
  </si>
  <si>
    <t xml:space="preserve">hld_TMS_bEXV_B_ShrtCirc </t>
  </si>
  <si>
    <t>EXV_B Motor-Coil shorted</t>
  </si>
  <si>
    <t>EXV_B 电机线圈短路</t>
  </si>
  <si>
    <t>0809</t>
  </si>
  <si>
    <t>hld_TMS_bEXV_B_NoLoad</t>
  </si>
  <si>
    <t xml:space="preserve">EXV_B Motor-Coil open load </t>
  </si>
  <si>
    <t>EXV_B  电机线圈空载</t>
  </si>
  <si>
    <t>0810</t>
  </si>
  <si>
    <t>hld_TMS_bEXV_B_OverTempShutDown</t>
  </si>
  <si>
    <t>EXV_B Over temperature shutdown</t>
  </si>
  <si>
    <t>EXV_B  超温停机</t>
  </si>
  <si>
    <t>0811</t>
  </si>
  <si>
    <t>hld_TMS_bEXV_B_OverVol</t>
  </si>
  <si>
    <t>EXV_B Over Voltage</t>
  </si>
  <si>
    <t>EXV_B 过压</t>
  </si>
  <si>
    <t>0812</t>
  </si>
  <si>
    <t>hld_TMS_bEXV_B_UndVol</t>
  </si>
  <si>
    <t xml:space="preserve">EXV_B Under Voltage </t>
  </si>
  <si>
    <t>EXV_B  欠压</t>
  </si>
  <si>
    <t>0813</t>
  </si>
  <si>
    <t>hld_TMS_bEXV_B_TempWarn</t>
  </si>
  <si>
    <t>EXV_B Temperature Warn</t>
  </si>
  <si>
    <t>EXV_B 温度警报</t>
  </si>
  <si>
    <t>0814</t>
  </si>
  <si>
    <t>hld_TMS_bEXV_C_RespErr</t>
  </si>
  <si>
    <t>EXV_C_Response Error</t>
  </si>
  <si>
    <t>EXV_C_通讯错误</t>
  </si>
  <si>
    <t>0815</t>
  </si>
  <si>
    <t>EXV_C_响应错误</t>
  </si>
  <si>
    <t>EXV_C损坏</t>
  </si>
  <si>
    <t xml:space="preserve">hld_TMS_bEXV_C_ShrtCirc </t>
  </si>
  <si>
    <t>EXV_C Motor-Coil shorted</t>
  </si>
  <si>
    <t>EXV_C 电机线圈短路</t>
  </si>
  <si>
    <t>0816</t>
  </si>
  <si>
    <t>hld_TMS_bEXV_C_NoLoad</t>
  </si>
  <si>
    <t xml:space="preserve">EXV_C Motor-Coil open load </t>
  </si>
  <si>
    <t>EXV_C  电机线圈空载</t>
  </si>
  <si>
    <t>0817</t>
  </si>
  <si>
    <t>hld_TMS_bEXV_C_OverTempShutDown</t>
  </si>
  <si>
    <t>EXV_C Over temperature shutdown</t>
  </si>
  <si>
    <t>EXV_C  超温停机</t>
  </si>
  <si>
    <t>0818</t>
  </si>
  <si>
    <t>hld_TMS_bEXV_C_OverVol</t>
  </si>
  <si>
    <t>EXV_C Over Voltage</t>
  </si>
  <si>
    <t>EXV_C 过压</t>
  </si>
  <si>
    <t>0819</t>
  </si>
  <si>
    <t>hld_TMS_bEXV_C_UndVol</t>
  </si>
  <si>
    <t xml:space="preserve">EXV_C Under Voltage </t>
  </si>
  <si>
    <t>EXV_C  欠压</t>
  </si>
  <si>
    <t>0820</t>
  </si>
  <si>
    <t>hld_TMS_bEXV_C_TempWarn</t>
  </si>
  <si>
    <t>EXV_C Temperature Warn</t>
  </si>
  <si>
    <t>EXV_C 温度警报</t>
  </si>
  <si>
    <t>0821</t>
  </si>
  <si>
    <t>hld_TMS_bR4wvFlt</t>
  </si>
  <si>
    <t>SOV (Refrigeration)cool Fault</t>
  </si>
  <si>
    <t>SOV(制冷）故障</t>
  </si>
  <si>
    <t>0822</t>
  </si>
  <si>
    <t>冷媒阀线路断线或冷媒阀损坏</t>
  </si>
  <si>
    <t>排查冷媒阀线路断线或更换冷媒阀</t>
  </si>
  <si>
    <t>hld_TMS_bSvFlt</t>
  </si>
  <si>
    <t>SOV (Refrigeration) heatFault</t>
  </si>
  <si>
    <t>SOV(制热）故障</t>
  </si>
  <si>
    <t>0823</t>
  </si>
  <si>
    <t>电磁阀线路断线或电磁阀损坏</t>
  </si>
  <si>
    <t>排查电磁阀线路断线或更换电磁阀</t>
  </si>
  <si>
    <t>hld_TMS_bEvapTempSrOc</t>
  </si>
  <si>
    <t>Evaporator temperature sensor open circuit</t>
  </si>
  <si>
    <t>蒸发器温度传感器开路</t>
  </si>
  <si>
    <t>0824</t>
  </si>
  <si>
    <t>传感器线路断线或传感器损坏</t>
  </si>
  <si>
    <t>排查传感器线路断线或更换传感器</t>
  </si>
  <si>
    <t>hld_TMS_bIndoorTempSrOc</t>
  </si>
  <si>
    <t>Indoor temperature sensor open circuit</t>
  </si>
  <si>
    <t>室内温度传感器开路</t>
  </si>
  <si>
    <t>0825</t>
  </si>
  <si>
    <t>hld_TMS_bEnvTempSrOc</t>
  </si>
  <si>
    <t>Ambient temperature sensor open circuit</t>
  </si>
  <si>
    <t>环境温度传感器开路</t>
  </si>
  <si>
    <t>0826</t>
  </si>
  <si>
    <t>hld_TMS_bMotrDrainTempSr4Oc</t>
  </si>
  <si>
    <t>Compressor Discharge Refrigerant Temperature Sensor Open Circuit</t>
  </si>
  <si>
    <t>压缩机排气冷媒温度传感器开路</t>
  </si>
  <si>
    <t>0827</t>
  </si>
  <si>
    <t>hld_TMS_bBattDrainTempSr2Oc</t>
  </si>
  <si>
    <t>Compressor Discharge Refrigerant Pressure Sensor Open Circuit</t>
  </si>
  <si>
    <t>压缩机排气冷媒压力传感器开路</t>
  </si>
  <si>
    <t>0828</t>
  </si>
  <si>
    <t>hld_TMS_bCondTempPrSrTempOc</t>
  </si>
  <si>
    <t>The temperature terminal of the condenser temperature and pressure sensor is open circuit</t>
  </si>
  <si>
    <t>冷凝器温压传感器温度端开路</t>
  </si>
  <si>
    <t>0829</t>
  </si>
  <si>
    <t>hld_TMS_bCondTempPrSrPrOc</t>
  </si>
  <si>
    <t>The pressure end of the condenser temperature and pressure sensor is open</t>
  </si>
  <si>
    <t>冷凝器温压传感器压力端开路</t>
  </si>
  <si>
    <t>0830</t>
  </si>
  <si>
    <t>hld_TMS_bEvapTempPrSrTempOc</t>
  </si>
  <si>
    <t>The temperature terminal of the evaporator temperature and pressure sensor is open</t>
  </si>
  <si>
    <t>蒸发器温压传感器温度端开路</t>
  </si>
  <si>
    <t>0831</t>
  </si>
  <si>
    <t>hld_TMS_bEvapTempPrSrPrOc</t>
  </si>
  <si>
    <t>The pressure end of the evaporator temperature and pressure sensor is open</t>
  </si>
  <si>
    <t>蒸发器温压传感器压力端开路</t>
  </si>
  <si>
    <t>0832</t>
  </si>
  <si>
    <t>hld_TMS_bChillerTempPrSrTempOc</t>
  </si>
  <si>
    <t>chiller temperature and pressure sensor temperature end open circuit</t>
  </si>
  <si>
    <t>chiller温压传感器温度端开路</t>
  </si>
  <si>
    <t>0833</t>
  </si>
  <si>
    <t>hld_TMS_bChillerTempPrSrPrOc</t>
  </si>
  <si>
    <t>The pressure end of the chiller temperature and pressure sensor is open</t>
  </si>
  <si>
    <t>chiller温压传感器压力端开路</t>
  </si>
  <si>
    <t>0834</t>
  </si>
  <si>
    <t>hld_TMS_bCaiTempPrSrTempOc</t>
  </si>
  <si>
    <t>Gas Separator Suction Temperature &amp; Pressure Sensor – Temperature Side Open Circuit</t>
  </si>
  <si>
    <t>气分吸气温压传感器温度端开路</t>
  </si>
  <si>
    <t>0835</t>
  </si>
  <si>
    <t>hld_TMS_bCaiTempPrSrPrOc</t>
  </si>
  <si>
    <t>Gas Separator Suction Temperature &amp; Pressure is open</t>
  </si>
  <si>
    <t>气分吸气温压传感器压力端开路</t>
  </si>
  <si>
    <t>0836</t>
  </si>
  <si>
    <t>hld_TMS_bMcu12VOvVol</t>
  </si>
  <si>
    <t>TMS12V Over Voltage</t>
  </si>
  <si>
    <t>TMS控制器12V 过压</t>
  </si>
  <si>
    <t>0837</t>
  </si>
  <si>
    <t>控制器损坏</t>
  </si>
  <si>
    <t>hld_TMS_bMcu12VUndVol</t>
  </si>
  <si>
    <t xml:space="preserve">TMS12V Under Voltage </t>
  </si>
  <si>
    <t>TMS控制器12V 欠压</t>
  </si>
  <si>
    <t>0838</t>
  </si>
  <si>
    <t>控制器外部接线断线或控制器损坏</t>
  </si>
  <si>
    <t>排查线路控制器损坏</t>
  </si>
  <si>
    <t>hld_TMS_5vRefVolFlt</t>
  </si>
  <si>
    <t xml:space="preserve">TMS 5V Ref Voltage </t>
  </si>
  <si>
    <t>TMS 控制器5V  异常</t>
  </si>
  <si>
    <t>0839</t>
  </si>
  <si>
    <t>bEXV3_InitFlt</t>
  </si>
  <si>
    <t>EXV_3 initialization fault</t>
  </si>
  <si>
    <t>EXV_3初始化故障</t>
  </si>
  <si>
    <t>0840</t>
  </si>
  <si>
    <t>两位三通阀损坏</t>
  </si>
  <si>
    <t>连续重启几次后未恢复，更换阀体</t>
  </si>
  <si>
    <t>bEXV3_bStall</t>
  </si>
  <si>
    <t>EXV_3 stall</t>
  </si>
  <si>
    <t>EXV_3堵转</t>
  </si>
  <si>
    <t>0841</t>
  </si>
  <si>
    <t>两位三通阀通道内部有杂质或损坏</t>
  </si>
  <si>
    <t>bEXVB_InitFlt</t>
  </si>
  <si>
    <t>EXV_B initialization fault</t>
  </si>
  <si>
    <t>EXV_B初始化故障</t>
  </si>
  <si>
    <t>0842</t>
  </si>
  <si>
    <t>EXV_B阀损坏</t>
  </si>
  <si>
    <t>bEXVB_bStall</t>
  </si>
  <si>
    <t>EXV_B stall</t>
  </si>
  <si>
    <t>EXV_B堵转</t>
  </si>
  <si>
    <t>0843</t>
  </si>
  <si>
    <t>EXV_B阀通道内部有杂质或损坏</t>
  </si>
  <si>
    <t>bEXVC_InitFlt</t>
  </si>
  <si>
    <t>EXV_C initialization fault</t>
  </si>
  <si>
    <t>EXV_C初始化故障</t>
  </si>
  <si>
    <t>0844</t>
  </si>
  <si>
    <t>EXV_C阀损坏</t>
  </si>
  <si>
    <t>bEXVC_bStall</t>
  </si>
  <si>
    <t>EXV_C stall</t>
  </si>
  <si>
    <t>EXV_C堵转</t>
  </si>
  <si>
    <t>0845</t>
  </si>
  <si>
    <t>EXV_C阀通道内部有杂质或损坏</t>
  </si>
  <si>
    <t>Compressor Suction Temperature &amp; Pressure Sensor – Temperature Side Open Circuit</t>
  </si>
  <si>
    <t>压缩机吸气温压传感器温度端开路</t>
  </si>
  <si>
    <t>0846</t>
  </si>
  <si>
    <t>压缩机吸气温压传感器压力端开路</t>
  </si>
  <si>
    <t>0847</t>
  </si>
  <si>
    <t>hld_bms_u8bBMSTemdiffarm</t>
  </si>
  <si>
    <t>HV battery temperature difference level 1</t>
  </si>
  <si>
    <t>电池温差大（1级）</t>
  </si>
  <si>
    <t>0901</t>
  </si>
  <si>
    <t>PDU E或F脚有12V+</t>
  </si>
  <si>
    <t>满足前提条件5S电池温差＞12℃</t>
  </si>
  <si>
    <t>电池温差＜10℃并且持续3S</t>
  </si>
  <si>
    <t>电芯内部温度不均衡</t>
  </si>
  <si>
    <t>可恢复报警无需维修</t>
  </si>
  <si>
    <t>HV battery temperature difference level 2</t>
  </si>
  <si>
    <t>电池温差大（2级）</t>
  </si>
  <si>
    <t>0902</t>
  </si>
  <si>
    <t>满足前提条件5S电池温差＞15℃</t>
  </si>
  <si>
    <t>电池温差＜13℃并且持续3S</t>
  </si>
  <si>
    <t>HV battery temperature difference level 3</t>
  </si>
  <si>
    <t>电池温差大（3级）</t>
  </si>
  <si>
    <t>0903</t>
  </si>
  <si>
    <t>满足前提条件3S电池温差＞18℃</t>
  </si>
  <si>
    <t>下电清除</t>
  </si>
  <si>
    <t>BMS10S切断</t>
  </si>
  <si>
    <t>重新上电后若不能恢复则检查温度传感器、电芯是否正常</t>
  </si>
  <si>
    <t>hld_bms_u8bBMSIndvoldiffarm</t>
  </si>
  <si>
    <t>HV battery cell voltage difference level 1</t>
  </si>
  <si>
    <t>电池单体压差过大（1级）</t>
  </si>
  <si>
    <t>0904</t>
  </si>
  <si>
    <t>满足前提条件5S＞550mV</t>
  </si>
  <si>
    <t>＜450mV并且持续3S</t>
  </si>
  <si>
    <t>单体电芯不一致</t>
  </si>
  <si>
    <t>HV battery cell voltage difference level 2</t>
  </si>
  <si>
    <t>电池单体压差过大（2级）</t>
  </si>
  <si>
    <t>0905</t>
  </si>
  <si>
    <t>满足前提条件5S＞600mV</t>
  </si>
  <si>
    <t>＜550mV并且持续3S</t>
  </si>
  <si>
    <t>HV battery cell voltage difference level 3</t>
  </si>
  <si>
    <t>电池单体压差过大（3级）</t>
  </si>
  <si>
    <t>0906</t>
  </si>
  <si>
    <t>满足前提条件3S＞700mV</t>
  </si>
  <si>
    <t>重新上电后若不能恢复则检查电芯是否正常</t>
  </si>
  <si>
    <t>hld_bms_u8bBMSHightemarm</t>
  </si>
  <si>
    <t xml:space="preserve">HV battery temperature high level 1 </t>
  </si>
  <si>
    <t>电池放电温度高（1级）</t>
  </si>
  <si>
    <t>0907</t>
  </si>
  <si>
    <t>满足前提条件5S电池最高温度＞52℃</t>
  </si>
  <si>
    <t>电池最高温度＜50℃且持续3S</t>
  </si>
  <si>
    <t>查表</t>
  </si>
  <si>
    <t>电池液冷板内无冷却液</t>
  </si>
  <si>
    <t>HV battery temperature higher level 2</t>
  </si>
  <si>
    <t>电池放电温度高（2级）</t>
  </si>
  <si>
    <t>0908</t>
  </si>
  <si>
    <t>满足前提条件5S电池最高温度＞55℃</t>
  </si>
  <si>
    <t>电池最高温度＜53℃且持续3S</t>
  </si>
  <si>
    <t>HV battery temperature highest level 3</t>
  </si>
  <si>
    <t>电池放电温度高（3级）</t>
  </si>
  <si>
    <t>0909</t>
  </si>
  <si>
    <t>满足前提条件3S电池最高温度＞57℃</t>
  </si>
  <si>
    <t>若不能恢复或者多次出现则检查温度传感器、电芯是否正常</t>
  </si>
  <si>
    <t>hld_bms_u8bBMSLowtemarm</t>
  </si>
  <si>
    <t>HV battery temperature low level 1</t>
  </si>
  <si>
    <t>电池放电温度低（1级）</t>
  </si>
  <si>
    <t>0910</t>
  </si>
  <si>
    <t>满足前提条件5S电池最低温度＜-15℃</t>
  </si>
  <si>
    <t>电池最低温度＞-13℃且持续3S</t>
  </si>
  <si>
    <t>无</t>
  </si>
  <si>
    <t>环境温度过低</t>
  </si>
  <si>
    <t>等待电池包加热</t>
  </si>
  <si>
    <t>HV battery temperature lower level 2</t>
  </si>
  <si>
    <t>电池放电温度低（2级）</t>
  </si>
  <si>
    <t>0911</t>
  </si>
  <si>
    <t>满足前提条件5S电池最低温度＜-20℃</t>
  </si>
  <si>
    <t>电池最低温度＞-18℃且持续3S</t>
  </si>
  <si>
    <t>HV battery temperature lowest level 3</t>
  </si>
  <si>
    <t>电池放电温度低（3级）</t>
  </si>
  <si>
    <t>0912</t>
  </si>
  <si>
    <t>满足前提条件5S电池最低温度＜-25℃</t>
  </si>
  <si>
    <t>重新上电后等待电池包加热若不能恢复则检查温度传感器是否正常</t>
  </si>
  <si>
    <t>hld_bms_u8bBMSSinglovervoltarm</t>
  </si>
  <si>
    <t>HV battery cell voltage high level 1</t>
  </si>
  <si>
    <t>电池单体电压过高（1级）</t>
  </si>
  <si>
    <t>0913</t>
  </si>
  <si>
    <t>满足前提条件5S最高单压＞3.7V</t>
  </si>
  <si>
    <t>满足前提条件3S最高单压＜3.65V</t>
  </si>
  <si>
    <t>过充</t>
  </si>
  <si>
    <t>HV battery cell voltage high level 2</t>
  </si>
  <si>
    <t>电池单体电压过高（2级）</t>
  </si>
  <si>
    <t>0914</t>
  </si>
  <si>
    <t>满足前提条件5S最高单压＞3.75V</t>
  </si>
  <si>
    <t>满足前提条件3S最高单压＜3.7V</t>
  </si>
  <si>
    <t>HV battery cell voltage high level 3</t>
  </si>
  <si>
    <t>电池单体电压过高（3级）</t>
  </si>
  <si>
    <t>0915</t>
  </si>
  <si>
    <t>满足前提条件5S最高单压＞3.8V</t>
  </si>
  <si>
    <t>hld_bms_u8bBMSSinglundervoltarm</t>
  </si>
  <si>
    <t>HV battery cell voltage low level 1</t>
  </si>
  <si>
    <t>电池单体电压过低（1级）</t>
  </si>
  <si>
    <t>0916</t>
  </si>
  <si>
    <t>满足前提条件5S最低单压＜2.7V(Tmin＞0℃);最低单压＜2.3V(Tmin＜0℃);</t>
  </si>
  <si>
    <t>最低单压＞2.9V(Tmin＞0℃);
最低单压＞2.5V(Tmin＜0℃);且持续3S</t>
  </si>
  <si>
    <t>过放</t>
  </si>
  <si>
    <t>可恢复报警、及时充电</t>
  </si>
  <si>
    <t>HV battery cell voltage low level 2</t>
  </si>
  <si>
    <t>电池单体电压过低（2级）</t>
  </si>
  <si>
    <t>0917</t>
  </si>
  <si>
    <t>满足前提条件5S最低单压＜2.5V(Tmin＞0℃);最低单压＜2.15V(Tmin＜0℃);</t>
  </si>
  <si>
    <t>最低单压＞2.7V(Tmin＞0℃);
最低单压＞2.35V(Tmin＜0℃);且持续3S</t>
  </si>
  <si>
    <t>HV battery cell voltage low level 3</t>
  </si>
  <si>
    <t>电池单体电压过低（3级）</t>
  </si>
  <si>
    <t>0918</t>
  </si>
  <si>
    <t>满足前提条件3S最低单压＜2.3V(Tmin＞0℃);最低单压＜2.0V(Tmin＜0℃);</t>
  </si>
  <si>
    <t>重新上电、充电后若故障不消失，则检查电芯是否正常</t>
  </si>
  <si>
    <t>hld_bms_u8Batteryovervoltarm</t>
  </si>
  <si>
    <t>HV battery  total voltage high level1</t>
  </si>
  <si>
    <t>电池总压过高1级</t>
  </si>
  <si>
    <t>0919</t>
  </si>
  <si>
    <t>满足前提条件5S总压＞399.6V</t>
  </si>
  <si>
    <t>总压＜401.5V且持续3S</t>
  </si>
  <si>
    <t>可恢复报警</t>
  </si>
  <si>
    <t>HV battery  total voltage high level2</t>
  </si>
  <si>
    <t>电池总压过高2级</t>
  </si>
  <si>
    <t>0920</t>
  </si>
  <si>
    <t>满足前提条件5S总压＞405V</t>
  </si>
  <si>
    <t>总压＜407V且持续3S</t>
  </si>
  <si>
    <t>HV battery  total voltage high level3</t>
  </si>
  <si>
    <t>电池总压过高3级</t>
  </si>
  <si>
    <t>0921</t>
  </si>
  <si>
    <t>满足前提条件3S总压＞410.4V</t>
  </si>
  <si>
    <t>重新上电后若故障不消失，则检查电芯是否正常</t>
  </si>
  <si>
    <t>cid_bms_u8BattVolLoAlrm</t>
  </si>
  <si>
    <t>The total battery voltage is too low 1 level</t>
  </si>
  <si>
    <t>电池总压过低1级</t>
  </si>
  <si>
    <t>0922</t>
  </si>
  <si>
    <t>满足前提条件5S总压291.6V(Tmin≥0℃);满足前提条件5S总压248.4V(Tmin＜0℃);</t>
  </si>
  <si>
    <t>满足前提条件3S总压313.2V(Tmin≥0℃);
满足前提条件3S总压270V(Tmin＜0℃);</t>
  </si>
  <si>
    <t>The total battery voltage is too low 2 level</t>
  </si>
  <si>
    <t>电池总压过低2级</t>
  </si>
  <si>
    <t>0923</t>
  </si>
  <si>
    <t>满足前提条件5S总压270V(Tmin≥0℃);满足前提条件5S总压232.2V(Tmin＜0℃);</t>
  </si>
  <si>
    <t>满足前提条件3S总压291.6V(Tmin≥0℃);
满足前提条件3S总压253.8V(Tmin＜0℃);</t>
  </si>
  <si>
    <t>The total battery voltage is too low 3 level</t>
  </si>
  <si>
    <t>电池总压过低3级</t>
  </si>
  <si>
    <t>0924</t>
  </si>
  <si>
    <t>满足前提条件5S总压248.4V(Tmin≥0℃);满足前提条件5S总压216V(Tmin＜0℃);</t>
  </si>
  <si>
    <t>hld_bms_u8Chargovercurrarm</t>
  </si>
  <si>
    <t>HV battery charge continuous overcurrent level 1</t>
  </si>
  <si>
    <t>电池充电持续过流1级</t>
  </si>
  <si>
    <t>0925</t>
  </si>
  <si>
    <t>满足前提条件5SI＞1.1*持续MAP</t>
  </si>
  <si>
    <t>I＜1.0*持续MAP+10A且持续3S</t>
  </si>
  <si>
    <t>查看请求电流和输出电流是否一致</t>
  </si>
  <si>
    <t>HV battery charge continuous overcurrent level 2</t>
  </si>
  <si>
    <t>电池充电持续过流2级</t>
  </si>
  <si>
    <t>0926</t>
  </si>
  <si>
    <t>满足前提条件5SI＞1.2*持续MAP</t>
  </si>
  <si>
    <t>I＜1.05*持续MAP+10A且持续3S</t>
  </si>
  <si>
    <t>HV battery charge continuous overcurrent level 3</t>
  </si>
  <si>
    <t>电池充电持续过流3级</t>
  </si>
  <si>
    <t>0927</t>
  </si>
  <si>
    <t>满足前提条件3SI＞1.3*持续MAP</t>
  </si>
  <si>
    <t>hld_bms_u8disChargovercurrarm</t>
  </si>
  <si>
    <t>HV battery discharge continuous overcurrent level 1</t>
  </si>
  <si>
    <t>电池放电持续过流1级</t>
  </si>
  <si>
    <t>0928</t>
  </si>
  <si>
    <t>放电模式下</t>
  </si>
  <si>
    <t>满足前提条件60S I＞1.1*持续MAP+10A</t>
  </si>
  <si>
    <t>电机放电超过限制</t>
  </si>
  <si>
    <t>HV battery discharge continuous overcurrent level 2</t>
  </si>
  <si>
    <t>电池放电持续过流2级</t>
  </si>
  <si>
    <t>0929</t>
  </si>
  <si>
    <t>满足前提条件60SI＞1.2*持续MAP+10A</t>
  </si>
  <si>
    <t>HV battery discharge continuous overcurrent level 3</t>
  </si>
  <si>
    <t>电池放电持续过流3级</t>
  </si>
  <si>
    <t>0930</t>
  </si>
  <si>
    <t>满足前提条件60SI＞1.3*持续MAP+10A</t>
  </si>
  <si>
    <t>重新上电后、故障消除</t>
  </si>
  <si>
    <t>hld_bms_u8bPeakDischargeOvercurrent</t>
  </si>
  <si>
    <t>HV battery discharge peak overcurrent level 1</t>
  </si>
  <si>
    <t>电池放电峰值过流1级</t>
  </si>
  <si>
    <t>0931</t>
  </si>
  <si>
    <t>满足前提条件5S I＞1.1*峰值MAP</t>
  </si>
  <si>
    <t>I＜1.0*峰值MAP且持续3S</t>
  </si>
  <si>
    <t>HV battery discharge peak overcurrent level 2</t>
  </si>
  <si>
    <t>放电峰值过流2级</t>
  </si>
  <si>
    <t>0932</t>
  </si>
  <si>
    <t>满足前提条件5SI＞1.2*峰值MAP</t>
  </si>
  <si>
    <t>I＜1.05*峰值MAP且持续3S</t>
  </si>
  <si>
    <t>HV battery discharge peak overcurrent level 3</t>
  </si>
  <si>
    <t>放电峰值过流3级</t>
  </si>
  <si>
    <t>0933</t>
  </si>
  <si>
    <t>满足前提条件3SI＞1.3*峰值MAP</t>
  </si>
  <si>
    <t>hld_bms_u8bBMSInsulationalarm</t>
  </si>
  <si>
    <t>HV battery insulation alarm level 1</t>
  </si>
  <si>
    <t>电池绝缘报警1级</t>
  </si>
  <si>
    <t>0934</t>
  </si>
  <si>
    <t>满足前提条件5S＜60kΩ</t>
  </si>
  <si>
    <t>＞65kΩ且持续3S</t>
  </si>
  <si>
    <t>高压部件电阻值下降</t>
  </si>
  <si>
    <t>HV battery insulation alarm level 2</t>
  </si>
  <si>
    <t>电池绝缘报警2级</t>
  </si>
  <si>
    <t>0935</t>
  </si>
  <si>
    <t>满足前提条件5S＜50kΩ</t>
  </si>
  <si>
    <t>＞55kΩ且持续3S</t>
  </si>
  <si>
    <t>HV battery insulation alarm level 3</t>
  </si>
  <si>
    <t>电池绝缘报警3级</t>
  </si>
  <si>
    <t>0936</t>
  </si>
  <si>
    <t>满足前提条件3S＜40kΩ</t>
  </si>
  <si>
    <t>重新上电后、若故障不消除，保持车辆各高压部件干燥、逐个检查</t>
  </si>
  <si>
    <t>hld_bms_u8bBMSChargdocktemarm</t>
  </si>
  <si>
    <t>Charge gun over temperature level 1</t>
  </si>
  <si>
    <t>充电座温度高1级</t>
  </si>
  <si>
    <t>0937</t>
  </si>
  <si>
    <t>满足前提条件5S充电枪最高温度＞80℃</t>
  </si>
  <si>
    <t>充电枪最高温度＜78℃且持续3S</t>
  </si>
  <si>
    <t>充电口接触不良或温度传感器异常</t>
  </si>
  <si>
    <t>Charge gun over temperature level 2</t>
  </si>
  <si>
    <t>充电座温度高2级</t>
  </si>
  <si>
    <t>0938</t>
  </si>
  <si>
    <t>满足前提条件5S充电枪最高温度＞83℃</t>
  </si>
  <si>
    <t>充电枪最高温度＜81℃且持续3S</t>
  </si>
  <si>
    <t>Charge gun over temperature level 3</t>
  </si>
  <si>
    <t>充电座温度高3级</t>
  </si>
  <si>
    <t>0939</t>
  </si>
  <si>
    <t>满足前提条件5S充电枪最高温度＞85℃</t>
  </si>
  <si>
    <t>检查充电口是否插到位否则就是温度传感器异常更换充电口</t>
  </si>
  <si>
    <t>hld_bms_u8HeatPTCmalflt</t>
  </si>
  <si>
    <t>HV battery heating PTC open circuit</t>
  </si>
  <si>
    <t>加热膜（PTC）故障1级（开路）</t>
  </si>
  <si>
    <t>0940</t>
  </si>
  <si>
    <t>加热PTC工作状态下</t>
  </si>
  <si>
    <t>满足前提条件3S从加热开始，加热速率＜1℃/10min(断路)</t>
  </si>
  <si>
    <t>是？</t>
  </si>
  <si>
    <t>PTC开路、保险丝开路、</t>
  </si>
  <si>
    <t>检查PTC、保险丝、继电器是否正常</t>
  </si>
  <si>
    <t>加热膜（PTC）故障2级</t>
  </si>
  <si>
    <t>0941</t>
  </si>
  <si>
    <t>2：温升异常</t>
  </si>
  <si>
    <t>HV battery heating PTC shorted</t>
  </si>
  <si>
    <t>加热膜（PTC）故障3级（过流）</t>
  </si>
  <si>
    <t>0942</t>
  </si>
  <si>
    <t>满足前提条件3S从加热开始，加热速率＞5℃/10min(短路)</t>
  </si>
  <si>
    <t>PTC短路、加热继电器粘连</t>
  </si>
  <si>
    <t>hld_bms_u8DoesPACKrequire</t>
  </si>
  <si>
    <t>HV battery need repair level 1</t>
  </si>
  <si>
    <t>PACK是否需要维修1级</t>
  </si>
  <si>
    <t>0943</t>
  </si>
  <si>
    <t>无须维修</t>
  </si>
  <si>
    <t>PDU E或F脚有13V+</t>
  </si>
  <si>
    <t>HV battery need repair level 2</t>
  </si>
  <si>
    <t>PACK是否需要维修2级</t>
  </si>
  <si>
    <t>0944</t>
  </si>
  <si>
    <t>充电后可解决</t>
  </si>
  <si>
    <t>其他轻微报警导致</t>
  </si>
  <si>
    <t>HV battery need repair level 3</t>
  </si>
  <si>
    <t>PACK是否需要维修3级</t>
  </si>
  <si>
    <t>0945</t>
  </si>
  <si>
    <t>须维修</t>
  </si>
  <si>
    <t>根据具体3故障</t>
  </si>
  <si>
    <t>更换或维修电池包</t>
  </si>
  <si>
    <t>hld_bms_u8Feedbackovercurrarm</t>
  </si>
  <si>
    <t>HV battery regen overcurrent  level 1</t>
  </si>
  <si>
    <t>电池回馈过流故障1级</t>
  </si>
  <si>
    <t>0946</t>
  </si>
  <si>
    <t>满足前提条件5SI＞1.1*回馈MAP+5A</t>
  </si>
  <si>
    <t>I＜1.0*回馈MAP且持续3S</t>
  </si>
  <si>
    <t>回馈扭矩过大</t>
  </si>
  <si>
    <t>HV battery regen overcurrent  level 2</t>
  </si>
  <si>
    <t>电池回馈过流故障2级</t>
  </si>
  <si>
    <t>0947</t>
  </si>
  <si>
    <t>满足前提条件5SI＞1.2*回馈MAP+5A</t>
  </si>
  <si>
    <t>I＜1.15*回馈MAP且持续3S</t>
  </si>
  <si>
    <t>HV battery regen overcurrent  level 3</t>
  </si>
  <si>
    <t>电池回馈过流故障3级</t>
  </si>
  <si>
    <t>0948</t>
  </si>
  <si>
    <t>满足前提条件3SI＞1.3*回馈MAP+5A</t>
  </si>
  <si>
    <t>重新上电后故障消除</t>
  </si>
  <si>
    <t>hld_bms_PackSmokearm</t>
  </si>
  <si>
    <t>0949</t>
  </si>
  <si>
    <t>预留</t>
  </si>
  <si>
    <t>hld_bms_Masterslavemonitoringexceptions</t>
  </si>
  <si>
    <t>HV battery master-slave monitoring exception</t>
  </si>
  <si>
    <t>电池主从监控异常</t>
  </si>
  <si>
    <t>0950</t>
  </si>
  <si>
    <t>满足前提条件3S主从监控异常</t>
  </si>
  <si>
    <t>电池内can断线</t>
  </si>
  <si>
    <t>检查PACK内部线束</t>
  </si>
  <si>
    <t>hld_bms_Collectmodmalflt</t>
  </si>
  <si>
    <t>HV battery  sampling chip failure</t>
  </si>
  <si>
    <t>电池采样芯片故障</t>
  </si>
  <si>
    <t>0951</t>
  </si>
  <si>
    <t>采样芯片故障，BMS确认</t>
  </si>
  <si>
    <t>电池内采样芯片故障</t>
  </si>
  <si>
    <t>拆包更换采样芯片</t>
  </si>
  <si>
    <t>hld_bms_Sincellvltdisconnecflt</t>
  </si>
  <si>
    <t>HV battery cell disconnection or temperature sensor offline</t>
  </si>
  <si>
    <t>电池单体断线或温感离线故障</t>
  </si>
  <si>
    <t>0952</t>
  </si>
  <si>
    <t>电压或者温度断线</t>
  </si>
  <si>
    <t>电池温感断线故障</t>
  </si>
  <si>
    <t>拆包检查排线</t>
  </si>
  <si>
    <t>hld_bms_Indtembreakageflt</t>
  </si>
  <si>
    <t>0953</t>
  </si>
  <si>
    <t>hld_bms_VCUofflinefault</t>
  </si>
  <si>
    <t>%Battery and VC U communication failure</t>
  </si>
  <si>
    <t>电池与VC U通讯故障</t>
  </si>
  <si>
    <t>0954</t>
  </si>
  <si>
    <t>满足前提条件3S接收不到VCU报文</t>
  </si>
  <si>
    <t>hld_bms_Hallofflineorflt</t>
  </si>
  <si>
    <t>HV battery  current sensor abnormal</t>
  </si>
  <si>
    <t>电池电流传感器异常</t>
  </si>
  <si>
    <t>0955</t>
  </si>
  <si>
    <t>满足前提条件3S自检时电流传感器出现异常</t>
  </si>
  <si>
    <t>电流传感器故障</t>
  </si>
  <si>
    <t>更换电流传感器</t>
  </si>
  <si>
    <t>hld_bms_Internalcommunicationflt</t>
  </si>
  <si>
    <t>HV battery Internal communication failure</t>
  </si>
  <si>
    <t>电池内部通讯故障</t>
  </si>
  <si>
    <t>0956</t>
  </si>
  <si>
    <t>PACK内部硬件故障</t>
  </si>
  <si>
    <t>hld_bms_Communicationfailchargeflt</t>
  </si>
  <si>
    <t>HV battery lost charger communication</t>
  </si>
  <si>
    <t>电池与充电机通讯故障</t>
  </si>
  <si>
    <t>0957</t>
  </si>
  <si>
    <t>PDU F脚有12V+</t>
  </si>
  <si>
    <t>满足前提条件3SBMS未收到充电机报文</t>
  </si>
  <si>
    <t>电池或OBCCAN线出线短路、断线、错位故障</t>
  </si>
  <si>
    <t>检查OBC 与BMS之间CAN线</t>
  </si>
  <si>
    <t>hld_bms_MSDhighvoltinterlockflt</t>
  </si>
  <si>
    <t>MSD interlock fault</t>
  </si>
  <si>
    <t>电池MSD高压互锁故障</t>
  </si>
  <si>
    <t>0958</t>
  </si>
  <si>
    <t>满足前提条件3S高压互锁检测失败</t>
  </si>
  <si>
    <t>高压互锁端子开路</t>
  </si>
  <si>
    <t>更换MSD</t>
  </si>
  <si>
    <t>hld_bms_Preandmainpositiveadhesion</t>
  </si>
  <si>
    <t>HV battery positive/pre-charge relay welded</t>
  </si>
  <si>
    <t>电池总正/预充继电器粘连</t>
  </si>
  <si>
    <t>0959</t>
  </si>
  <si>
    <t>主负吸合后自检粘连</t>
  </si>
  <si>
    <t>继电器粘连</t>
  </si>
  <si>
    <t>更换继电器</t>
  </si>
  <si>
    <t>hld_bms_Mainnegativecontactorflt</t>
  </si>
  <si>
    <t>HV battery negative relay welded</t>
  </si>
  <si>
    <t>电池总负继电器粘连</t>
  </si>
  <si>
    <t>0960</t>
  </si>
  <si>
    <t>自检粘连</t>
  </si>
  <si>
    <t>hld_bms_Heatcontactormalflt</t>
  </si>
  <si>
    <t>HV battery heat  relay welded</t>
  </si>
  <si>
    <t>电池加热继电器粘连</t>
  </si>
  <si>
    <t>0961</t>
  </si>
  <si>
    <t>hld_bms_Dcchargcontactormalflt</t>
  </si>
  <si>
    <t>HV battery DC charge relay failure</t>
  </si>
  <si>
    <t>电池直流充电接触器故障</t>
  </si>
  <si>
    <t>0962</t>
  </si>
  <si>
    <t>无此故障</t>
  </si>
  <si>
    <t>EVCC fault</t>
  </si>
  <si>
    <t>0963</t>
  </si>
  <si>
    <t>hld_bms_Mainnegativeclosurefailurduringheat</t>
  </si>
  <si>
    <t>HV battery negative relay fails to close while heating</t>
  </si>
  <si>
    <t>电池加热时主负继电器闭合失败</t>
  </si>
  <si>
    <t>0964</t>
  </si>
  <si>
    <t>满足前提条件3S加热时检测到主负继电器闭合失败</t>
  </si>
  <si>
    <t>HV battery self-check failure</t>
  </si>
  <si>
    <t>电池BMS自检故障</t>
  </si>
  <si>
    <t>0965</t>
  </si>
  <si>
    <t>更换BMS主板</t>
  </si>
  <si>
    <t>hld_bms_BatteryTemrunawayfult</t>
  </si>
  <si>
    <t>HV battery thermal lose control</t>
  </si>
  <si>
    <t>电池热失控故障</t>
  </si>
  <si>
    <t>0966</t>
  </si>
  <si>
    <t>1.最高温度Tmax≥60℃.2.温差ΔT≥30℃，3.温升速率V≥1℃/S，4.最小单体电压Vmin≤1.5V，5.绝缘3级故障，6.电压采样故障</t>
  </si>
  <si>
    <t>电池发热</t>
  </si>
  <si>
    <t>请尽快离开车辆</t>
  </si>
  <si>
    <t>hld_bms_Chargingpositiverelayadhesion</t>
  </si>
  <si>
    <t>%HV battery charge positive relay welded</t>
  </si>
  <si>
    <t>电池充电正继电器粘连</t>
  </si>
  <si>
    <t>0967</t>
  </si>
  <si>
    <t>hld_bms_12Vvoltagelow</t>
  </si>
  <si>
    <t>HV battery 12V abnormal</t>
  </si>
  <si>
    <t>电池低压12V告警</t>
  </si>
  <si>
    <t>0968</t>
  </si>
  <si>
    <t>系统电压超出[10-15V]的范围</t>
  </si>
  <si>
    <t>检查DCDC或者12V电池是否损坏</t>
  </si>
  <si>
    <t>hld_bms_Alarmforhighchargingtemperature</t>
  </si>
  <si>
    <t>HV battery charge over temperature level 1</t>
  </si>
  <si>
    <t>电池充电温度高（1级）</t>
  </si>
  <si>
    <t>0969</t>
  </si>
  <si>
    <t>某一串单体电芯温度过高</t>
  </si>
  <si>
    <t>HV battery charge over temperature level 2</t>
  </si>
  <si>
    <t>电池充电温度高（2级）</t>
  </si>
  <si>
    <t>0970</t>
  </si>
  <si>
    <t>HV battery charge over temperature level 3</t>
  </si>
  <si>
    <t>电池充电温度高（3级）</t>
  </si>
  <si>
    <t>0971</t>
  </si>
  <si>
    <t>拔下充电枪</t>
  </si>
  <si>
    <t>HV battery pre-charge failure</t>
  </si>
  <si>
    <t>电池预充失败</t>
  </si>
  <si>
    <t>0972</t>
  </si>
  <si>
    <t>VCU发上电指令7S后</t>
  </si>
  <si>
    <t>满足前提条件5S，外压未达到总压的95%，静差10V</t>
  </si>
  <si>
    <t>预充时外部有用电器再工作</t>
  </si>
  <si>
    <t>逐个排除各高压部件</t>
  </si>
  <si>
    <t>电池进水温度传感器开路</t>
  </si>
  <si>
    <t>0973</t>
  </si>
  <si>
    <t>多次重启无效则更换传感器</t>
  </si>
  <si>
    <t>排查线路</t>
  </si>
  <si>
    <t>电池出水温度传感器开路</t>
  </si>
  <si>
    <t>0974</t>
  </si>
  <si>
    <t>hld_epb_BraPedSigFlt</t>
  </si>
  <si>
    <t>制动踏板信号故障</t>
  </si>
  <si>
    <t>1101</t>
  </si>
  <si>
    <t>hld_epb_AccPedSigFlt</t>
  </si>
  <si>
    <t>油门踏板信号故障</t>
  </si>
  <si>
    <t>1102</t>
  </si>
  <si>
    <t>hld_epb_VehSpeSigFlt</t>
  </si>
  <si>
    <t>车速信号故障</t>
  </si>
  <si>
    <t>1103</t>
  </si>
  <si>
    <t>hld_epb_GeaPosSigFlt</t>
  </si>
  <si>
    <t>档位信号故障</t>
  </si>
  <si>
    <t>1104</t>
  </si>
  <si>
    <t>hld_epb_CANTimeoutFlt</t>
  </si>
  <si>
    <t>CAN总线超时故障</t>
  </si>
  <si>
    <t>1105</t>
  </si>
  <si>
    <t>hld_epb_ECUhardwareSelftestFlt</t>
  </si>
  <si>
    <t>EPB ECU hardware self-check failure</t>
  </si>
  <si>
    <t>EPB ECU硬件自检故障</t>
  </si>
  <si>
    <t>1106</t>
  </si>
  <si>
    <t>总线唤醒初始化</t>
  </si>
  <si>
    <t>软件中出现右或左侧电机低边短路或出现右或左侧电机低边开路右或左侧电机电流标定错误或右侧或左侧电机电流偏置超限或EEPROM数据读写错误</t>
  </si>
  <si>
    <t>相关故障全部消除</t>
  </si>
  <si>
    <t>控制器、线束、电机故障</t>
  </si>
  <si>
    <t>更换ECU、检查线束、检查电机</t>
  </si>
  <si>
    <t>禁止ready前置条件是EPB不再释放状态</t>
  </si>
  <si>
    <t>hld_epb_RigMotOpeCirFlt</t>
  </si>
  <si>
    <t>EPB Right motor open circuit fault</t>
  </si>
  <si>
    <t>右侧电机开路故障</t>
  </si>
  <si>
    <t>1107</t>
  </si>
  <si>
    <t>自检过程中</t>
  </si>
  <si>
    <t>电机两端电压低于电源供电电压2V，且持续8ms</t>
  </si>
  <si>
    <t>硬件故障恢复，系统重新上电后，故障自动清除</t>
  </si>
  <si>
    <t>电机内部断路或电机端线束断开或EPB控制器损坏</t>
  </si>
  <si>
    <t>检查执行器电机状态、相关ECU及线束</t>
  </si>
  <si>
    <t>hld_epb_RigMotShortCircuit</t>
  </si>
  <si>
    <t>EPB Right motor short circuit</t>
  </si>
  <si>
    <t>右侧电机短路</t>
  </si>
  <si>
    <t>1108</t>
  </si>
  <si>
    <t>全程检测</t>
  </si>
  <si>
    <t>电流超过45A持续9ms</t>
  </si>
  <si>
    <t>电机正负极短路或线束短路或EPB控制器损坏</t>
  </si>
  <si>
    <t>hld_epb_RigMotStall</t>
  </si>
  <si>
    <t>EPB Right motor stalled</t>
  </si>
  <si>
    <t>右侧电机堵转</t>
  </si>
  <si>
    <t>1109</t>
  </si>
  <si>
    <t>电机动作过程中</t>
  </si>
  <si>
    <t>电流30A持续30ms或电流24A持续60ms</t>
  </si>
  <si>
    <t>执行器内有杂质，转动过程中被卡主或线束破损，与其他电路接触或电流传感器出现故障</t>
  </si>
  <si>
    <t>hld_epb_LeftMotorOpenCircuitFlt</t>
  </si>
  <si>
    <t>EPB Left motor open circuit fault</t>
  </si>
  <si>
    <t>左侧电机开路故障</t>
  </si>
  <si>
    <t>1110</t>
  </si>
  <si>
    <t>电机动作过程中，电机两端电压低于电源供电电压2V，且持续8ms</t>
  </si>
  <si>
    <t>hld_epb_LeftMotorShortCircuit</t>
  </si>
  <si>
    <t>EPB Left motor short circuit</t>
  </si>
  <si>
    <t>左侧电机短路</t>
  </si>
  <si>
    <t>1111</t>
  </si>
  <si>
    <t>hld_epb_LeftMotorStall</t>
  </si>
  <si>
    <t>EPB Left motor stalled</t>
  </si>
  <si>
    <t>左侧电机堵转</t>
  </si>
  <si>
    <t>1112</t>
  </si>
  <si>
    <t>hld_epb_BattVoltUndervoltageFlt</t>
  </si>
  <si>
    <t>EPB undervoltage alarn</t>
  </si>
  <si>
    <t>电池电压欠压故障</t>
  </si>
  <si>
    <t>1113</t>
  </si>
  <si>
    <t>自检后</t>
  </si>
  <si>
    <t>电池电压低于9V持续1s以上</t>
  </si>
  <si>
    <t>电池电压高于9V持续1s以上</t>
  </si>
  <si>
    <t>电池馈电、电池回路线阻过大、ECU内部电压传感器出现故障、ECU损坏</t>
  </si>
  <si>
    <t>检查电池是否馈电、电源与ECU回路线束是否出现虚接、更换ECU</t>
  </si>
  <si>
    <t>hld_epb_BattVoltHighFlt</t>
  </si>
  <si>
    <t>EPB over voltage high alarm</t>
  </si>
  <si>
    <t>电池电压高故障</t>
  </si>
  <si>
    <t>1114</t>
  </si>
  <si>
    <t>电池电压高于16.5V持续1s以上</t>
  </si>
  <si>
    <t>电池电压低于16.5V持续1s以上</t>
  </si>
  <si>
    <t>ECU内部电压传感器出现故障、ECU损坏</t>
  </si>
  <si>
    <t>hld_epb_BattVoltlLowProActFlt</t>
  </si>
  <si>
    <t>EPB under voltage prohibits action fault</t>
  </si>
  <si>
    <t>电池电压低禁止动作故障</t>
  </si>
  <si>
    <t>1115</t>
  </si>
  <si>
    <t>电池电压低于9V持续1.6s以上</t>
  </si>
  <si>
    <t>电池电压高于9V持续1.6s以上</t>
  </si>
  <si>
    <t>检查电池是否完好、电源与ECU回路线束是否正常、更换ECU</t>
  </si>
  <si>
    <t>hld_epb_BattVoltHighProAcFlt</t>
  </si>
  <si>
    <t>EPB over voltage prohibition fault</t>
  </si>
  <si>
    <t>电池电压高禁止动作故障</t>
  </si>
  <si>
    <t>1116</t>
  </si>
  <si>
    <t>电池电压高于16.5V持续1.6s以上</t>
  </si>
  <si>
    <t>电池电压低于16.5V持续1.6s以上</t>
  </si>
  <si>
    <t>hld_epb_EPBSwiNotConne</t>
  </si>
  <si>
    <t>EPB switch open circuit</t>
  </si>
  <si>
    <t>EPB开关未连接</t>
  </si>
  <si>
    <t>1117</t>
  </si>
  <si>
    <t>开关供电电压在8-18V内</t>
  </si>
  <si>
    <t>EPB开关信号全为开路状态，t &gt; 1.2s</t>
  </si>
  <si>
    <t>EPB开关信号恢复正常</t>
  </si>
  <si>
    <t>开关物理连接断开
 开关部件故障
开关断线
开关触点故障
ECU端开关使能驱动故障
ECU输入引脚/触点问题</t>
  </si>
  <si>
    <t>检查EPB开关及相关线束</t>
  </si>
  <si>
    <t>hld_epb_RigMotShortToPosiPoweSupply</t>
  </si>
  <si>
    <t>EPB right motor short to 12V+</t>
  </si>
  <si>
    <t>右侧电机短接到电源正级</t>
  </si>
  <si>
    <t>1118</t>
  </si>
  <si>
    <t>在执行器无动作期间</t>
  </si>
  <si>
    <t>在执行器无动作期间，右侧电机正负极电压值至少有一侧高于（供电电压-2V）</t>
  </si>
  <si>
    <t>在执行器无动作期间，右侧电机正负极电压值都低于（供电电压-2V）</t>
  </si>
  <si>
    <r>
      <rPr>
        <sz val="10"/>
        <color rgb="FF000000"/>
        <rFont val="宋体"/>
        <family val="3"/>
        <charset val="134"/>
      </rPr>
      <t xml:space="preserve">接插件损坏针脚短接、线束破皮短接、传感器损坏、 </t>
    </r>
    <r>
      <rPr>
        <sz val="10"/>
        <color rgb="FF000000"/>
        <rFont val="Calibri"/>
        <family val="2"/>
      </rPr>
      <t xml:space="preserve">ECU </t>
    </r>
    <r>
      <rPr>
        <sz val="10"/>
        <color rgb="FF000000"/>
        <rFont val="宋体"/>
        <family val="3"/>
        <charset val="134"/>
      </rPr>
      <t>总成损坏</t>
    </r>
  </si>
  <si>
    <t>检查接插件是否良好，线束是否正常，若
都正常则用替换 ECU 来排除故障</t>
  </si>
  <si>
    <t>hld_epb_RigMotShortToGround</t>
  </si>
  <si>
    <t>EPB right motor short to GND</t>
  </si>
  <si>
    <t>右侧电机短接到地</t>
  </si>
  <si>
    <t>1119</t>
  </si>
  <si>
    <t>没有发生底边短路故障
在执行器无动作期间</t>
  </si>
  <si>
    <t>上电自检期间和周期性测试期间右侧电机正负极至少有一侧电压低于1V</t>
  </si>
  <si>
    <t>周期性测试期间右侧电机正负极两侧电压都高于1V</t>
  </si>
  <si>
    <t>蓄电池欠电， 保险丝熔断，接插件及线束接触不良， ECU 电路板
击穿</t>
  </si>
  <si>
    <r>
      <rPr>
        <sz val="10"/>
        <color rgb="FF000000"/>
        <rFont val="宋体"/>
        <family val="3"/>
        <charset val="134"/>
      </rPr>
      <t xml:space="preserve">检查蓄电池、充电附属电路、阀保险、接插件、线束、 </t>
    </r>
    <r>
      <rPr>
        <sz val="10"/>
        <color rgb="FF000000"/>
        <rFont val="Calibri"/>
        <family val="2"/>
      </rPr>
      <t xml:space="preserve">ECU </t>
    </r>
    <r>
      <rPr>
        <sz val="10"/>
        <color rgb="FF000000"/>
        <rFont val="宋体"/>
        <family val="3"/>
        <charset val="134"/>
      </rPr>
      <t>总成</t>
    </r>
  </si>
  <si>
    <t>hld_epb_LefMotShortToPosiPowSupply</t>
  </si>
  <si>
    <t>EPB left motor short to 12V+</t>
  </si>
  <si>
    <t>左侧电机短接到电源正级</t>
  </si>
  <si>
    <t>1120</t>
  </si>
  <si>
    <t>在执行器无动作期间，左侧电机正负极电压值至少有一侧高于（供电电压-2V）</t>
  </si>
  <si>
    <t>在执行器无动作期间，左侧电机正负极电压值都低于（供电电压-2V）</t>
  </si>
  <si>
    <t>hld_epb_LefMotorShortToGround</t>
  </si>
  <si>
    <t>EPB left motor short to GND</t>
  </si>
  <si>
    <t>左侧电机短接到地</t>
  </si>
  <si>
    <t>1121</t>
  </si>
  <si>
    <t>上电自检期间和周期性测试期间左侧电机正负极至少有一侧电压低于1V</t>
  </si>
  <si>
    <t xml:space="preserve"> 
周期性测试期间左侧电机正负极两侧电压都高于1V</t>
  </si>
  <si>
    <t>hld_epb_RightActParTimeout</t>
  </si>
  <si>
    <t xml:space="preserve">EPB right actuator parking overtime  </t>
  </si>
  <si>
    <t>右侧执行机构驻车时间超时</t>
  </si>
  <si>
    <t>1122</t>
  </si>
  <si>
    <t>在执行器驻车动作期间</t>
  </si>
  <si>
    <t>右路电机动作时间超过25s或者电流超过临界值（空转电流+0.8A）持续时间超过3s</t>
  </si>
  <si>
    <t>下一次动作不出现上述问题</t>
  </si>
  <si>
    <t>执行器内部出现断齿、执行器无负载空转、ECU电流传感器出现故障、ECU损坏</t>
  </si>
  <si>
    <t>听执行器动作声音是否出现周期性变化、检查执行器与卡钳连接部位是否完好、更换ECU</t>
  </si>
  <si>
    <t>hld_epb_LefActParTimeout</t>
  </si>
  <si>
    <t xml:space="preserve">EPB left actuator parking overtime  </t>
  </si>
  <si>
    <t>左侧执行机构驻车时间超时</t>
  </si>
  <si>
    <t>1123</t>
  </si>
  <si>
    <t>左路电机动作时间超过25s或者电流超过临界值（空转电流+0.8A）持续时间超过3s</t>
  </si>
  <si>
    <t>hld_epb_RigActrRelTimeout</t>
  </si>
  <si>
    <t xml:space="preserve">EPB right actuator release overtime  </t>
  </si>
  <si>
    <t>右侧执行机构释放时间超时</t>
  </si>
  <si>
    <t>1124</t>
  </si>
  <si>
    <t>在执行器释放动作期间</t>
  </si>
  <si>
    <t>右路电机释放动作时间超过12S</t>
  </si>
  <si>
    <t>hld_epb_LefActRelTimeout</t>
  </si>
  <si>
    <t xml:space="preserve">EPB left actuator release overtime  </t>
  </si>
  <si>
    <t>左侧执行机构释放时间超时</t>
  </si>
  <si>
    <t>1125</t>
  </si>
  <si>
    <t>左路电机释放动作时间超过12S</t>
  </si>
  <si>
    <t>hld_epb_RigIdlCurTooHigh</t>
  </si>
  <si>
    <t>EPB right motor idling current too high</t>
  </si>
  <si>
    <t>右侧空转电流过高</t>
  </si>
  <si>
    <t>1126</t>
  </si>
  <si>
    <t>工作电压在9-16V之间</t>
  </si>
  <si>
    <t>执行器电机空转过程中电流超过7.5A</t>
  </si>
  <si>
    <t>执行器两端线束短接或卡钳内制动液杂志较多或ECU损坏</t>
  </si>
  <si>
    <t>查看接入执行器的两条线束是否正常，更换执行器或更换ECU</t>
  </si>
  <si>
    <t>hld_epb_LefIdlCurTooHigh</t>
  </si>
  <si>
    <t>EPB left motor idle current too high</t>
  </si>
  <si>
    <t>左侧空转电流过高</t>
  </si>
  <si>
    <t>1127</t>
  </si>
  <si>
    <t>hld_epb_RigMotOpenCir</t>
  </si>
  <si>
    <t>EPB right motoropen circuit while operation</t>
  </si>
  <si>
    <t>右侧电机开路（动作过程中）</t>
  </si>
  <si>
    <t>1128</t>
  </si>
  <si>
    <t>在执行器动作期间</t>
  </si>
  <si>
    <t>执行器动作期间，电流小于0.1A且电机正负端电压都不大于0.8倍的供电电压，持续100ms</t>
  </si>
  <si>
    <t>线束老化引起线阻过大、线束出现虚接、执行器电机内部损坏、ECU损坏</t>
  </si>
  <si>
    <t>检查线束、更换执行器、更换ECU</t>
  </si>
  <si>
    <t>hld_epb_LefMotOpenCir</t>
  </si>
  <si>
    <t>EPB left motoropen circuit while operation</t>
  </si>
  <si>
    <t>左侧电机开路（动作过程中）</t>
  </si>
  <si>
    <t>1129</t>
  </si>
  <si>
    <t>执行器未动作期间，电流小于0.1A且电机正负端电压都不大于0.8倍的供电电压，持续100ms</t>
  </si>
  <si>
    <t>hld_epb_RigMotLowSideOpenCir</t>
  </si>
  <si>
    <t>EPB right motor low side open circuit</t>
  </si>
  <si>
    <t>右侧电机低边开路</t>
  </si>
  <si>
    <t>1130</t>
  </si>
  <si>
    <t>在执行器未动作期间</t>
  </si>
  <si>
    <t>执行器未动作期间，电流小于0.1A且电机正负端电压都大于0.8倍的供电电压，持续100ms</t>
  </si>
  <si>
    <t>执行器负极断开、ECU损坏</t>
  </si>
  <si>
    <t>检查线束、检查连接器连接情况，修理或更换相关ECU</t>
  </si>
  <si>
    <t>hld_epb_LefMotLowSideOpenCir</t>
  </si>
  <si>
    <t>EPB left motor low side open circuit</t>
  </si>
  <si>
    <t>左侧电机低边开路</t>
  </si>
  <si>
    <t>1131</t>
  </si>
  <si>
    <t>执行器动作期间，电流小于0.1A且电机正负端电压都大于0.8倍的供电电压，持续100ms</t>
  </si>
  <si>
    <t>hld_epb_RigMotPowSupOpeCir</t>
  </si>
  <si>
    <t>EPB right motor power supply open circuit</t>
  </si>
  <si>
    <t>右侧电机供电开路</t>
  </si>
  <si>
    <t>1132</t>
  </si>
  <si>
    <t>电压采样期间</t>
  </si>
  <si>
    <t>电压采样期间，右侧电机供电电压低于2V，持续120ms</t>
  </si>
  <si>
    <t>右侧电机供电电压恢复</t>
  </si>
  <si>
    <t>电机供电线束断路；供电线束老化，内阻过大；供电线束虚接；ECU损坏；</t>
  </si>
  <si>
    <t>检查线束及接插件情况、更换ECU</t>
  </si>
  <si>
    <t>hld_epb_LeftMotPowSupOpeCir</t>
  </si>
  <si>
    <t>EPB left motor power supply open circuit</t>
  </si>
  <si>
    <t>左侧电机供电开路</t>
  </si>
  <si>
    <t>1133</t>
  </si>
  <si>
    <t>左侧电机供电电压恢复</t>
  </si>
  <si>
    <t>hld_epb_RigCirlowSideShoCir</t>
  </si>
  <si>
    <t>EPB right circuit low side shorted</t>
  </si>
  <si>
    <t>右侧电路低边短路</t>
  </si>
  <si>
    <t>1134</t>
  </si>
  <si>
    <t>检测期间（未动作），电流值超过0.5A，持续30ms</t>
  </si>
  <si>
    <t>监测期间电流值恢复（低于0.5A）</t>
  </si>
  <si>
    <t>电机低边线束短接到地；ECU损坏</t>
  </si>
  <si>
    <t>hld_epb_LefCirLowSideShoCir</t>
  </si>
  <si>
    <t>EPB left circuit low side shorted</t>
  </si>
  <si>
    <t>左侧电路低边短路</t>
  </si>
  <si>
    <t>1135</t>
  </si>
  <si>
    <t>hld_epb_RigMotCurBiasOverLim</t>
  </si>
  <si>
    <t>EPB right motor current bias exceeds limit</t>
  </si>
  <si>
    <t>右侧电机电流偏置超限</t>
  </si>
  <si>
    <t>1136</t>
  </si>
  <si>
    <t>未进行电机对地短路故障期间</t>
  </si>
  <si>
    <t>偏置电流超过0.5A,保持80ms</t>
  </si>
  <si>
    <t>偏置电流低于0.5A</t>
  </si>
  <si>
    <t>ECU损坏；ECU内部出现局部短路，线束裸露与车身接触，接插件进水</t>
  </si>
  <si>
    <t>hld_epb_LefMotCurBiasOveriLim</t>
  </si>
  <si>
    <t>EPB left motor current bias exceeds limit</t>
  </si>
  <si>
    <t>左侧电机电流偏置超限</t>
  </si>
  <si>
    <t>1137</t>
  </si>
  <si>
    <t>hld_epb_RigMotCurCaliErr</t>
  </si>
  <si>
    <t>EPB right motor current calibration error</t>
  </si>
  <si>
    <t>右电机电流标定错误</t>
  </si>
  <si>
    <t>1138</t>
  </si>
  <si>
    <t>静态检测期间，电流值低于0.5A，或超过3A，持续30ms</t>
  </si>
  <si>
    <t>静态检测期间，电流值位于0.5A-3A之间</t>
  </si>
  <si>
    <t>ECU损坏；线束损坏；接插件损坏</t>
  </si>
  <si>
    <t>hld_epb_LefMotCurCaliErr</t>
  </si>
  <si>
    <t>EPB left motor current calibration error</t>
  </si>
  <si>
    <t>左电机电流标定错误</t>
  </si>
  <si>
    <t>1139</t>
  </si>
  <si>
    <t>hld_epb_RigActMecHasLarResis</t>
  </si>
  <si>
    <t>EPB right actuator mechanical resistance is too large</t>
  </si>
  <si>
    <t>右执行器机构机械阻力大</t>
  </si>
  <si>
    <t>1140</t>
  </si>
  <si>
    <t>右侧空转电流超过左侧空转电流；并且差值大于5A；同时差值大于左侧空转电流一半；</t>
  </si>
  <si>
    <t>执行机构损坏，制动钳内部液压杂质较多；ECU损坏；右侧执行机构接插件积水短路</t>
  </si>
  <si>
    <t>检查执行机构、线束及接插件情况、更换ECU或执行机构</t>
  </si>
  <si>
    <t>hld_epb_LefActMecHasLarMechResis</t>
  </si>
  <si>
    <t>EPB left actuator mechanical resistance is too large</t>
  </si>
  <si>
    <t>左执行器机构机械阻力大</t>
  </si>
  <si>
    <t>1141</t>
  </si>
  <si>
    <t>左侧空转电流超过右侧空转电流；并且差值大于5A；同时差值大于右侧空转电流一半；</t>
  </si>
  <si>
    <t>hld_epb_RigActMechDamaged</t>
  </si>
  <si>
    <t>EPB right actuator damaged, no brake disc.</t>
  </si>
  <si>
    <t>右执行器机构损坏，无制动盘</t>
  </si>
  <si>
    <t>1142</t>
  </si>
  <si>
    <t>夹紧过程时间超过25s</t>
  </si>
  <si>
    <t>执行机构无负载；执行机构出现两个连续的断齿；执行机构接插件积水短路（具有一定电阻）ECU故障</t>
  </si>
  <si>
    <t>检查线束、接插件、执行器、制动盘；或者更换ECU</t>
  </si>
  <si>
    <t>hld_epb_LeftActMechDamaged</t>
  </si>
  <si>
    <t>EPB left actuator damaged, no brake disc.</t>
  </si>
  <si>
    <t>左执行器机构损坏，无制动盘</t>
  </si>
  <si>
    <t>1143</t>
  </si>
  <si>
    <t>hld_epb_RigActMechCannotReaTarClamForce</t>
  </si>
  <si>
    <t>EPB right actuator cannot reach the target clamping force</t>
  </si>
  <si>
    <t>右侧执行机构达不到目标夹紧力</t>
  </si>
  <si>
    <t>1144</t>
  </si>
  <si>
    <t>夹紧过程中，右侧执行器电流超过TOUCH（空转电流+0.8A）点后，3s内达不到目标夹紧力</t>
  </si>
  <si>
    <t>hld_epb_LefActuMechaCannoReachTarClamForce</t>
  </si>
  <si>
    <t>EPB left actuator cannot reach the target clamping force</t>
  </si>
  <si>
    <t>左侧执行机构达不到目标夹紧力</t>
  </si>
  <si>
    <t>1145</t>
  </si>
  <si>
    <t>夹紧过程中，左侧执行器电流超过TOUCH（空转电流+0.8A）点后，3s内达不到目标夹紧力</t>
  </si>
  <si>
    <t>hld_epb_RigAndLeftActStaUnconsistent</t>
  </si>
  <si>
    <t>EPB  right and left actuators status are inconsistent</t>
  </si>
  <si>
    <t>右左执行器状态不一致</t>
  </si>
  <si>
    <t>1146</t>
  </si>
  <si>
    <t>一路执行器出现故障无法动作或动作过程中出现一路执行动作被中断</t>
  </si>
  <si>
    <t>此故障一般会伴随其他故障，依据伴随故障解决问题</t>
  </si>
  <si>
    <t>hld_epb_MaiAndAuxMCUSPIComChecksumErr</t>
  </si>
  <si>
    <t xml:space="preserve">EPB checksum error </t>
  </si>
  <si>
    <t>主辅MCU SPI通讯校验和错误</t>
  </si>
  <si>
    <t>1147</t>
  </si>
  <si>
    <t>主辅未通讯超时</t>
  </si>
  <si>
    <t>主辅CRC校验未通过，持续十次</t>
  </si>
  <si>
    <t>CRC校验通过</t>
  </si>
  <si>
    <t>控制器硬件损坏</t>
  </si>
  <si>
    <t>更换ECU</t>
  </si>
  <si>
    <t>hld_epb_MasAndAuxMCUSPIComTmeoutErr</t>
  </si>
  <si>
    <t>EPB internal communication timeout error</t>
  </si>
  <si>
    <t>主辅MCU SPI通讯超时错误</t>
  </si>
  <si>
    <t>1148</t>
  </si>
  <si>
    <t>连续五个周期未接收完成缓存数据</t>
  </si>
  <si>
    <t>正常接收一帧数据</t>
  </si>
  <si>
    <t>hld_epb_MasAndAuxMCUSPIComIgnVolCosDetectionErr</t>
  </si>
  <si>
    <t>EPB communication ignition voltage cross detection error</t>
  </si>
  <si>
    <t>主辅MCU SPI通讯点火电压交叉检测错误</t>
  </si>
  <si>
    <t>1149</t>
  </si>
  <si>
    <t>主辅MCU检测到点火线电压差值超过0.8V，并持续50个周期</t>
  </si>
  <si>
    <t>主辅MCU检测点火电压差值在0.8V以内</t>
  </si>
  <si>
    <t>hld_epb_MasAndAuxMCUSPIComEPBSwiStaMisErr</t>
  </si>
  <si>
    <t>EPB internal switch status does not match the error</t>
  </si>
  <si>
    <t>主辅MCU SPI通讯EPB开关状态不匹配错误</t>
  </si>
  <si>
    <t>1150</t>
  </si>
  <si>
    <t>主辅MCU检测到开关状态时序不一致，并持续10个周期</t>
  </si>
  <si>
    <t>主辅MCU检测到开关状态时序一致</t>
  </si>
  <si>
    <t>hld_epb_EPBStateMacInvalid</t>
  </si>
  <si>
    <t>EPB state invalid</t>
  </si>
  <si>
    <t>EPB状态机无效</t>
  </si>
  <si>
    <t>1151</t>
  </si>
  <si>
    <t>检测到EPB状态机状态属于定义以外的状态（静态、动态、跛行、维修模式）</t>
  </si>
  <si>
    <t>检测到EPB状态机状态属于定义以内的状态（静态、动态、跛行、维修模式）</t>
  </si>
  <si>
    <t>hld_epb_EEPROMDataReadFai</t>
  </si>
  <si>
    <t>EPB EEPROM read failure</t>
  </si>
  <si>
    <t>EEPROM数据读取故障</t>
  </si>
  <si>
    <t>1152</t>
  </si>
  <si>
    <t>供电电压大于7V</t>
  </si>
  <si>
    <t>数据连续读取三次不成功</t>
  </si>
  <si>
    <t>完成一次正常数据读取</t>
  </si>
  <si>
    <t>hld_epb_EEPROMDataWriFlt</t>
  </si>
  <si>
    <t>EPB EEPROM write failure</t>
  </si>
  <si>
    <t>EEPROM数据写入故障</t>
  </si>
  <si>
    <t>1153</t>
  </si>
  <si>
    <t>数据连续写入三次不成功</t>
  </si>
  <si>
    <t>完成一次正常数据写入</t>
  </si>
  <si>
    <t>hld_epb_RelayCoilPowSuppSateDetected</t>
  </si>
  <si>
    <t>EPB relay coil power supply difference fault</t>
  </si>
  <si>
    <t>主辅MCU 检测到的继电器线圈供电状态不同</t>
  </si>
  <si>
    <t>1154</t>
  </si>
  <si>
    <t>主辅MCU检测到继电器线圈供电状态不一致，并持续10个周期</t>
  </si>
  <si>
    <t>主辅MCU检测到继电器线圈供电状态一致</t>
  </si>
  <si>
    <t>hld_epb_TiltCalExcLim</t>
  </si>
  <si>
    <t>EPB inclination calibration exceeded limit</t>
  </si>
  <si>
    <t>EPB倾角标定超限</t>
  </si>
  <si>
    <t>1155</t>
  </si>
  <si>
    <t>未出现倾角传感器测试失败故障</t>
  </si>
  <si>
    <t>标定时，数据超过5%</t>
  </si>
  <si>
    <t>完成一次正常标定</t>
  </si>
  <si>
    <t>控制器安装位置或标定地面位置坡度太大</t>
  </si>
  <si>
    <t>安装位置加垫片或者换场地标定</t>
  </si>
  <si>
    <t>hld_epb_TheIgnStateNotMatch</t>
  </si>
  <si>
    <t>EPB hard wire and the CAN ignition status does not match</t>
  </si>
  <si>
    <t>来自硬线点火状态和CAN线点火状态不匹配</t>
  </si>
  <si>
    <t>1156</t>
  </si>
  <si>
    <t>无BUS OFF故障
IG OFF-&gt;ON delay 3000ms</t>
  </si>
  <si>
    <t>ECU采集到的硬件点火状态和接收到CAN总线发送的点火状态不一致，持续5s</t>
  </si>
  <si>
    <t>ECU采集到的硬件点火状态和接收到CAN总线发送的点火状态不一致</t>
  </si>
  <si>
    <t>CAN线信号发送故障；硬件点火信号线发生故障；ECU发生故障；接插件虚接</t>
  </si>
  <si>
    <t>检查线束、对应控制器、ECU或者更换</t>
  </si>
  <si>
    <t>hld_epb_MaliOpeFlt</t>
  </si>
  <si>
    <t>EPB operation too often</t>
  </si>
  <si>
    <t>恶意操作故障</t>
  </si>
  <si>
    <t>1157</t>
  </si>
  <si>
    <t>开关无故障</t>
  </si>
  <si>
    <t>10s内操作30次开关释放</t>
  </si>
  <si>
    <t>等待一分钟</t>
  </si>
  <si>
    <t>频繁操作执行器开关</t>
  </si>
  <si>
    <t>hld_epb_TiltSenTesFail</t>
  </si>
  <si>
    <t>EPB inclination sensor test failure</t>
  </si>
  <si>
    <t>倾角传感器测试失败故障</t>
  </si>
  <si>
    <t>1158</t>
  </si>
  <si>
    <t>倾角传感器输出值超范围（超出±1024），持续十个周期</t>
  </si>
  <si>
    <t>倾角传感器输出值在规定范围之内</t>
  </si>
  <si>
    <t>倾角传感器损坏或ECU控制器损坏</t>
  </si>
  <si>
    <t>hld_epb_VCUNodeLoss</t>
  </si>
  <si>
    <t>EPB VCU node lost</t>
  </si>
  <si>
    <t>VCU节点丢失</t>
  </si>
  <si>
    <t>1159</t>
  </si>
  <si>
    <t>此节点所有报文连续10个报文周期时间未收到信号</t>
  </si>
  <si>
    <t>VCU信号接收正常</t>
  </si>
  <si>
    <t>相关ECU通讯异常、CAN总线短路或断路、相关ECU休眠但EPB控制器仍在工作、相关ECU总成损坏</t>
  </si>
  <si>
    <r>
      <rPr>
        <sz val="8"/>
        <color rgb="FF000000"/>
        <rFont val="宋体"/>
        <family val="3"/>
        <charset val="134"/>
      </rPr>
      <t>检查相关</t>
    </r>
    <r>
      <rPr>
        <sz val="8"/>
        <color rgb="FF000000"/>
        <rFont val="Arial"/>
        <family val="2"/>
      </rPr>
      <t>ECU</t>
    </r>
    <r>
      <rPr>
        <sz val="8"/>
        <color rgb="FF000000"/>
        <rFont val="宋体"/>
        <family val="3"/>
        <charset val="134"/>
      </rPr>
      <t>通讯</t>
    </r>
    <r>
      <rPr>
        <sz val="8"/>
        <color rgb="FF000000"/>
        <rFont val="Arial"/>
        <family val="2"/>
      </rPr>
      <t>CAN</t>
    </r>
    <r>
      <rPr>
        <sz val="8"/>
        <color rgb="FF000000"/>
        <rFont val="宋体"/>
        <family val="3"/>
        <charset val="134"/>
      </rPr>
      <t>总线线束、修理或更换相关</t>
    </r>
    <r>
      <rPr>
        <sz val="8"/>
        <color rgb="FF000000"/>
        <rFont val="Arial"/>
        <family val="2"/>
      </rPr>
      <t>ECU</t>
    </r>
  </si>
  <si>
    <t>hld_epb_DMCUNodeLoss</t>
  </si>
  <si>
    <t>EPB DMCU node lost</t>
  </si>
  <si>
    <t>DMCU节点丢失</t>
  </si>
  <si>
    <t>1160</t>
  </si>
  <si>
    <t>DMCU信号接收正常</t>
  </si>
  <si>
    <t>hld_LC_Leftturninputsignalerror</t>
  </si>
  <si>
    <t>%LC Left turn input signal error</t>
  </si>
  <si>
    <t>左转向输入信号错误</t>
  </si>
  <si>
    <t>1401</t>
  </si>
  <si>
    <t>车灯控制器继电器闭合</t>
  </si>
  <si>
    <t>hld_LC_Rightturninputsignalerror</t>
  </si>
  <si>
    <t>%LC Right turn input signal error</t>
  </si>
  <si>
    <t>右转向输入信号错误</t>
  </si>
  <si>
    <t>1402</t>
  </si>
  <si>
    <t>hld_LC_CANmalfunction</t>
  </si>
  <si>
    <t>LC CAN communication failure</t>
  </si>
  <si>
    <t>CAN通讯故障</t>
  </si>
  <si>
    <t>1403</t>
  </si>
  <si>
    <t>车辆处于通电/启动状态</t>
  </si>
  <si>
    <t>CAN总线信号丢失、电压超出正常阈值</t>
  </si>
  <si>
    <t>车辆供电系统恢复正常，CAN总线线路无短路/断路</t>
  </si>
  <si>
    <t>供电电压大于9V，CAN总线信号恢复正常传输</t>
  </si>
  <si>
    <t>故障持续时间超过30秒且信号稳定后自动恢复</t>
  </si>
  <si>
    <t>故障排除后，通过诊断仪手动清除或重启车辆自动清除</t>
  </si>
  <si>
    <t>灯光异常</t>
  </si>
  <si>
    <t>1. CAN线束老化破损导致短路/断路；2. 终端电阻损坏；3. ECU模块故障</t>
  </si>
  <si>
    <t>1. 检查CAN线束，更换破损线束；2. 检测终端电阻，更换损坏的电阻；3. 用诊断仪读取ECU故障码，必要时重刷程序或更换ECU</t>
  </si>
  <si>
    <t>hld_LC_LINmalfunction</t>
  </si>
  <si>
    <t>LC Lin communication failure</t>
  </si>
  <si>
    <t>Lin通讯故障</t>
  </si>
  <si>
    <t>1404</t>
  </si>
  <si>
    <t>Lin总线信号丢失、电压超出正常阈值</t>
  </si>
  <si>
    <t>车辆供电系统恢复正常，Lin总线线路无短路/断路</t>
  </si>
  <si>
    <t>供电电压大于9V，Lin总线信号恢复正常传输</t>
  </si>
  <si>
    <t>1. Lin总线线路短路/断路；2. Lin通讯模块硬件损坏；3. 供电电压异常干扰通讯</t>
  </si>
  <si>
    <t>1. 检查Lin总线线路连接情况，排查短路、断路点；2. 检测Lin通讯模块供电电压是否正常；3. 若线路正常，更换通讯模块</t>
  </si>
  <si>
    <t>hld_LC_Leftfrontlamppowerfailure</t>
  </si>
  <si>
    <t>LC Left front combination lamp power failure</t>
  </si>
  <si>
    <t>左前组合灯电源故障</t>
  </si>
  <si>
    <t>1405</t>
  </si>
  <si>
    <t>车辆处于通电/启动状态，车灯控制器继电器闭合，LIN通讯总线正常</t>
  </si>
  <si>
    <t>左前组合灯供电电压低于9V或高于16V，超出正常工作范围</t>
  </si>
  <si>
    <t>车辆供电系统恢复正常，左前组合灯供电线路无短路/断路</t>
  </si>
  <si>
    <t>供电电压稳定在9V-16V之间，左前组合灯各灯光功能正常工作</t>
  </si>
  <si>
    <t>故障持续时间超过30秒且电压恢复正常后自动恢复</t>
  </si>
  <si>
    <t>故障排除后，重启车辆或通过诊断仪手动清除</t>
  </si>
  <si>
    <t>1. 供电线路松动、虚接；2. 相关保险丝熔断；3. 电源模块故障</t>
  </si>
  <si>
    <t>1. 检查左前组合灯供电线路连接情况，排查松动、虚接点；2. 检测相关保险丝是否熔断，必要时更换；3. 测试电源模块输出电压，若异常则更换模块</t>
  </si>
  <si>
    <t>hld_LC_Leftfrontlamphighbeammalfunction</t>
  </si>
  <si>
    <t>LC Left front combination lamp high beam failure</t>
  </si>
  <si>
    <t>左前组合灯远光灯故障</t>
  </si>
  <si>
    <t>1406</t>
  </si>
  <si>
    <t>左前远光灯处于可控制状态，车灯控制器继电器闭合，LIN通讯总线正常</t>
  </si>
  <si>
    <t>发出开启/关闭指令后，系统检测到远光灯状态与指令不符；或远光灯常亮/常灭且未收到对应指令</t>
  </si>
  <si>
    <t>左前远光灯控制线路正常，无短路/断路，供电电压正常</t>
  </si>
  <si>
    <t>执行控制指令后，远光灯实际状态与指令一致，系统检测信号正常</t>
  </si>
  <si>
    <t>故障持续时间超过2分钟且状态恢复正常后自动恢复</t>
  </si>
  <si>
    <t>1. 远光灯控制线路故障；2. 远光灯开关或控制模块故障</t>
  </si>
  <si>
    <t>1. 检查远光灯控制线路通断情况；2. 测试远光灯开关信号及控制模块功能，必要时更换</t>
  </si>
  <si>
    <t>hld_LC_Leftfrontlampturnsignalmalfunction</t>
  </si>
  <si>
    <t>LC Left front combination light turn signal failure</t>
  </si>
  <si>
    <t>左前组合灯转向灯故障</t>
  </si>
  <si>
    <t>1407</t>
  </si>
  <si>
    <t>车辆处于通电状态，转向灯控制模块就绪，LIN通讯总线正常</t>
  </si>
  <si>
    <t>操作左转向灯开关后，系统未检测到转向灯信号；或未操作开关时，系统持续检测到转向灯信号</t>
  </si>
  <si>
    <t>左前转向灯控制线路正常，供电电压正常，转向灯开关功能正常</t>
  </si>
  <si>
    <t>操作转向灯开关后，系统能正常检测到信号，转向灯实际工作状态与指令一致</t>
  </si>
  <si>
    <t>故障持续时间超过30秒且信号恢复正常后自动恢复</t>
  </si>
  <si>
    <t>故障排除后，重启车辆自动清除</t>
  </si>
  <si>
    <t>1. 转向灯线路短路/断路；2. 转向灯开关故障；3. 转向灯控制模块故障</t>
  </si>
  <si>
    <t>1. 检查左前转向灯控制线路连接情况；2. 测试转向灯开关信号是否正常；3. 检测转向灯控制模块功能，必要时更换</t>
  </si>
  <si>
    <t>hld_LC_Leftfrontlamplowbeamfult</t>
  </si>
  <si>
    <t>LC Left front combination lamp low beam fault</t>
  </si>
  <si>
    <t>左前组合灯近光故障</t>
  </si>
  <si>
    <t>1408</t>
  </si>
  <si>
    <t>左前近光灯处于可控制状态，车灯控制器继电器闭合，LIN通讯总线正常</t>
  </si>
  <si>
    <t>发出开启/关闭指令后，系统检测到近光灯状态与指令不符；或近光灯常亮/常灭且未收到对应指令</t>
  </si>
  <si>
    <t>左前近光灯控制线路正常，无短路/断路，供电电压正常</t>
  </si>
  <si>
    <t>执行控制指令后，近光灯实际状态与指令一致，系统检测信号正常</t>
  </si>
  <si>
    <t>1. 近光灯控制线路故障；2. 近光灯开关或控制模块故障</t>
  </si>
  <si>
    <t>1. 检查近光灯控制线路通断情况；2. 测试近光灯开关信号及控制模块功能，必要时更换</t>
  </si>
  <si>
    <t>hld_LC_Leftfrontlampdaytimelightmalfunction</t>
  </si>
  <si>
    <t>LC Left front combination lamp daytime running lamp failure</t>
  </si>
  <si>
    <t>左前组合灯日行灯故障</t>
  </si>
  <si>
    <t>1409</t>
  </si>
  <si>
    <t>车辆处于通电状态，日行灯控制模块就绪，LIN通讯总线正常</t>
  </si>
  <si>
    <t>车辆启动后，系统未检测到日行灯点亮信号；或未收到关闭指令时，日行灯持续熄灭</t>
  </si>
  <si>
    <t>左前日行灯控制线路正常，供电电压正常，日行灯控制模块功能正常</t>
  </si>
  <si>
    <t>车辆启动后，日行灯正常点亮，系统检测信号正常</t>
  </si>
  <si>
    <t>1. 日行灯线路短路/断路；2. 日行灯控制模块故障</t>
  </si>
  <si>
    <t>1. 检查左前日行灯控制线路连接情况；2. 测试日行灯控制模块功能，必要时更换</t>
  </si>
  <si>
    <t>hld_LC_Rightfrontlamphighbeammalfunction</t>
  </si>
  <si>
    <t>LC Right front combination lamp high beam failure</t>
  </si>
  <si>
    <t>右前组合灯远光故障</t>
  </si>
  <si>
    <t>1410</t>
  </si>
  <si>
    <t>右前远光灯处于可控制状态，车灯控制器继电器闭合，LIN通讯总线正常</t>
  </si>
  <si>
    <t>右前远光灯控制线路正常，无短路/断路，供电电压正常</t>
  </si>
  <si>
    <t>hld_LC_Rightfrontlamppowerfailure</t>
  </si>
  <si>
    <t>LC Right front combination lamp power failure</t>
  </si>
  <si>
    <t>右前组合灯电源故障</t>
  </si>
  <si>
    <t>1411</t>
  </si>
  <si>
    <t>右前组合灯供电电压低于9V或高于16V，超出正常工作范围</t>
  </si>
  <si>
    <t>车辆供电系统恢复正常，右前组合灯供电线路无短路/断路</t>
  </si>
  <si>
    <t>供电电压稳定在9V-16V之间，右前组合灯各灯光功能正常工作</t>
  </si>
  <si>
    <t>1. 检查右前组合灯供电线路连接情况，排查松动、虚接点；2. 检测相关保险丝是否熔断，必要时更换；3. 测试电源模块输出电压，若异常则更换模块</t>
  </si>
  <si>
    <t>hld_LC_Rightfrontlampturnsignalmalfunction</t>
  </si>
  <si>
    <t>LC Right front combination light turn signal failure</t>
  </si>
  <si>
    <t>右前组合灯转向灯故障</t>
  </si>
  <si>
    <t>1412</t>
  </si>
  <si>
    <t>操作右转向灯开关后，系统未检测到转向灯信号；或未操作开关时，系统持续检测到转向灯信号</t>
  </si>
  <si>
    <t>右前转向灯控制线路正常，供电电压正常，转向灯开关功能正常</t>
  </si>
  <si>
    <t>1. 检查右前转向灯控制线路连接情况；2. 测试转向灯开关信号是否正常；3. 检测转向灯控制模块功能，必要时更换</t>
  </si>
  <si>
    <t>hld_LC_Rightfrontlamplowbeamfult</t>
  </si>
  <si>
    <t>LC Right front combination lamp low beam failure</t>
  </si>
  <si>
    <t>右前组合灯近光故障</t>
  </si>
  <si>
    <t>1413</t>
  </si>
  <si>
    <t>右前近光灯处于可控制状态，车灯控制器继电器闭合，LIN通讯总线正常</t>
  </si>
  <si>
    <t>右前近光灯控制线路正常，无短路/断路，供电电压正常</t>
  </si>
  <si>
    <t>hld_LC_Rightfrontlampdaytimelightmalfunction</t>
  </si>
  <si>
    <t>LC Right front combination lamp daytime running lamp failure</t>
  </si>
  <si>
    <t>右前组合灯日行灯故障</t>
  </si>
  <si>
    <t>1414</t>
  </si>
  <si>
    <t>右前日行灯控制线路正常，供电电压正常，日行灯控制模块功能正常</t>
  </si>
  <si>
    <t>1. 检查右前日行灯控制线路连接情况；2. 测试日行灯控制模块功能，必要时更换</t>
  </si>
  <si>
    <t>hld_LC_Frontthroughlightpowerfult</t>
  </si>
  <si>
    <t>LC Front through-light power failure</t>
  </si>
  <si>
    <t>车前贯穿灯电源故障</t>
  </si>
  <si>
    <t>1415</t>
  </si>
  <si>
    <t>车前贯穿灯供电电压低于9V或高于16V，超出正常工作范围</t>
  </si>
  <si>
    <t>车辆供电系统恢复正常，车前贯穿灯供电线路无短路/断路，LIN通讯信号正常</t>
  </si>
  <si>
    <t>供电电压稳定在9V-16V之间，车前贯穿灯各灯光功能正常工作，LIN总线无异常报文</t>
  </si>
  <si>
    <t>故障持续时间超过30秒且电压恢复正常、LIN通讯无异常后自动恢复</t>
  </si>
  <si>
    <t>1. 供电线路松动、虚接；2. 相关保险丝熔断；3. 电源模块故障；</t>
  </si>
  <si>
    <t>1. 检查车前贯穿灯供电线路连接情况，排查松动、虚接点；2. 检测相关保险丝是否熔断，必要时更换；3. 测试电源模块输出电压，若异常则更换模块；</t>
  </si>
  <si>
    <t>hld_LC_Frontthroughlightfult</t>
  </si>
  <si>
    <t>LC Front through-light failure</t>
  </si>
  <si>
    <t>车前贯穿灯故障</t>
  </si>
  <si>
    <t>1416</t>
  </si>
  <si>
    <t>车前贯穿灯处于可控制状态，车灯控制器继电器闭合，LIN通讯总线正常</t>
  </si>
  <si>
    <t>发出开启/关闭指令后，系统检测到贯穿灯状态与指令不符；或贯穿灯常亮/常灭且未收到对应指令；或LIN总线检测到灯组控制模块异常报文</t>
  </si>
  <si>
    <t>车前贯穿灯控制线路正常，无短路/断路，供电电压正常，LIN通讯信号正常</t>
  </si>
  <si>
    <t>执行控制指令后，贯穿灯实际状态与指令一致，系统检测信号正常，LIN总线无异常报文</t>
  </si>
  <si>
    <t>故障持续时间超过2分钟且状态恢复正常、LIN通讯无异常后自动恢复</t>
  </si>
  <si>
    <t>1. 贯穿灯控制线路故障；2. 贯穿灯控制模块故障；3. LIN通讯线路断路/短路</t>
  </si>
  <si>
    <t>1. 检查贯穿灯控制线路通断情况；2. 测试贯穿灯控制模块功能，必要时更换；3. 检测LIN通讯线路，修复断路/短路点</t>
  </si>
  <si>
    <t>hld_LC_Logolightpowerfult</t>
  </si>
  <si>
    <t>LC Logo light power failure</t>
  </si>
  <si>
    <t>Logo灯电源故障</t>
  </si>
  <si>
    <t>1417</t>
  </si>
  <si>
    <t>车辆处于通电状态，Logo灯控制器就绪，LIN通讯总线正常</t>
  </si>
  <si>
    <t>Logo灯控制器就绪，LIN通讯总线正常 Logo灯供电电压低于9V或高于16V，超出正常工作范围；</t>
  </si>
  <si>
    <t>车辆供电系统恢复正常，Logo灯供电线路无短路/断路</t>
  </si>
  <si>
    <t>供电电压稳定在9V-16V之间，Logo灯正常点亮</t>
  </si>
  <si>
    <t>1. 检查Logo灯供电线路连接情况，排查松动、虚接点；2. 检测相关保险丝是否熔断，必要时更换；3. 测试电源模块输出电压，若异常则更换模块；</t>
  </si>
  <si>
    <t>LC Logo light failure</t>
  </si>
  <si>
    <t>Logo灯故障</t>
  </si>
  <si>
    <t>1418</t>
  </si>
  <si>
    <t>Logo灯处于可控制状态，车灯控制器继电器闭合，LIN通讯总线正常</t>
  </si>
  <si>
    <t>发出开启/关闭指令后，系统检测到Logo灯状态与指令不符；或Logo灯常亮/常灭且未收到对应指令；或LIN总线检测到灯组控制模块异常报文</t>
  </si>
  <si>
    <t>Logo灯控制线路正常，无短路/断路，供电电压正常，LIN通讯信号正常</t>
  </si>
  <si>
    <t>执行控制指令后，Logo灯实际状态与指令一致，系统检测信号正常，LIN总线无异常报文</t>
  </si>
  <si>
    <t>1. Logo灯控制线路故障；2. Logo灯控制模块故障；3. LIN通讯线路断路/短路</t>
  </si>
  <si>
    <t>1. 检查Logo灯控制线路通断情况；2. 测试Logo灯控制模块功能，必要时更换；3. 检测LIN通讯线路，修复断路/短路点</t>
  </si>
  <si>
    <t>hld_LC_Rearthroughlightpowerfult</t>
  </si>
  <si>
    <t>LC Rear penetration lamp power failure</t>
  </si>
  <si>
    <t>车后贯穿灯电源故障</t>
  </si>
  <si>
    <t>1419</t>
  </si>
  <si>
    <t>车后贯穿灯供电电压低于9V或高于16V，超出正常工作范围；</t>
  </si>
  <si>
    <t>车辆供电系统恢复正常，车后贯穿灯供电线路无短路/断路，LIN通讯信号正常；</t>
  </si>
  <si>
    <t>供电电压稳定在9V-16V之间，车后贯穿灯各灯光功能正常工作，LIN总线无异常报文</t>
  </si>
  <si>
    <t>1. 检查车后贯穿灯供电线路连接情况，排查松动、虚接点；2. 检测相关保险丝是否熔断，必要时更换；3. 测试电源模块输出电压，若异常则更换模块；</t>
  </si>
  <si>
    <t>hld_LC_Rearthroughlightfult</t>
  </si>
  <si>
    <t>LC Rear through-light failure</t>
  </si>
  <si>
    <t>车后贯穿灯故障</t>
  </si>
  <si>
    <t>1420</t>
  </si>
  <si>
    <t>车后贯穿灯处于可控制状态，车灯控制器继电器闭合，LIN通讯总线正常</t>
  </si>
  <si>
    <t>车后贯穿灯控制线路正常，无短路/断路，供电电压正常，LIN通讯信号正常</t>
  </si>
  <si>
    <t>1 贯穿灯控制线路故障；2. 贯穿灯控制模块故障；3. LIN通讯线路断路/短路</t>
  </si>
  <si>
    <t>1 检查贯穿灯控制线路通断情况；2. 测试贯穿灯控制模块功能，必要时更换；3. 检测LIN通讯线路，修复断路/短路点</t>
  </si>
  <si>
    <t>hld_LC_Leftrearlampturnsignalfult</t>
  </si>
  <si>
    <t>LC Left rear combination light turn signal failure</t>
  </si>
  <si>
    <t>左后组合灯转向灯故障</t>
  </si>
  <si>
    <t>1421</t>
  </si>
  <si>
    <t>操作左转向灯开关后，系统未检测到转向灯信号；或未操作开关时，系统持续检测到转向灯信号；或LIN总线检测到转向灯控制模块异常报文</t>
  </si>
  <si>
    <t>左后组合灯转向灯控制线路正常，供电电压正常，转向灯开关功能正常，LIN通讯信号正常</t>
  </si>
  <si>
    <t>操作转向灯开关后，系统能正常检测到信号，转向灯实际工作状态与指令一致，LIN总线无异常报文</t>
  </si>
  <si>
    <t>故障持续时间超过30秒且信号恢复正常、LIN通讯无异常后自动恢复</t>
  </si>
  <si>
    <t>1. 转向灯开关故障；2. 转向灯控制模块故障；3. LIN通讯线路断路/短路</t>
  </si>
  <si>
    <t>1. 测试转向灯开关信号是否正常；2 检测转向灯控制模块功能，必要时更换；3. 检测LIN通讯线路，修复断路/短路点</t>
  </si>
  <si>
    <t>hld_LC_Leftrearlightbrakelightfult</t>
  </si>
  <si>
    <t>LC Left rear combination light brake light failure</t>
  </si>
  <si>
    <t>左后组合灯刹车灯故障</t>
  </si>
  <si>
    <t>1422</t>
  </si>
  <si>
    <t>车辆处于通电状态，刹车灯控制模块就绪，LIN通讯总线正常</t>
  </si>
  <si>
    <t>踩下刹车后，系统未检测到刹车灯点亮信号；或未踩刹车时，系统持续检测到刹车灯点亮信号；或LIN总线检测到刹车灯控制模块异常报文</t>
  </si>
  <si>
    <t>左后组合灯刹车灯控制线路正常，供电电压正常，刹车灯开关功能正常，LIN通讯信号正常</t>
  </si>
  <si>
    <t>踩下刹车后，刹车灯正常点亮，系统检测信号正常，LIN总线无异常报文</t>
  </si>
  <si>
    <t>1. 刹车灯控制模块故障；2. LIN通讯线路断路/短路</t>
  </si>
  <si>
    <t>1 检测刹灯控制模块功能，必要时更换；2. 检测LIN通讯线路，修复断路/短路点</t>
  </si>
  <si>
    <t>hld_LC_LeftrearlightReverselightfult</t>
  </si>
  <si>
    <t>LC Left rear combination lamp reversing lamp failure</t>
  </si>
  <si>
    <t>左后组合灯倒车灯故障</t>
  </si>
  <si>
    <t>1423</t>
  </si>
  <si>
    <t>车辆处于通电状态，倒车灯控制模块就绪，LIN通讯总线正常</t>
  </si>
  <si>
    <t>挂入倒车挡后，系统未检测到倒车灯点亮信号；或未挂入倒车挡时，系统持续检测到倒车灯点亮信号；或LIN总线检测到倒车灯控制模块异常报文</t>
  </si>
  <si>
    <t>左后组合灯倒车灯控制线路正常，供电电压正常，倒车挡信号正常，LIN通讯信号正常</t>
  </si>
  <si>
    <t>挂入倒车挡后，倒车灯正常点亮，系统检测信号正常，LIN总线无异常报文</t>
  </si>
  <si>
    <t>1. 倒车灯控制模块故障；2. LIN通讯线路断路/短路</t>
  </si>
  <si>
    <t>1. 测试倒车灯控制模块功能，必要时更换；2. 检测LIN通讯线路，修复断路/短路点</t>
  </si>
  <si>
    <t>hld_LC_Leftrearlightpositionlightfult</t>
  </si>
  <si>
    <t>LC Left rear combination lamp position lamp failure</t>
  </si>
  <si>
    <t>左后组合灯位置灯故障</t>
  </si>
  <si>
    <t>1424</t>
  </si>
  <si>
    <t>车辆处于通电状态，位置灯控制模块就绪，LIN通讯总线正常</t>
  </si>
  <si>
    <t>开启位置灯后，系统未检测到位置灯点亮信号；或未开启位置灯时，系统持续检测到位置灯点亮信号；或LIN总线检测到位置灯控制模块异常报文</t>
  </si>
  <si>
    <t>左后组合灯位置灯控制线路正常，供电电压正常，位置灯开关功能正常，LIN通讯信号正常</t>
  </si>
  <si>
    <t>开启位置灯后，位置灯正常点亮，系统检测信号正常，LIN总线无异常报文</t>
  </si>
  <si>
    <t>1. 位置灯控制模块故障；2. LIN通讯线路断路/短路</t>
  </si>
  <si>
    <t>1. 测试位置灯控制模块功能，必要时更换；2. 检测LIN通讯线路，修复断路/短路点</t>
  </si>
  <si>
    <t>hld_LC_Rightrearlampturnsignalfult</t>
  </si>
  <si>
    <t>LC Right rear combination light turn signal failure</t>
  </si>
  <si>
    <t>右后组合灯转向灯故障</t>
  </si>
  <si>
    <t>1425</t>
  </si>
  <si>
    <t>操作右转向灯开关后，系统未检测到转向灯信号；或未操作开关时，系统持续检测到转向灯信号；或LIN总线检测到转向灯控制模块异常报文</t>
  </si>
  <si>
    <t>右后组合灯转向灯控制线路正常，供电电压正常，转向灯开关功能正常，LIN通讯信号正常</t>
  </si>
  <si>
    <t>hld_LC_Rightrearlightbrakelightfult</t>
  </si>
  <si>
    <t>LC Right rear combination light brake light failure</t>
  </si>
  <si>
    <t>右后组合灯刹车灯故障</t>
  </si>
  <si>
    <t>1426</t>
  </si>
  <si>
    <t>右后组合灯刹车灯控制线路正常，供电电压正常，刹车灯开关功能正常，LIN通讯信号正常</t>
  </si>
  <si>
    <t>hld_LC_RightrearlightReverselightfult</t>
  </si>
  <si>
    <t>LC Right rear combination lamp reversing lamp failure</t>
  </si>
  <si>
    <t>右后组合灯倒车灯故障</t>
  </si>
  <si>
    <t>1427</t>
  </si>
  <si>
    <t>右后组合灯倒车灯控制线路正常，供电电压正常，倒车挡信号正常，LIN通讯信号正常</t>
  </si>
  <si>
    <t>hld_LC_Rightrearlightpositionlightfult</t>
  </si>
  <si>
    <t>LC Right rear combination lamp position lamp failure</t>
  </si>
  <si>
    <t>右后组合灯位置灯故障</t>
  </si>
  <si>
    <t>1428</t>
  </si>
  <si>
    <t>右后组合灯位置灯控制线路正常，供电电压正常，位置灯开关功能正常，LIN通讯信号正常</t>
  </si>
  <si>
    <t>hld_LC_Leftspotlightfult</t>
  </si>
  <si>
    <t>LC Left spotlight failure</t>
  </si>
  <si>
    <t>左射灯故障</t>
  </si>
  <si>
    <t>1429</t>
  </si>
  <si>
    <t>车辆处于通电状态，射灯控制模块就绪，LIN通讯总线正常</t>
  </si>
  <si>
    <t>发出开启/关闭指令后，系统检测到射灯状态与指令不符；或射灯常亮/常灭且未收到对应指令；或LIN总线检测到射灯控制模块异常报文</t>
  </si>
  <si>
    <t>左射灯控制线路正常，无短路/断路，供电电压正常，LIN通讯信号正常</t>
  </si>
  <si>
    <t>执行控制指令后，射灯实际状态与指令一致，系统检测信号正常，LIN总线无异常报文</t>
  </si>
  <si>
    <t>1. 射灯控制模块故障；2. LIN通讯线路断路/短路</t>
  </si>
  <si>
    <t>1. 测试射灯控制模块功能，必要时更换；2. 检测LIN通讯线路，修复断路/短路点</t>
  </si>
  <si>
    <t>hld_LC_Rightspotlightfult</t>
  </si>
  <si>
    <t>LC Right spotlight failure</t>
  </si>
  <si>
    <t>右射灯故障</t>
  </si>
  <si>
    <t>1430</t>
  </si>
  <si>
    <t>右射灯控制线路正常，无短路/断路，供电电压正常，LIN通讯信号正常</t>
  </si>
  <si>
    <t>hld_LC_Trailerinterfaceshortcircuitfault</t>
  </si>
  <si>
    <t>LC Trailer interface short circuit fault</t>
  </si>
  <si>
    <t>拖车接口短路故障</t>
  </si>
  <si>
    <t>1431</t>
  </si>
  <si>
    <t>车辆处于通电状态，拖车接口控制模块就绪，LIN通讯总线正常</t>
  </si>
  <si>
    <t>检测到拖车接口供电线路电压异常波动，超出9V-16V正常工作范围；</t>
  </si>
  <si>
    <t>拖车接口供电线路无短路/断路，供电电压正常，LIN通讯信号正常</t>
  </si>
  <si>
    <t>供电电压稳定在9V-16V之间，拖车接口各功能信号传输正常，LIN总线无异常报文</t>
  </si>
  <si>
    <t>1. 拖车接口线路短路；2. 拖车接口端子氧化、虚接；3. 拖车接口控制模块故障；</t>
  </si>
  <si>
    <t>1. 检查拖车接口线路连接情况，排查短路点并修复；2. 清洁拖车接口端子，必要时更换；3. 测试拖车接口控制模块功能，异常则更换；</t>
  </si>
  <si>
    <t>LBMS Pack Temperature Differencee Level2</t>
  </si>
  <si>
    <r>
      <rPr>
        <sz val="10"/>
        <color rgb="FF000000"/>
        <rFont val="Arial"/>
        <family val="2"/>
      </rPr>
      <t xml:space="preserve">Pack Temperature Differencee Level2
</t>
    </r>
    <r>
      <rPr>
        <sz val="10"/>
        <color rgb="FF000000"/>
        <rFont val="宋体"/>
        <family val="3"/>
        <charset val="134"/>
      </rPr>
      <t>温差过大</t>
    </r>
    <r>
      <rPr>
        <sz val="10"/>
        <color rgb="FF000000"/>
        <rFont val="Arial"/>
        <family val="2"/>
      </rPr>
      <t>2</t>
    </r>
    <r>
      <rPr>
        <sz val="10"/>
        <color rgb="FF000000"/>
        <rFont val="宋体"/>
        <family val="3"/>
        <charset val="134"/>
      </rPr>
      <t>级</t>
    </r>
  </si>
  <si>
    <t>LBMS Pack Temperature Differencee Level1</t>
  </si>
  <si>
    <r>
      <rPr>
        <sz val="10"/>
        <color rgb="FF000000"/>
        <rFont val="Arial"/>
        <family val="2"/>
      </rPr>
      <t xml:space="preserve">Pack Temperature Differencee Level1
</t>
    </r>
    <r>
      <rPr>
        <sz val="10"/>
        <color rgb="FF000000"/>
        <rFont val="宋体"/>
        <family val="3"/>
        <charset val="134"/>
      </rPr>
      <t>温差过大</t>
    </r>
    <r>
      <rPr>
        <sz val="10"/>
        <color rgb="FF000000"/>
        <rFont val="Arial"/>
        <family val="2"/>
      </rPr>
      <t>1</t>
    </r>
    <r>
      <rPr>
        <sz val="10"/>
        <color rgb="FF000000"/>
        <rFont val="宋体"/>
        <family val="3"/>
        <charset val="134"/>
      </rPr>
      <t>级</t>
    </r>
  </si>
  <si>
    <t>LBMS Large static pressure difference</t>
  </si>
  <si>
    <r>
      <rPr>
        <sz val="10"/>
        <color rgb="FF000000"/>
        <rFont val="Arial"/>
        <family val="2"/>
      </rPr>
      <t xml:space="preserve">Large static pressure difference
</t>
    </r>
    <r>
      <rPr>
        <sz val="10"/>
        <color rgb="FF000000"/>
        <rFont val="宋体"/>
        <family val="3"/>
        <charset val="134"/>
      </rPr>
      <t>静态压差大</t>
    </r>
  </si>
  <si>
    <t>LBMS Pack Internal Short Circuit</t>
  </si>
  <si>
    <r>
      <rPr>
        <sz val="10"/>
        <color rgb="FF000000"/>
        <rFont val="Arial"/>
        <family val="2"/>
      </rPr>
      <t xml:space="preserve">Pack Internal Short Circuit
</t>
    </r>
    <r>
      <rPr>
        <sz val="10"/>
        <color rgb="FF000000"/>
        <rFont val="宋体"/>
        <family val="3"/>
        <charset val="134"/>
      </rPr>
      <t>蓄电池内部短路</t>
    </r>
  </si>
  <si>
    <t>LBMS Battery SOH Too Low</t>
  </si>
  <si>
    <r>
      <rPr>
        <sz val="10"/>
        <color rgb="FF000000"/>
        <rFont val="Arial"/>
        <family val="2"/>
      </rPr>
      <t xml:space="preserve">Battery SOH Too Low
</t>
    </r>
    <r>
      <rPr>
        <sz val="10"/>
        <color rgb="FF000000"/>
        <rFont val="宋体"/>
        <family val="3"/>
        <charset val="134"/>
      </rPr>
      <t>蓄电池</t>
    </r>
    <r>
      <rPr>
        <sz val="10"/>
        <color rgb="FF000000"/>
        <rFont val="Arial"/>
        <family val="2"/>
      </rPr>
      <t>SOH</t>
    </r>
    <r>
      <rPr>
        <sz val="10"/>
        <color rgb="FF000000"/>
        <rFont val="宋体"/>
        <family val="3"/>
        <charset val="134"/>
      </rPr>
      <t>过低</t>
    </r>
  </si>
  <si>
    <t xml:space="preserve">LBMS Pack  over Temperature Level3 </t>
  </si>
  <si>
    <r>
      <rPr>
        <sz val="10"/>
        <color rgb="FF000000"/>
        <rFont val="Arial"/>
        <family val="2"/>
      </rPr>
      <t xml:space="preserve">Pack  over Temperature Level3  
</t>
    </r>
    <r>
      <rPr>
        <sz val="10"/>
        <color rgb="FF000000"/>
        <rFont val="宋体"/>
        <family val="3"/>
        <charset val="134"/>
      </rPr>
      <t>蓄电池过温二级故障</t>
    </r>
  </si>
  <si>
    <t xml:space="preserve">LBMS Pack  Over Temperature Level3 </t>
  </si>
  <si>
    <r>
      <rPr>
        <sz val="10"/>
        <color rgb="FF000000"/>
        <rFont val="Arial"/>
        <family val="2"/>
      </rPr>
      <t xml:space="preserve">Pack  Over Temperature Level3  
</t>
    </r>
    <r>
      <rPr>
        <sz val="10"/>
        <color rgb="FF000000"/>
        <rFont val="宋体"/>
        <family val="3"/>
        <charset val="134"/>
      </rPr>
      <t>蓄电池过温三级故障</t>
    </r>
  </si>
  <si>
    <t>LBMS Pack Temperature Rise too Fast</t>
  </si>
  <si>
    <r>
      <rPr>
        <sz val="10"/>
        <color rgb="FF000000"/>
        <rFont val="Arial"/>
        <family val="2"/>
      </rPr>
      <t xml:space="preserve">Pack Temperature Rise too Fast
</t>
    </r>
    <r>
      <rPr>
        <sz val="10"/>
        <color rgb="FF000000"/>
        <rFont val="宋体"/>
        <family val="3"/>
        <charset val="134"/>
      </rPr>
      <t>温升速率过快</t>
    </r>
  </si>
  <si>
    <t>LBMS Pack Thermal runaway</t>
  </si>
  <si>
    <r>
      <rPr>
        <sz val="10"/>
        <color rgb="FF000000"/>
        <rFont val="Arial"/>
        <family val="2"/>
      </rPr>
      <t xml:space="preserve">Pack Thermal runaway
</t>
    </r>
    <r>
      <rPr>
        <sz val="10"/>
        <color rgb="FF000000"/>
        <rFont val="宋体"/>
        <family val="3"/>
        <charset val="134"/>
      </rPr>
      <t>蓄电池热失控</t>
    </r>
  </si>
  <si>
    <t>LBMS Discharge short circuit level 3</t>
  </si>
  <si>
    <r>
      <rPr>
        <sz val="10"/>
        <color rgb="FF000000"/>
        <rFont val="Arial"/>
        <family val="2"/>
      </rPr>
      <t xml:space="preserve">Discharge short circuit level 3
</t>
    </r>
    <r>
      <rPr>
        <sz val="10"/>
        <color rgb="FF000000"/>
        <rFont val="宋体"/>
        <family val="3"/>
        <charset val="134"/>
      </rPr>
      <t>放电短路</t>
    </r>
    <r>
      <rPr>
        <sz val="10"/>
        <color rgb="FF000000"/>
        <rFont val="Arial"/>
        <family val="2"/>
      </rPr>
      <t>3</t>
    </r>
    <r>
      <rPr>
        <sz val="10"/>
        <color rgb="FF000000"/>
        <rFont val="宋体"/>
        <family val="3"/>
        <charset val="134"/>
      </rPr>
      <t>级</t>
    </r>
  </si>
  <si>
    <t>LBMS Discharge short circuit level 2</t>
  </si>
  <si>
    <r>
      <rPr>
        <sz val="10"/>
        <color rgb="FF000000"/>
        <rFont val="Arial"/>
        <family val="2"/>
      </rPr>
      <t xml:space="preserve">Discharge short circuit level 2
</t>
    </r>
    <r>
      <rPr>
        <sz val="10"/>
        <color rgb="FF000000"/>
        <rFont val="宋体"/>
        <family val="3"/>
        <charset val="134"/>
      </rPr>
      <t>放电短路</t>
    </r>
    <r>
      <rPr>
        <sz val="10"/>
        <color rgb="FF000000"/>
        <rFont val="Arial"/>
        <family val="2"/>
      </rPr>
      <t>2</t>
    </r>
    <r>
      <rPr>
        <sz val="10"/>
        <color rgb="FF000000"/>
        <rFont val="宋体"/>
        <family val="3"/>
        <charset val="134"/>
      </rPr>
      <t>级</t>
    </r>
  </si>
  <si>
    <t>LBMS Cell Over Level1</t>
  </si>
  <si>
    <r>
      <rPr>
        <sz val="10"/>
        <color rgb="FF000000"/>
        <rFont val="Arial"/>
        <family val="2"/>
      </rPr>
      <t xml:space="preserve">Cell Over Level1
</t>
    </r>
    <r>
      <rPr>
        <sz val="10"/>
        <color rgb="FF000000"/>
        <rFont val="宋体"/>
        <family val="3"/>
        <charset val="134"/>
      </rPr>
      <t>电芯过压一级故障</t>
    </r>
  </si>
  <si>
    <t>LBMS Cell Over Level2</t>
  </si>
  <si>
    <r>
      <rPr>
        <sz val="10"/>
        <color rgb="FF000000"/>
        <rFont val="Arial"/>
        <family val="2"/>
      </rPr>
      <t xml:space="preserve">Cell Over Level2
</t>
    </r>
    <r>
      <rPr>
        <sz val="10"/>
        <color rgb="FF000000"/>
        <rFont val="宋体"/>
        <family val="3"/>
        <charset val="134"/>
      </rPr>
      <t>电芯过压二级故障</t>
    </r>
  </si>
  <si>
    <t>LBMS Cell undervoltage Level1</t>
  </si>
  <si>
    <r>
      <rPr>
        <sz val="10"/>
        <color rgb="FF000000"/>
        <rFont val="Arial"/>
        <family val="2"/>
      </rPr>
      <t xml:space="preserve">Cell undervoltage Level1
</t>
    </r>
    <r>
      <rPr>
        <sz val="10"/>
        <color rgb="FF000000"/>
        <rFont val="宋体"/>
        <family val="3"/>
        <charset val="134"/>
      </rPr>
      <t>电芯欠压一级故障</t>
    </r>
  </si>
  <si>
    <t>LBMS Cell undervoltage Level2</t>
  </si>
  <si>
    <r>
      <rPr>
        <sz val="10"/>
        <color rgb="FF000000"/>
        <rFont val="Arial"/>
        <family val="2"/>
      </rPr>
      <t xml:space="preserve">Cell undervoltage Level2
</t>
    </r>
    <r>
      <rPr>
        <sz val="10"/>
        <color rgb="FF000000"/>
        <rFont val="宋体"/>
        <family val="3"/>
        <charset val="134"/>
      </rPr>
      <t>电芯欠压二级故障</t>
    </r>
  </si>
  <si>
    <t>LBMS Charge  Over Level1</t>
  </si>
  <si>
    <r>
      <rPr>
        <sz val="10"/>
        <color rgb="FF000000"/>
        <rFont val="Arial"/>
        <family val="2"/>
      </rPr>
      <t xml:space="preserve">Charge  Over Level1
</t>
    </r>
    <r>
      <rPr>
        <sz val="10"/>
        <color rgb="FF000000"/>
        <rFont val="宋体"/>
        <family val="3"/>
        <charset val="134"/>
      </rPr>
      <t>充电过流一级故障</t>
    </r>
  </si>
  <si>
    <t>LBMS Charge  Over Level2</t>
  </si>
  <si>
    <r>
      <rPr>
        <sz val="10"/>
        <color rgb="FF000000"/>
        <rFont val="Arial"/>
        <family val="2"/>
      </rPr>
      <t xml:space="preserve">Charge  Over Level2
</t>
    </r>
    <r>
      <rPr>
        <sz val="10"/>
        <color rgb="FF000000"/>
        <rFont val="宋体"/>
        <family val="3"/>
        <charset val="134"/>
      </rPr>
      <t>充电过流二级故障</t>
    </r>
  </si>
  <si>
    <t>LBMS Discharge  Over Level1</t>
  </si>
  <si>
    <r>
      <rPr>
        <sz val="10"/>
        <color rgb="FF000000"/>
        <rFont val="Arial"/>
        <family val="2"/>
      </rPr>
      <t xml:space="preserve">Discharge  Over Level1
</t>
    </r>
    <r>
      <rPr>
        <sz val="10"/>
        <color rgb="FF000000"/>
        <rFont val="宋体"/>
        <family val="3"/>
        <charset val="134"/>
      </rPr>
      <t>放电过流一级故障</t>
    </r>
  </si>
  <si>
    <t>LBMS Discharge  Over Level2</t>
  </si>
  <si>
    <r>
      <rPr>
        <sz val="10"/>
        <color rgb="FF000000"/>
        <rFont val="Arial"/>
        <family val="2"/>
      </rPr>
      <t xml:space="preserve">Discharge  Over Level2
</t>
    </r>
    <r>
      <rPr>
        <sz val="10"/>
        <color rgb="FF000000"/>
        <rFont val="宋体"/>
        <family val="3"/>
        <charset val="134"/>
      </rPr>
      <t>放电过流二级故障</t>
    </r>
  </si>
  <si>
    <t>LBMS Pack Over Level1</t>
  </si>
  <si>
    <r>
      <rPr>
        <sz val="10"/>
        <color rgb="FF000000"/>
        <rFont val="Arial"/>
        <family val="2"/>
      </rPr>
      <t xml:space="preserve">Pack Over Level1
</t>
    </r>
    <r>
      <rPr>
        <sz val="10"/>
        <color rgb="FF000000"/>
        <rFont val="宋体"/>
        <family val="3"/>
        <charset val="134"/>
      </rPr>
      <t>蓄电池过压一级故障</t>
    </r>
  </si>
  <si>
    <t>LBMS Pack Over Level2</t>
  </si>
  <si>
    <r>
      <rPr>
        <sz val="10"/>
        <color rgb="FF000000"/>
        <rFont val="Arial"/>
        <family val="2"/>
      </rPr>
      <t xml:space="preserve">Pack Over Level2
</t>
    </r>
    <r>
      <rPr>
        <sz val="10"/>
        <color rgb="FF000000"/>
        <rFont val="宋体"/>
        <family val="3"/>
        <charset val="134"/>
      </rPr>
      <t>蓄电池过压二级故障</t>
    </r>
  </si>
  <si>
    <t>LBMS Cell over temperature  Level1</t>
  </si>
  <si>
    <r>
      <rPr>
        <sz val="10"/>
        <color rgb="FF000000"/>
        <rFont val="Arial"/>
        <family val="2"/>
      </rPr>
      <t xml:space="preserve">Cell over temperature  Level1
</t>
    </r>
    <r>
      <rPr>
        <sz val="10"/>
        <color rgb="FF000000"/>
        <rFont val="宋体"/>
        <family val="3"/>
        <charset val="134"/>
      </rPr>
      <t>电芯过温故障</t>
    </r>
  </si>
  <si>
    <t>LBMS MOSFET  over Temperature Level1</t>
  </si>
  <si>
    <r>
      <rPr>
        <sz val="10"/>
        <color rgb="FF000000"/>
        <rFont val="Arial"/>
        <family val="2"/>
      </rPr>
      <t>MOSFET  over Temperature Level1
MOS</t>
    </r>
    <r>
      <rPr>
        <sz val="10"/>
        <color rgb="FF000000"/>
        <rFont val="宋体"/>
        <family val="3"/>
        <charset val="134"/>
      </rPr>
      <t>过温故障</t>
    </r>
  </si>
  <si>
    <t>LBMS Cell undervoltage Level3</t>
  </si>
  <si>
    <r>
      <rPr>
        <sz val="10"/>
        <color rgb="FF000000"/>
        <rFont val="Arial"/>
        <family val="2"/>
      </rPr>
      <t xml:space="preserve">Cell undervoltage Level3
</t>
    </r>
    <r>
      <rPr>
        <sz val="10"/>
        <color rgb="FF000000"/>
        <rFont val="宋体"/>
        <family val="3"/>
        <charset val="134"/>
      </rPr>
      <t>蓄电池欠压三级故障</t>
    </r>
  </si>
  <si>
    <t>LBMS Pack Over Level3</t>
  </si>
  <si>
    <r>
      <rPr>
        <sz val="10"/>
        <color rgb="FF000000"/>
        <rFont val="Arial"/>
        <family val="2"/>
      </rPr>
      <t xml:space="preserve">Pack Over Level3
</t>
    </r>
    <r>
      <rPr>
        <sz val="10"/>
        <color rgb="FF000000"/>
        <rFont val="宋体"/>
        <family val="3"/>
        <charset val="134"/>
      </rPr>
      <t>蓄电池过压三级故障</t>
    </r>
  </si>
  <si>
    <r>
      <rPr>
        <sz val="10"/>
        <color rgb="FF000000"/>
        <rFont val="Arial"/>
        <family val="2"/>
      </rPr>
      <t xml:space="preserve">Cell undervoltage Level3
</t>
    </r>
    <r>
      <rPr>
        <sz val="10"/>
        <color rgb="FF000000"/>
        <rFont val="宋体"/>
        <family val="3"/>
        <charset val="134"/>
      </rPr>
      <t>电芯欠压三级故障</t>
    </r>
  </si>
  <si>
    <t>LBMS Cell Over Level3</t>
  </si>
  <si>
    <r>
      <rPr>
        <sz val="10"/>
        <color rgb="FF000000"/>
        <rFont val="Arial"/>
        <family val="2"/>
      </rPr>
      <t xml:space="preserve">Cell Over Level3
</t>
    </r>
    <r>
      <rPr>
        <sz val="10"/>
        <color rgb="FF000000"/>
        <rFont val="宋体"/>
        <family val="3"/>
        <charset val="134"/>
      </rPr>
      <t>电芯过压三级故障</t>
    </r>
  </si>
  <si>
    <t>Winch Motor Stall Fault</t>
  </si>
  <si>
    <t>Winch motor stall failure</t>
  </si>
  <si>
    <t>绞盘电机堵转故障</t>
  </si>
  <si>
    <t>1601</t>
  </si>
  <si>
    <t>绞盘继电器闭合后2s</t>
  </si>
  <si>
    <t>负载过大或电机缺相造成电机堵转</t>
  </si>
  <si>
    <t>绞盘继电器闭合后</t>
  </si>
  <si>
    <t>发送停机指令，清除</t>
  </si>
  <si>
    <t>更换绞盘电机</t>
  </si>
  <si>
    <t>显示一个绞盘系统故障</t>
  </si>
  <si>
    <t>Winch Over Voltage Fault</t>
  </si>
  <si>
    <t>Winch overpressure fault</t>
  </si>
  <si>
    <t>绞盘过压故障</t>
  </si>
  <si>
    <t>1602</t>
  </si>
  <si>
    <t>绞盘继电器闭合后,并且电池电压小于380V</t>
  </si>
  <si>
    <t>母线电压＞DC450V，启动电机时报此故障，停机状态下不报故障</t>
  </si>
  <si>
    <t>电压＜400V,自动清除/发送停机指令，清除</t>
  </si>
  <si>
    <t>更换绞盘控制器</t>
  </si>
  <si>
    <t>Winch Under Voltage Fault</t>
  </si>
  <si>
    <t>Winch undervoltage fault</t>
  </si>
  <si>
    <t>绞盘欠压故障</t>
  </si>
  <si>
    <t>1603</t>
  </si>
  <si>
    <t>绞盘继电器闭合后并且电池电压大于250V</t>
  </si>
  <si>
    <t>母线电压＜DC200V，启动电机时报此故障，停机状态下不报故障</t>
  </si>
  <si>
    <t>电压＞230V,自动清除/发送停机指令，清除</t>
  </si>
  <si>
    <t>绞盘继电器未响应，或电压传感器故障</t>
  </si>
  <si>
    <t>检查PDU内继电器执行情况或更换绞盘控制器</t>
  </si>
  <si>
    <t>Winch Over Current Fault</t>
  </si>
  <si>
    <t>Winch overcurrent fault</t>
  </si>
  <si>
    <t>绞盘过流故障</t>
  </si>
  <si>
    <t>1604</t>
  </si>
  <si>
    <t>电机运行时突然被卡死/IGBT损坏/电机未停稳就再次启动/电机故障</t>
  </si>
  <si>
    <t>电机运行时突然被卡死/IGBT损坏/电机故障</t>
  </si>
  <si>
    <t>Winch Motor Temperature High Fault</t>
  </si>
  <si>
    <t>Winch motor over temperature fault</t>
  </si>
  <si>
    <t>绞盘电机过温故障</t>
  </si>
  <si>
    <t>1605</t>
  </si>
  <si>
    <t>电机线圈温度＞130℃</t>
  </si>
  <si>
    <t>电机温度＜100℃，自动清除，发送停机指令无法清除此故障标志位</t>
  </si>
  <si>
    <t>长时间运转绞盘电机过问或温度传感器故障</t>
  </si>
  <si>
    <t>让绞盘休息冷却或更换温度传感器</t>
  </si>
  <si>
    <t>Winch Controller Temperature High Fault</t>
  </si>
  <si>
    <t>Winch controller IGBT over-temperature fault</t>
  </si>
  <si>
    <t>绞盘 控制器IGBT过温故障</t>
  </si>
  <si>
    <t>1606</t>
  </si>
  <si>
    <t>IGBT温度＞115℃</t>
  </si>
  <si>
    <t>IGBT温度＜85℃，自动清除，发送停机指令无法清除此故障标志位</t>
  </si>
  <si>
    <t>CAN Communication Timeout Fault</t>
  </si>
  <si>
    <t>WinchCAN communication timeout fault</t>
  </si>
  <si>
    <t>CAN 通讯超时故障</t>
  </si>
  <si>
    <t>1607</t>
  </si>
  <si>
    <t>连续5S内未收到CAN通讯</t>
  </si>
  <si>
    <t>CAN线断线或短路或控制器损坏</t>
  </si>
  <si>
    <t>检查CAN线，若CAN线没问题则检查控制器</t>
  </si>
  <si>
    <t>CAN Communication Fault</t>
  </si>
  <si>
    <t>Winch12V power supply failure</t>
  </si>
  <si>
    <t>12V供电故障</t>
  </si>
  <si>
    <t>1608</t>
  </si>
  <si>
    <t>VCU 77号脚输出12V+后，并且DC电压&lt;16V</t>
  </si>
  <si>
    <t>DC12V输入，DC15V输出，隔离DCDC输出异常</t>
  </si>
  <si>
    <t>Compressor Over current</t>
  </si>
  <si>
    <t>压缩机过流</t>
  </si>
  <si>
    <t>1901</t>
  </si>
  <si>
    <t>上高压后</t>
  </si>
  <si>
    <t>相电流峰值大于12A</t>
  </si>
  <si>
    <t>停机时间超过15S</t>
  </si>
  <si>
    <t>压缩机故障</t>
  </si>
  <si>
    <t>更换压缩机</t>
  </si>
  <si>
    <t>Compressor Over Voltage</t>
  </si>
  <si>
    <t>压缩机运行过压</t>
  </si>
  <si>
    <t>1902</t>
  </si>
  <si>
    <t>母线电压大于410V持续1S</t>
  </si>
  <si>
    <t>母线电压低于过压保护值5V停机时间超过15S</t>
  </si>
  <si>
    <t>Compressor Under Voltage</t>
  </si>
  <si>
    <t>压缩机运行欠压</t>
  </si>
  <si>
    <t>1903</t>
  </si>
  <si>
    <t>母线电压大于200V持续2S</t>
  </si>
  <si>
    <t>母线电压高于过压保护值5V停机时间超过15S</t>
  </si>
  <si>
    <t>外部350V欠压或压缩机故障</t>
  </si>
  <si>
    <t>Ecomp_SleepCause_CSE</t>
  </si>
  <si>
    <t>电流传感器计算错误</t>
  </si>
  <si>
    <t>1904</t>
  </si>
  <si>
    <t>Ecomp_SleepCause_FS</t>
  </si>
  <si>
    <t>激活失败</t>
  </si>
  <si>
    <t>1905</t>
  </si>
  <si>
    <t>Compressor Communication Error</t>
  </si>
  <si>
    <t xml:space="preserve">压缩机通讯故障                                  </t>
  </si>
  <si>
    <t>1906</t>
  </si>
  <si>
    <t>超过5S未收到控制命令</t>
  </si>
  <si>
    <t>接收到通讯且停机时间超过15S</t>
  </si>
  <si>
    <t>Over Peak Current</t>
  </si>
  <si>
    <t>峰值电流保护</t>
  </si>
  <si>
    <t>1907</t>
  </si>
  <si>
    <t>Compressor Abnormal rotor：</t>
  </si>
  <si>
    <t>压缩机转子异常</t>
  </si>
  <si>
    <t>1908</t>
  </si>
  <si>
    <t>无功2功率调节进入负饱和</t>
  </si>
  <si>
    <t>Ecomp_WaitCause_HT</t>
  </si>
  <si>
    <t>逆变器温度过高</t>
  </si>
  <si>
    <t>1909</t>
  </si>
  <si>
    <t>压缩机温度大于85度停机</t>
  </si>
  <si>
    <t>系统堵塞，或EXV-B阀失控打不开，冷凝器被灰尘堵</t>
  </si>
  <si>
    <t>检查冷凝器有无被堵塞，检查系统管路有无堵塞，检查B阀是否完好</t>
  </si>
  <si>
    <t>Compressor Short Circuit</t>
  </si>
  <si>
    <t>压缩机短路</t>
  </si>
  <si>
    <t>1910</t>
  </si>
  <si>
    <t>压缩机相线短路</t>
  </si>
  <si>
    <t>压缩机内部线路或外部线路破损，或压缩机控制器损坏</t>
  </si>
  <si>
    <t>检查线束，线束没问题更换压缩机</t>
  </si>
  <si>
    <t>Compressor temperature too low</t>
  </si>
  <si>
    <t>压缩机温度过低</t>
  </si>
  <si>
    <t>1911</t>
  </si>
  <si>
    <t>热泵工作时，环境温度低于零下20度，热泵制热时，外部环境达不到工作允许温度，导致压缩机温度过低</t>
  </si>
  <si>
    <t>温度低于零下10度，不开热泵</t>
  </si>
  <si>
    <t>open-phase protection</t>
  </si>
  <si>
    <t>压缩机缺相</t>
  </si>
  <si>
    <t>1912</t>
  </si>
  <si>
    <t>压缩机相线缺失</t>
  </si>
  <si>
    <t>压缩机控制器故障</t>
  </si>
  <si>
    <t>15V voltage failure</t>
  </si>
  <si>
    <t>15V电压故障</t>
  </si>
  <si>
    <t>1913</t>
  </si>
  <si>
    <t>12V voltage failure</t>
  </si>
  <si>
    <t>12V电压故障</t>
  </si>
  <si>
    <t>1914</t>
  </si>
  <si>
    <t>12V低压欠压</t>
  </si>
  <si>
    <t>检查12V低压电源</t>
  </si>
  <si>
    <t>Overvoltage frequency reduction</t>
  </si>
  <si>
    <t>过压降频</t>
  </si>
  <si>
    <t>1915</t>
  </si>
  <si>
    <t>电源电压异常</t>
  </si>
  <si>
    <t>检查电源电压是否高于450V</t>
  </si>
  <si>
    <t>Low voltage Drop Frequency</t>
  </si>
  <si>
    <t>低压降频</t>
  </si>
  <si>
    <t>1916</t>
  </si>
  <si>
    <t>外部电压过低</t>
  </si>
  <si>
    <t>检查动力电池电压看是否低于210V</t>
  </si>
  <si>
    <t>4G module malfunction</t>
  </si>
  <si>
    <t>4G模块故障</t>
  </si>
  <si>
    <t>1301</t>
  </si>
  <si>
    <t>USB识别不到4G模块</t>
  </si>
  <si>
    <t>硬件损坏</t>
  </si>
  <si>
    <t>4G antenna open circuit</t>
  </si>
  <si>
    <t>4G天线开路</t>
  </si>
  <si>
    <t>1302</t>
  </si>
  <si>
    <t>天线检测ADC值判断</t>
  </si>
  <si>
    <t>天线线路断开</t>
  </si>
  <si>
    <t>4G antenna short circuit</t>
  </si>
  <si>
    <t>4G天线短路</t>
  </si>
  <si>
    <t>1303</t>
  </si>
  <si>
    <t>天线线路短接</t>
  </si>
  <si>
    <t>GPS module malfunction</t>
  </si>
  <si>
    <t>GPS模块故障</t>
  </si>
  <si>
    <t>1304</t>
  </si>
  <si>
    <t>接收不到GPS模块数据</t>
  </si>
  <si>
    <t>GPS antenna open circuit</t>
  </si>
  <si>
    <t>GPS天线开路</t>
  </si>
  <si>
    <t>1305</t>
  </si>
  <si>
    <t>GPS模块内置ADC的天线检测功能</t>
  </si>
  <si>
    <t>GPS线路断开</t>
  </si>
  <si>
    <t>GPS antenna short circuit</t>
  </si>
  <si>
    <t>GPS天线短路</t>
  </si>
  <si>
    <t>1306</t>
  </si>
  <si>
    <t>GPS线路短接</t>
  </si>
  <si>
    <t>EMMC malfunction</t>
  </si>
  <si>
    <t>EMMC故障</t>
  </si>
  <si>
    <t>1307</t>
  </si>
  <si>
    <t>挂载不上EMMC</t>
  </si>
  <si>
    <t>Low Voltage Fault</t>
  </si>
  <si>
    <t>电压低故障</t>
  </si>
  <si>
    <t>2001</t>
  </si>
  <si>
    <t>冰箱通电</t>
  </si>
  <si>
    <t>电压低于9.6V或高于17V</t>
  </si>
  <si>
    <t>停机3分钟</t>
  </si>
  <si>
    <t>电压高于11V和低于17V</t>
  </si>
  <si>
    <t>Fan Overcurrent Fault</t>
  </si>
  <si>
    <t>风扇过流故障</t>
  </si>
  <si>
    <t>2002</t>
  </si>
  <si>
    <t>压缩机运行</t>
  </si>
  <si>
    <t>风扇负载超过1A电流</t>
  </si>
  <si>
    <t>自动重启</t>
  </si>
  <si>
    <t>System High Pressure Fault</t>
  </si>
  <si>
    <t>系统压力高故障</t>
  </si>
  <si>
    <t>2003</t>
  </si>
  <si>
    <t>压缩机马达阻塞或制冷系统中压差太高&gt;5bar</t>
  </si>
  <si>
    <t>Compressor Failure to Maintain Minimum Speed Fault</t>
  </si>
  <si>
    <t>压缩机不能维持最低转速故障</t>
  </si>
  <si>
    <t>2004</t>
  </si>
  <si>
    <t>压缩机转速低于1850RPM</t>
  </si>
  <si>
    <t>Controller Hardware Over-temperature</t>
  </si>
  <si>
    <t>控制器硬件过温</t>
  </si>
  <si>
    <t>2005</t>
  </si>
  <si>
    <t>控制器MOS管温度大于95度</t>
  </si>
  <si>
    <t>控制器MOS管温度小于于90度</t>
  </si>
  <si>
    <t>Temperature Sensing Wire Fault</t>
  </si>
  <si>
    <t>感温线故障</t>
  </si>
  <si>
    <t>2006</t>
  </si>
  <si>
    <t>温度值大于70或小于-30</t>
  </si>
  <si>
    <t>温度值小于70和大于-30</t>
  </si>
  <si>
    <t>版本号说明</t>
  </si>
  <si>
    <r>
      <rPr>
        <sz val="11"/>
        <color rgb="FF000000"/>
        <rFont val="Arial"/>
        <family val="2"/>
      </rPr>
      <t xml:space="preserve">Software Symbol
</t>
    </r>
    <r>
      <rPr>
        <sz val="11"/>
        <color rgb="FF000000"/>
        <rFont val="宋体"/>
        <family val="3"/>
        <charset val="134"/>
      </rPr>
      <t>软件符号</t>
    </r>
  </si>
  <si>
    <r>
      <rPr>
        <sz val="11"/>
        <color rgb="FF000000"/>
        <rFont val="Arial"/>
        <family val="2"/>
      </rPr>
      <t xml:space="preserve">Send letter "S" in ASCII format,                                                                                                                     </t>
    </r>
    <r>
      <rPr>
        <sz val="11"/>
        <color rgb="FF000000"/>
        <rFont val="等线"/>
        <family val="3"/>
        <charset val="134"/>
      </rPr>
      <t>以</t>
    </r>
    <r>
      <rPr>
        <sz val="11"/>
        <color rgb="FF000000"/>
        <rFont val="Arial"/>
        <family val="2"/>
      </rPr>
      <t xml:space="preserve"> ASCII </t>
    </r>
    <r>
      <rPr>
        <sz val="11"/>
        <color rgb="FF000000"/>
        <rFont val="等线"/>
        <family val="3"/>
        <charset val="134"/>
      </rPr>
      <t>格式发送字母“</t>
    </r>
    <r>
      <rPr>
        <sz val="11"/>
        <color rgb="FF000000"/>
        <rFont val="Arial"/>
        <family val="2"/>
      </rPr>
      <t>S”</t>
    </r>
  </si>
  <si>
    <r>
      <rPr>
        <sz val="11"/>
        <color rgb="FF000000"/>
        <rFont val="Arial"/>
        <family val="2"/>
      </rPr>
      <t xml:space="preserve">Software Project Symbol
</t>
    </r>
    <r>
      <rPr>
        <sz val="11"/>
        <color rgb="FF000000"/>
        <rFont val="宋体"/>
        <family val="3"/>
        <charset val="134"/>
      </rPr>
      <t>软件项目符号</t>
    </r>
  </si>
  <si>
    <r>
      <rPr>
        <sz val="11"/>
        <color rgb="FF000000"/>
        <rFont val="Arial"/>
        <family val="2"/>
      </rPr>
      <t xml:space="preserve">Send Project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格式发送项目符号，范围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</si>
  <si>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Software Version First Symbol
</t>
    </r>
    <r>
      <rPr>
        <sz val="11"/>
        <color rgb="FF000000"/>
        <rFont val="宋体"/>
        <family val="3"/>
        <charset val="134"/>
      </rPr>
      <t>软件版本第一个符号</t>
    </r>
  </si>
  <si>
    <r>
      <rPr>
        <sz val="11"/>
        <color rgb="FF000000"/>
        <rFont val="Arial"/>
        <family val="2"/>
      </rPr>
      <t xml:space="preserve">Send Software Version Symbol in ASCII format, range 0                                                                                 </t>
    </r>
    <r>
      <rPr>
        <sz val="11"/>
        <color rgb="FF000000"/>
        <rFont val="等线"/>
        <family val="3"/>
        <charset val="134"/>
      </rPr>
      <t>以</t>
    </r>
    <r>
      <rPr>
        <sz val="11"/>
        <color rgb="FF000000"/>
        <rFont val="Arial"/>
        <family val="2"/>
      </rPr>
      <t xml:space="preserve"> ASCII </t>
    </r>
    <r>
      <rPr>
        <sz val="11"/>
        <color rgb="FF000000"/>
        <rFont val="等线"/>
        <family val="3"/>
        <charset val="134"/>
      </rPr>
      <t>格式发送软件版本符号，范围</t>
    </r>
    <r>
      <rPr>
        <sz val="11"/>
        <color rgb="FF000000"/>
        <rFont val="Arial"/>
        <family val="2"/>
      </rPr>
      <t xml:space="preserve"> 0</t>
    </r>
    <r>
      <rPr>
        <sz val="11"/>
        <color rgb="FF000000"/>
        <rFont val="宋体"/>
        <family val="3"/>
        <charset val="134"/>
      </rPr>
      <t>到9</t>
    </r>
  </si>
  <si>
    <r>
      <rPr>
        <sz val="11"/>
        <color rgb="FF000000"/>
        <rFont val="Arial"/>
        <family val="2"/>
      </rPr>
      <t xml:space="preserve">Software Version Second Symbol
</t>
    </r>
    <r>
      <rPr>
        <sz val="11"/>
        <color rgb="FF000000"/>
        <rFont val="宋体"/>
        <family val="3"/>
        <charset val="134"/>
      </rPr>
      <t>软件版本第二个符号</t>
    </r>
  </si>
  <si>
    <r>
      <rPr>
        <sz val="11"/>
        <color rgb="FF000000"/>
        <rFont val="Arial"/>
        <family val="2"/>
      </rPr>
      <t xml:space="preserve">Send Software Version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格式发送软件版本符号，范围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</si>
  <si>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Hardware Symbol
</t>
    </r>
    <r>
      <rPr>
        <sz val="11"/>
        <color rgb="FF000000"/>
        <rFont val="宋体"/>
        <family val="3"/>
        <charset val="134"/>
      </rPr>
      <t>硬件符号</t>
    </r>
  </si>
  <si>
    <r>
      <rPr>
        <sz val="11"/>
        <color rgb="FF000000"/>
        <rFont val="Arial"/>
        <family val="2"/>
      </rPr>
      <t xml:space="preserve">Send letter "H" in ASCII format                                           </t>
    </r>
    <r>
      <rPr>
        <sz val="11"/>
        <color rgb="FF000000"/>
        <rFont val="等线"/>
        <family val="3"/>
        <charset val="134"/>
      </rPr>
      <t>以</t>
    </r>
    <r>
      <rPr>
        <sz val="11"/>
        <color rgb="FF000000"/>
        <rFont val="Arial"/>
        <family val="2"/>
      </rPr>
      <t xml:space="preserve"> ASCII </t>
    </r>
    <r>
      <rPr>
        <sz val="11"/>
        <color rgb="FF000000"/>
        <rFont val="等线"/>
        <family val="3"/>
        <charset val="134"/>
      </rPr>
      <t>格式发送字母“</t>
    </r>
    <r>
      <rPr>
        <sz val="11"/>
        <color rgb="FF000000"/>
        <rFont val="Arial"/>
        <family val="2"/>
      </rPr>
      <t>H”</t>
    </r>
  </si>
  <si>
    <r>
      <rPr>
        <sz val="11"/>
        <color rgb="FF000000"/>
        <rFont val="Arial"/>
        <family val="2"/>
      </rPr>
      <t xml:space="preserve">Hardware Project Symbol
</t>
    </r>
    <r>
      <rPr>
        <sz val="11"/>
        <color rgb="FF000000"/>
        <rFont val="宋体"/>
        <family val="3"/>
        <charset val="134"/>
      </rPr>
      <t>硬件项目符号</t>
    </r>
  </si>
  <si>
    <r>
      <rPr>
        <sz val="11"/>
        <color rgb="FF000000"/>
        <rFont val="Arial"/>
        <family val="2"/>
      </rPr>
      <t xml:space="preserve">Send Project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格式发送项目符号，范围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</si>
  <si>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Hardware Version First Symbol
</t>
    </r>
    <r>
      <rPr>
        <sz val="11"/>
        <color rgb="FF000000"/>
        <rFont val="宋体"/>
        <family val="3"/>
        <charset val="134"/>
      </rPr>
      <t>硬件版本第一个符号</t>
    </r>
  </si>
  <si>
    <r>
      <rPr>
        <sz val="11"/>
        <color rgb="FF000000"/>
        <rFont val="Arial"/>
        <family val="2"/>
      </rPr>
      <t xml:space="preserve">Send Hardware Version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格式发送硬件版本符号，范围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</si>
  <si>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Hardware Version Second Symbol
</t>
    </r>
    <r>
      <rPr>
        <sz val="11"/>
        <color rgb="FF000000"/>
        <rFont val="宋体"/>
        <family val="3"/>
        <charset val="134"/>
      </rPr>
      <t>硬件版本第二个符号</t>
    </r>
  </si>
  <si>
    <r>
      <rPr>
        <sz val="11"/>
        <color rgb="FF000000"/>
        <rFont val="Arial"/>
        <family val="2"/>
      </rPr>
      <t xml:space="preserve">Send Hardware Version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格式发送硬件版本符号，范围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</si>
  <si>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t>软件符号固定值发S，ASCII码为0x53</t>
  </si>
  <si>
    <t>硬件符号固定值发H, ASCII码为0x48</t>
  </si>
  <si>
    <t>软件项目符号：UTV定义为0，ASCII码为0x30</t>
  </si>
  <si>
    <t>硬件项目符号：UTV定义为0, ASCII码为0x30</t>
  </si>
  <si>
    <t>软件版本第一个/第二个符号：按照发布版本数如第一版为00，第二版为01，第二版查表ASCII,byte2发0x30，byte3发0x31</t>
  </si>
  <si>
    <t>硬件版本第一个/第二个符号：按照发布版本数如第一版为00，第二版为01，第二版查表ASCII,byte6发0x30，byte7发0x31</t>
  </si>
  <si>
    <r>
      <rPr>
        <sz val="11"/>
        <color rgb="FF000000"/>
        <rFont val="Arial"/>
        <family val="2"/>
      </rPr>
      <t xml:space="preserve">Bootloader Software Symbol
Bootloader </t>
    </r>
    <r>
      <rPr>
        <sz val="11"/>
        <color rgb="FF000000"/>
        <rFont val="宋体"/>
        <family val="3"/>
        <charset val="134"/>
      </rPr>
      <t>软件符号</t>
    </r>
  </si>
  <si>
    <r>
      <rPr>
        <sz val="11"/>
        <color rgb="FF000000"/>
        <rFont val="Arial"/>
        <family val="2"/>
      </rPr>
      <t xml:space="preserve">Send letter "B" in ASCII format,                                                                                                                     </t>
    </r>
    <r>
      <rPr>
        <sz val="11"/>
        <color rgb="FF000000"/>
        <rFont val="等线"/>
        <family val="3"/>
        <charset val="134"/>
      </rPr>
      <t>以</t>
    </r>
    <r>
      <rPr>
        <sz val="11"/>
        <color rgb="FF000000"/>
        <rFont val="Arial"/>
        <family val="2"/>
      </rPr>
      <t xml:space="preserve"> ASCII </t>
    </r>
    <r>
      <rPr>
        <sz val="11"/>
        <color rgb="FF000000"/>
        <rFont val="等线"/>
        <family val="3"/>
        <charset val="134"/>
      </rPr>
      <t>格式发送字母“</t>
    </r>
    <r>
      <rPr>
        <sz val="11"/>
        <color rgb="FF000000"/>
        <rFont val="Arial"/>
        <family val="2"/>
      </rPr>
      <t>B”</t>
    </r>
  </si>
  <si>
    <r>
      <rPr>
        <sz val="11"/>
        <color rgb="FF000000"/>
        <rFont val="Arial"/>
        <family val="2"/>
      </rPr>
      <t>Bootloader Software Project Symbol
Bootload</t>
    </r>
    <r>
      <rPr>
        <sz val="11"/>
        <color rgb="FF000000"/>
        <rFont val="宋体"/>
        <family val="3"/>
        <charset val="134"/>
      </rPr>
      <t>软件项目符号</t>
    </r>
  </si>
  <si>
    <r>
      <rPr>
        <sz val="11"/>
        <color rgb="FF000000"/>
        <rFont val="Arial"/>
        <family val="2"/>
      </rPr>
      <t xml:space="preserve">Bootloader  Software Version First Symbol
Bootloader </t>
    </r>
    <r>
      <rPr>
        <sz val="11"/>
        <color rgb="FF000000"/>
        <rFont val="宋体"/>
        <family val="3"/>
        <charset val="134"/>
      </rPr>
      <t>软件版本第一个符号</t>
    </r>
  </si>
  <si>
    <r>
      <rPr>
        <sz val="11"/>
        <color rgb="FF000000"/>
        <rFont val="Arial"/>
        <family val="2"/>
      </rPr>
      <t xml:space="preserve">Bootloader  Software Version Second Symbol
Bootloader </t>
    </r>
    <r>
      <rPr>
        <sz val="11"/>
        <color rgb="FF000000"/>
        <rFont val="宋体"/>
        <family val="3"/>
        <charset val="134"/>
      </rPr>
      <t>软件版本第二个符号</t>
    </r>
  </si>
  <si>
    <t>Bootloader  软件符号固定值发B，ASCII码为0x42</t>
  </si>
  <si>
    <t>Bootloader  软件项目符号：UTV定义为0,ASCII码为0x30</t>
  </si>
  <si>
    <t>Bootloader  软件版本第一个/第二个符号：按照发布版本数如第一版为00，第二版为01，第二版查表ASCII,byte2发0x30，byte3发0x31</t>
  </si>
  <si>
    <t>生产日期说明</t>
  </si>
  <si>
    <r>
      <rPr>
        <sz val="11"/>
        <color rgb="FF000000"/>
        <rFont val="Arial"/>
        <family val="2"/>
      </rPr>
      <t xml:space="preserve">Manufacture Number
</t>
    </r>
    <r>
      <rPr>
        <sz val="11"/>
        <color rgb="FF000000"/>
        <rFont val="宋体"/>
        <family val="3"/>
        <charset val="134"/>
      </rPr>
      <t>生产编码</t>
    </r>
  </si>
  <si>
    <t>生产编码见格力博编码规则</t>
  </si>
  <si>
    <r>
      <rPr>
        <sz val="11"/>
        <color rgb="FF000000"/>
        <rFont val="Arial"/>
        <family val="2"/>
      </rPr>
      <t xml:space="preserve">Production Year
</t>
    </r>
    <r>
      <rPr>
        <sz val="11"/>
        <color rgb="FF000000"/>
        <rFont val="宋体"/>
        <family val="3"/>
        <charset val="134"/>
      </rPr>
      <t>生产年份</t>
    </r>
  </si>
  <si>
    <t>如：23年 baty2发17</t>
  </si>
  <si>
    <r>
      <rPr>
        <sz val="11"/>
        <color rgb="FF000000"/>
        <rFont val="Arial"/>
        <family val="2"/>
      </rPr>
      <t xml:space="preserve">Production Month
</t>
    </r>
    <r>
      <rPr>
        <sz val="11"/>
        <color rgb="FF000000"/>
        <rFont val="宋体"/>
        <family val="3"/>
        <charset val="134"/>
      </rPr>
      <t>生产月份</t>
    </r>
  </si>
  <si>
    <t>如：12月 baty3发0c</t>
  </si>
  <si>
    <r>
      <rPr>
        <sz val="11"/>
        <color rgb="FF000000"/>
        <rFont val="Arial"/>
        <family val="2"/>
      </rPr>
      <t xml:space="preserve">Production day
</t>
    </r>
    <r>
      <rPr>
        <sz val="11"/>
        <color rgb="FF000000"/>
        <rFont val="宋体"/>
        <family val="3"/>
        <charset val="134"/>
      </rPr>
      <t>生产日期</t>
    </r>
  </si>
  <si>
    <t>如：30号 baty3发1E</t>
  </si>
  <si>
    <r>
      <rPr>
        <sz val="11"/>
        <color rgb="FF000000"/>
        <rFont val="Arial"/>
        <family val="2"/>
      </rPr>
      <t xml:space="preserve">Production Serial Number
</t>
    </r>
    <r>
      <rPr>
        <sz val="11"/>
        <color rgb="FF000000"/>
        <rFont val="宋体"/>
        <family val="3"/>
        <charset val="134"/>
      </rPr>
      <t>生产序列号</t>
    </r>
  </si>
  <si>
    <t>5、6、7</t>
  </si>
  <si>
    <t>厂商自定义</t>
  </si>
  <si>
    <t>生产编码：如惠州亿纬编码为246 16进制为00f6   baty0=F6 baty1=00</t>
  </si>
  <si>
    <t>生产序列号：如123459  baty5:=0c  baty6:=22  baty7=38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</si>
</sst>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F400]h:mm:ss\ AM/PM"/>
    <numFmt numFmtId="178" formatCode="[$-809]d\ mmmm\ yyyy;@"/>
  </numFmts>
  <fonts count="1817">
    <font>
      <sz val="12"/>
      <color theme="1"/>
      <name val="等线"/>
      <family val="2"/>
      <charset val="134"/>
      <scheme val="minor"/>
    </font>
    <font>
      <sz val="9"/>
      <name val="等线"/>
      <family val="2"/>
      <charset val="134"/>
      <scheme val="minor"/>
    </font>
    <font>
      <sz val="10"/>
      <name val="等线"/>
      <family val="3"/>
      <charset val="134"/>
    </font>
    <font>
      <sz val="10"/>
      <color rgb="FF000000"/>
      <name val="等线"/>
      <family val="3"/>
      <charset val="134"/>
    </font>
    <font>
      <sz val="11"/>
      <color rgb="FF000000"/>
      <name val="等线"/>
      <family val="3"/>
      <charset val="134"/>
    </font>
    <font>
      <b/>
      <sz val="11"/>
      <color rgb="FF000000"/>
      <name val="等线"/>
      <family val="3"/>
      <charset val="134"/>
    </font>
    <font>
      <b/>
      <sz val="11"/>
      <color rgb="FF000000"/>
      <name val="Arial"/>
      <family val="2"/>
    </font>
    <font>
      <strike/>
      <sz val="11"/>
      <color rgb="FF000000"/>
      <name val="等线"/>
      <family val="3"/>
      <charset val="134"/>
    </font>
    <font>
      <sz val="11"/>
      <color rgb="FF000000"/>
      <name val="宋体"/>
      <family val="3"/>
      <charset val="134"/>
    </font>
    <font>
      <strike/>
      <sz val="11"/>
      <color rgb="FF000000"/>
      <name val="宋体"/>
      <family val="3"/>
      <charset val="134"/>
    </font>
    <font>
      <sz val="11"/>
      <color rgb="FF000000"/>
      <name val="Segoe UI"/>
      <family val="2"/>
    </font>
    <font>
      <sz val="10"/>
      <color rgb="FF000000"/>
      <name val="宋体"/>
      <family val="3"/>
      <charset val="134"/>
    </font>
    <font>
      <sz val="12"/>
      <color rgb="FF000000"/>
      <name val="楷体"/>
      <family val="3"/>
      <charset val="134"/>
    </font>
    <font>
      <sz val="11"/>
      <color rgb="FF000000"/>
      <name val="Arial"/>
      <family val="2"/>
    </font>
    <font>
      <b/>
      <sz val="12"/>
      <color rgb="FF000000"/>
      <name val="楷体"/>
      <family val="3"/>
      <charset val="134"/>
    </font>
    <font>
      <strike/>
      <sz val="12"/>
      <color rgb="FF000000"/>
      <name val="楷体"/>
      <family val="3"/>
      <charset val="134"/>
    </font>
    <font>
      <b/>
      <i/>
      <sz val="12"/>
      <color rgb="FF000000"/>
      <name val="楷体"/>
      <family val="3"/>
      <charset val="134"/>
    </font>
    <font>
      <b/>
      <sz val="12"/>
      <color rgb="FFFF0000"/>
      <name val="楷体"/>
      <family val="3"/>
      <charset val="134"/>
    </font>
    <font>
      <b/>
      <strike/>
      <sz val="12"/>
      <color rgb="FF000000"/>
      <name val="楷体"/>
      <family val="3"/>
      <charset val="134"/>
    </font>
    <font>
      <sz val="10"/>
      <color rgb="FF000000"/>
      <name val="Calibri"/>
      <family val="2"/>
    </font>
    <font>
      <sz val="22"/>
      <color rgb="FF000000"/>
      <name val="华文楷体"/>
      <family val="3"/>
      <charset val="134"/>
    </font>
    <font>
      <b/>
      <sz val="12"/>
      <color rgb="FF000000"/>
      <name val="宋体"/>
      <family val="3"/>
      <charset val="134"/>
    </font>
    <font>
      <strike/>
      <sz val="12"/>
      <color rgb="FF000000"/>
      <name val="宋体"/>
      <family val="3"/>
      <charset val="134"/>
    </font>
    <font>
      <b/>
      <sz val="11"/>
      <color rgb="FFFF0000"/>
      <name val="等线"/>
      <family val="3"/>
      <charset val="134"/>
    </font>
    <font>
      <sz val="12"/>
      <color rgb="FFFF0000"/>
      <name val="楷体"/>
      <family val="3"/>
      <charset val="134"/>
    </font>
    <font>
      <b/>
      <sz val="11"/>
      <color rgb="FF000000"/>
      <name val="宋体"/>
      <family val="3"/>
      <charset val="134"/>
    </font>
    <font>
      <sz val="11"/>
      <color rgb="FF000000"/>
      <name val="Segoe UI Symbol"/>
      <family val="2"/>
    </font>
    <font>
      <sz val="12"/>
      <color rgb="FF000000"/>
      <name val="宋体"/>
      <family val="3"/>
      <charset val="134"/>
    </font>
    <font>
      <strike/>
      <sz val="10"/>
      <color rgb="FF000000"/>
      <name val="等线"/>
      <family val="3"/>
      <charset val="134"/>
    </font>
    <font>
      <b/>
      <sz val="22"/>
      <color rgb="FF000000"/>
      <name val="华文楷体"/>
      <family val="3"/>
      <charset val="134"/>
    </font>
    <font>
      <b/>
      <sz val="16"/>
      <color rgb="FF000000"/>
      <name val="宋体"/>
      <family val="3"/>
      <charset val="134"/>
    </font>
    <font>
      <sz val="12"/>
      <color rgb="FF000000"/>
      <name val="等线"/>
      <family val="3"/>
      <charset val="134"/>
    </font>
    <font>
      <b/>
      <sz val="16"/>
      <color rgb="FF000000"/>
      <name val="黑体"/>
      <family val="3"/>
      <charset val="134"/>
    </font>
    <font>
      <b/>
      <sz val="11"/>
      <color rgb="FFFF0000"/>
      <name val="微软雅黑"/>
      <family val="2"/>
      <charset val="134"/>
    </font>
    <font>
      <sz val="10"/>
      <color rgb="FF000000"/>
      <name val="Arial"/>
      <family val="2"/>
    </font>
    <font>
      <sz val="7"/>
      <color rgb="FF000000"/>
      <name val="Times New Roman"/>
      <family val="1"/>
    </font>
    <font>
      <sz val="10"/>
      <color rgb="FF000000"/>
      <name val="Times New Roman"/>
      <family val="1"/>
    </font>
    <font>
      <b/>
      <sz val="11"/>
      <color rgb="FF000000"/>
      <name val="微软雅黑"/>
      <family val="2"/>
      <charset val="134"/>
    </font>
    <font>
      <sz val="10"/>
      <color rgb="FF000000"/>
      <name val="楷体"/>
      <family val="3"/>
      <charset val="134"/>
    </font>
    <font>
      <sz val="8"/>
      <color rgb="FF000000"/>
      <name val="微软雅黑"/>
      <family val="2"/>
      <charset val="134"/>
    </font>
    <font>
      <sz val="10"/>
      <color rgb="FF000000"/>
      <name val="Microsoft YaHei"/>
      <family val="2"/>
      <charset val="134"/>
    </font>
    <font>
      <sz val="10"/>
      <color rgb="FF000000"/>
      <name val="楷体, monospace"/>
      <charset val="134"/>
    </font>
    <font>
      <sz val="8"/>
      <color rgb="FF000000"/>
      <name val="宋体"/>
      <family val="3"/>
      <charset val="134"/>
    </font>
    <font>
      <sz val="9"/>
      <color rgb="FF000000"/>
      <name val="宋体"/>
      <family val="3"/>
      <charset val="134"/>
    </font>
    <font>
      <sz val="9"/>
      <color rgb="FF000000"/>
      <name val="微软雅黑"/>
      <family val="2"/>
      <charset val="134"/>
    </font>
    <font>
      <sz val="12"/>
      <color rgb="FF000000"/>
      <name val="Times New Roman"/>
      <family val="1"/>
    </font>
    <font>
      <sz val="11"/>
      <color rgb="FF000000"/>
      <name val="Times New Roman"/>
      <family val="1"/>
    </font>
    <font>
      <strike/>
      <sz val="10"/>
      <color rgb="FF000000"/>
      <name val="楷体"/>
      <family val="3"/>
      <charset val="134"/>
    </font>
    <font>
      <sz val="11"/>
      <name val="等线"/>
      <family val="3"/>
      <charset val="134"/>
    </font>
    <font>
      <sz val="11"/>
      <name val="宋体"/>
      <family val="3"/>
      <charset val="134"/>
    </font>
    <font>
      <sz val="10"/>
      <name val="楷体, monospace"/>
      <charset val="134"/>
    </font>
    <font>
      <sz val="10"/>
      <name val="等线"/>
      <family val="3"/>
      <charset val="134"/>
    </font>
    <font>
      <b/>
      <sz val="10"/>
      <color rgb="FF000000"/>
      <name val="楷体, monospace"/>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z val="12"/>
      <color rgb="FF000000"/>
      <name val="楷体"/>
      <family val="3"/>
      <charset val="134"/>
    </font>
    <font>
      <sz val="11"/>
      <color rgb="FF000000"/>
      <name val="等线"/>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0"/>
      <name val="楷体, monospace"/>
      <charset val="134"/>
    </font>
    <font>
      <sz val="10"/>
      <name val="楷体, monospace"/>
      <charset val="134"/>
    </font>
    <font>
      <sz val="10"/>
      <name val="楷体, monospace"/>
      <charset val="134"/>
    </font>
    <font>
      <sz val="10"/>
      <name val="楷体, monospace"/>
      <charset val="134"/>
    </font>
    <font>
      <sz val="10"/>
      <name val="楷体, monospace"/>
      <charset val="134"/>
    </font>
    <font>
      <sz val="10"/>
      <name val="楷体, monospace"/>
      <charset val="134"/>
    </font>
    <font>
      <sz val="10"/>
      <name val="楷体, monospace"/>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b/>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0"/>
      <color rgb="FF000000"/>
      <name val="楷体, monospace"/>
      <charset val="134"/>
    </font>
    <font>
      <sz val="12"/>
      <color rgb="FF000000"/>
      <name val="楷体"/>
      <family val="3"/>
      <charset val="134"/>
    </font>
    <font>
      <sz val="10"/>
      <color rgb="FF000000"/>
      <name val="楷体, monospace"/>
      <charset val="134"/>
    </font>
    <font>
      <b/>
      <sz val="12"/>
      <color rgb="FF000000"/>
      <name val="楷体"/>
      <family val="3"/>
      <charset val="134"/>
    </font>
    <font>
      <b/>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b/>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0"/>
      <color rgb="FF000000"/>
      <name val="楷体, monospace"/>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宋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宋体"/>
      <family val="3"/>
      <charset val="134"/>
    </font>
    <font>
      <sz val="11"/>
      <color rgb="FF000000"/>
      <name val="宋体"/>
      <family val="3"/>
      <charset val="134"/>
    </font>
    <font>
      <sz val="12"/>
      <color rgb="FF000000"/>
      <name val="楷体"/>
      <family val="3"/>
      <charset val="134"/>
    </font>
    <font>
      <sz val="11"/>
      <color rgb="FF000000"/>
      <name val="Arial"/>
      <family val="2"/>
    </font>
    <font>
      <sz val="11"/>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Microsoft YaHei"/>
      <family val="2"/>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Microsoft YaHei"/>
      <family val="2"/>
      <charset val="134"/>
    </font>
    <font>
      <sz val="10"/>
      <color rgb="FF000000"/>
      <name val="Microsoft YaHei"/>
      <family val="2"/>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宋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宋体"/>
      <family val="3"/>
      <charset val="134"/>
    </font>
    <font>
      <sz val="11"/>
      <color rgb="FF000000"/>
      <name val="等线"/>
      <family val="3"/>
      <charset val="134"/>
    </font>
    <font>
      <sz val="11"/>
      <color rgb="FF000000"/>
      <name val="等线"/>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trike/>
      <sz val="11"/>
      <color rgb="FF000000"/>
      <name val="等线"/>
      <family val="3"/>
      <charset val="134"/>
    </font>
    <font>
      <strike/>
      <sz val="11"/>
      <color rgb="FF000000"/>
      <name val="等线"/>
      <family val="3"/>
      <charset val="134"/>
    </font>
    <font>
      <strike/>
      <sz val="11"/>
      <color rgb="FF000000"/>
      <name val="等线"/>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等线"/>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trike/>
      <sz val="11"/>
      <color rgb="FF000000"/>
      <name val="等线"/>
      <family val="3"/>
      <charset val="134"/>
    </font>
    <font>
      <sz val="11"/>
      <color rgb="FF000000"/>
      <name val="宋体"/>
      <family val="3"/>
      <charset val="134"/>
    </font>
    <font>
      <sz val="11"/>
      <color rgb="FF000000"/>
      <name val="宋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trike/>
      <sz val="11"/>
      <color rgb="FF000000"/>
      <name val="等线"/>
      <family val="3"/>
      <charset val="134"/>
    </font>
    <font>
      <strike/>
      <sz val="11"/>
      <color rgb="FF000000"/>
      <name val="等线"/>
      <family val="3"/>
      <charset val="134"/>
    </font>
    <font>
      <strike/>
      <sz val="11"/>
      <color rgb="FF000000"/>
      <name val="等线"/>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等线"/>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trike/>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0"/>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0"/>
      <color rgb="FF000000"/>
      <name val="宋体"/>
      <family val="3"/>
      <charset val="134"/>
    </font>
    <font>
      <sz val="9"/>
      <color rgb="FF000000"/>
      <name val="宋体"/>
      <family val="3"/>
      <charset val="134"/>
    </font>
    <font>
      <sz val="9"/>
      <color rgb="FF000000"/>
      <name val="宋体"/>
      <family val="3"/>
      <charset val="134"/>
    </font>
    <font>
      <sz val="10"/>
      <color rgb="FF000000"/>
      <name val="等线"/>
      <family val="3"/>
      <charset val="134"/>
    </font>
    <font>
      <sz val="10"/>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10"/>
      <color rgb="FF000000"/>
      <name val="等线"/>
      <family val="3"/>
      <charset val="134"/>
    </font>
    <font>
      <sz val="9"/>
      <color rgb="FF000000"/>
      <name val="宋体"/>
      <family val="3"/>
      <charset val="134"/>
    </font>
    <font>
      <sz val="9"/>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Arial"/>
      <family val="2"/>
    </font>
    <font>
      <strike/>
      <sz val="12"/>
      <color rgb="FFFF0000"/>
      <name val="楷体"/>
      <family val="3"/>
      <charset val="134"/>
    </font>
    <font>
      <sz val="12"/>
      <color rgb="FF000000"/>
      <name val="微软雅黑"/>
      <family val="2"/>
      <charset val="134"/>
    </font>
    <font>
      <i/>
      <sz val="11"/>
      <color rgb="FF000000"/>
      <name val="Arial"/>
      <family val="2"/>
    </font>
    <font>
      <i/>
      <sz val="11"/>
      <color rgb="FF000000"/>
      <name val="宋体"/>
      <family val="3"/>
      <charset val="134"/>
    </font>
    <font>
      <sz val="12"/>
      <color rgb="FF000000"/>
      <name val="Arial"/>
      <family val="2"/>
    </font>
    <font>
      <sz val="8"/>
      <color rgb="FF000000"/>
      <name val="Arial"/>
      <family val="2"/>
    </font>
  </fonts>
  <fills count="18">
    <fill>
      <patternFill patternType="none"/>
    </fill>
    <fill>
      <patternFill patternType="gray125"/>
    </fill>
    <fill>
      <patternFill patternType="solid">
        <fgColor rgb="FFFFFF00"/>
      </patternFill>
    </fill>
    <fill>
      <patternFill patternType="solid">
        <fgColor rgb="FF00B050"/>
      </patternFill>
    </fill>
    <fill>
      <patternFill patternType="solid">
        <fgColor rgb="FFFFFFFF"/>
      </patternFill>
    </fill>
    <fill>
      <patternFill patternType="solid">
        <fgColor rgb="FFFF0000"/>
      </patternFill>
    </fill>
    <fill>
      <patternFill patternType="solid">
        <fgColor rgb="FF0070C0"/>
      </patternFill>
    </fill>
    <fill>
      <patternFill patternType="solid">
        <fgColor rgb="FF00B0F0"/>
      </patternFill>
    </fill>
    <fill>
      <patternFill patternType="solid">
        <fgColor rgb="FFFFC000"/>
      </patternFill>
    </fill>
    <fill>
      <patternFill patternType="solid">
        <fgColor rgb="FF92D050"/>
      </patternFill>
    </fill>
    <fill>
      <patternFill patternType="solid">
        <fgColor rgb="FFED7D31"/>
      </patternFill>
    </fill>
    <fill>
      <patternFill patternType="solid">
        <fgColor rgb="FF70AD47"/>
      </patternFill>
    </fill>
    <fill>
      <patternFill patternType="solid">
        <fgColor rgb="FF548135"/>
      </patternFill>
    </fill>
    <fill>
      <patternFill patternType="solid">
        <fgColor rgb="FF6E30A4"/>
      </patternFill>
    </fill>
    <fill>
      <patternFill patternType="solid">
        <fgColor rgb="FFFCC102"/>
      </patternFill>
    </fill>
    <fill>
      <patternFill patternType="solid">
        <fgColor rgb="FFFE0300"/>
      </patternFill>
    </fill>
    <fill>
      <patternFill patternType="solid">
        <fgColor rgb="FF00B14D"/>
      </patternFill>
    </fill>
    <fill>
      <patternFill patternType="solid">
        <fgColor rgb="FFFEFF00"/>
      </patternFill>
    </fill>
  </fills>
  <borders count="45">
    <border>
      <left/>
      <right/>
      <top/>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bottom style="dotted">
        <color rgb="FF000000"/>
      </bottom>
      <diagonal/>
    </border>
    <border>
      <left style="dotted">
        <color rgb="FF000000"/>
      </left>
      <right/>
      <top style="dotted">
        <color rgb="FF000000"/>
      </top>
      <bottom style="dotted">
        <color rgb="FF000000"/>
      </bottom>
      <diagonal/>
    </border>
    <border>
      <left/>
      <right/>
      <top style="thin">
        <color rgb="FF000000"/>
      </top>
      <bottom style="thin">
        <color rgb="FF000000"/>
      </bottom>
      <diagonal/>
    </border>
    <border>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thin">
        <color rgb="FF000000"/>
      </left>
      <right style="medium">
        <color rgb="FF000000"/>
      </right>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medium">
        <color rgb="FF000000"/>
      </top>
      <bottom style="medium">
        <color rgb="FF000000"/>
      </bottom>
      <diagonal/>
    </border>
    <border>
      <left/>
      <right/>
      <top/>
      <bottom style="medium">
        <color rgb="FF000000"/>
      </bottom>
      <diagonal/>
    </border>
    <border>
      <left/>
      <right/>
      <top/>
      <bottom style="thin">
        <color rgb="FF000000"/>
      </bottom>
      <diagonal/>
    </border>
    <border>
      <left/>
      <right style="thin">
        <color rgb="FF000000"/>
      </right>
      <top/>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ck">
        <color rgb="FF0000FF"/>
      </left>
      <right style="thin">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style="medium">
        <color rgb="FF000000"/>
      </top>
      <bottom/>
      <diagonal/>
    </border>
  </borders>
  <cellStyleXfs count="1">
    <xf numFmtId="0" fontId="0" fillId="0" borderId="0">
      <alignment vertical="center"/>
    </xf>
  </cellStyleXfs>
  <cellXfs count="3413">
    <xf numFmtId="0" fontId="0" fillId="0" borderId="0" xfId="0">
      <alignment vertical="center"/>
    </xf>
    <xf numFmtId="0" fontId="2" fillId="0" borderId="0" xfId="0" applyFont="1">
      <alignment vertical="center"/>
    </xf>
    <xf numFmtId="0" fontId="3" fillId="0" borderId="0" xfId="0" applyFont="1">
      <alignment vertical="center"/>
    </xf>
    <xf numFmtId="0" fontId="4" fillId="2" borderId="0" xfId="0" applyFont="1" applyFill="1">
      <alignment vertical="center"/>
    </xf>
    <xf numFmtId="0" fontId="4" fillId="0" borderId="0" xfId="0" applyFont="1" applyAlignment="1">
      <alignment vertical="center" wrapText="1"/>
    </xf>
    <xf numFmtId="0" fontId="4" fillId="4" borderId="0" xfId="0" applyFont="1" applyFill="1">
      <alignment vertical="center"/>
    </xf>
    <xf numFmtId="0" fontId="7" fillId="4" borderId="0" xfId="0" applyFont="1" applyFill="1">
      <alignment vertical="center"/>
    </xf>
    <xf numFmtId="0" fontId="8" fillId="0" borderId="0" xfId="0" applyFont="1">
      <alignment vertical="center"/>
    </xf>
    <xf numFmtId="0" fontId="9" fillId="0" borderId="0" xfId="0" applyFont="1">
      <alignment vertical="center"/>
    </xf>
    <xf numFmtId="0" fontId="7" fillId="0" borderId="0" xfId="0" applyFont="1">
      <alignment vertical="center"/>
    </xf>
    <xf numFmtId="0" fontId="7" fillId="5" borderId="0" xfId="0" applyFont="1" applyFill="1">
      <alignment vertical="center"/>
    </xf>
    <xf numFmtId="0" fontId="4" fillId="5" borderId="0" xfId="0" applyFont="1" applyFill="1">
      <alignment vertical="center"/>
    </xf>
    <xf numFmtId="0" fontId="4" fillId="0" borderId="0" xfId="0" applyFont="1" applyAlignment="1">
      <alignment horizontal="left" vertical="center"/>
    </xf>
    <xf numFmtId="49" fontId="4" fillId="0" borderId="0" xfId="0" applyNumberFormat="1" applyFo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10" fillId="0" borderId="0" xfId="0" applyFont="1" applyAlignment="1">
      <alignment horizontal="left" vertical="center"/>
    </xf>
    <xf numFmtId="0" fontId="8" fillId="0" borderId="3" xfId="0" applyFont="1" applyBorder="1" applyAlignment="1" applyProtection="1">
      <alignment horizontal="center" vertical="center"/>
    </xf>
    <xf numFmtId="0" fontId="8" fillId="0" borderId="3" xfId="0" applyFont="1" applyBorder="1" applyAlignment="1" applyProtection="1">
      <alignment horizontal="left" vertical="center"/>
    </xf>
    <xf numFmtId="49" fontId="4" fillId="0" borderId="3" xfId="0" applyNumberFormat="1" applyFont="1" applyBorder="1" applyProtection="1">
      <alignment vertical="center"/>
    </xf>
    <xf numFmtId="0" fontId="8" fillId="0" borderId="3" xfId="0" applyFont="1" applyBorder="1" applyProtection="1">
      <alignment vertical="center"/>
    </xf>
    <xf numFmtId="0" fontId="8" fillId="0" borderId="3" xfId="0" applyFont="1" applyBorder="1" applyAlignment="1" applyProtection="1">
      <alignment vertical="center" wrapText="1"/>
    </xf>
    <xf numFmtId="0" fontId="8" fillId="5" borderId="3" xfId="0" applyFont="1" applyFill="1" applyBorder="1" applyProtection="1">
      <alignment vertical="center"/>
    </xf>
    <xf numFmtId="0" fontId="8" fillId="4" borderId="3" xfId="0" applyFont="1" applyFill="1" applyBorder="1" applyProtection="1">
      <alignment vertical="center"/>
    </xf>
    <xf numFmtId="0" fontId="8" fillId="0" borderId="3" xfId="0" applyFont="1" applyBorder="1" applyProtection="1">
      <alignment vertical="center"/>
    </xf>
    <xf numFmtId="0" fontId="8" fillId="0" borderId="3" xfId="0" applyFont="1" applyBorder="1" applyAlignment="1" applyProtection="1">
      <alignment horizontal="center" vertical="center" wrapText="1"/>
    </xf>
    <xf numFmtId="9" fontId="4" fillId="0" borderId="3" xfId="0" applyNumberFormat="1" applyFont="1" applyBorder="1" applyProtection="1">
      <alignment vertical="center"/>
    </xf>
    <xf numFmtId="0" fontId="4" fillId="0" borderId="3" xfId="0" applyFont="1" applyBorder="1" applyProtection="1">
      <alignment vertical="center"/>
    </xf>
    <xf numFmtId="0" fontId="4" fillId="0" borderId="3" xfId="0" applyFont="1" applyBorder="1" applyAlignment="1" applyProtection="1">
      <alignment horizontal="left" vertical="center"/>
    </xf>
    <xf numFmtId="0" fontId="4" fillId="4" borderId="3" xfId="0" applyFont="1" applyFill="1" applyBorder="1" applyAlignment="1" applyProtection="1">
      <alignment horizontal="left" vertical="center" wrapText="1"/>
    </xf>
    <xf numFmtId="49" fontId="4" fillId="0" borderId="4" xfId="0" applyNumberFormat="1" applyFont="1" applyBorder="1" applyProtection="1">
      <alignment vertical="center"/>
    </xf>
    <xf numFmtId="9" fontId="4" fillId="4" borderId="3" xfId="0" applyNumberFormat="1" applyFont="1" applyFill="1" applyBorder="1" applyProtection="1">
      <alignment vertical="center"/>
    </xf>
    <xf numFmtId="0" fontId="4" fillId="4" borderId="3" xfId="0" applyFont="1" applyFill="1" applyBorder="1" applyProtection="1">
      <alignment vertical="center"/>
    </xf>
    <xf numFmtId="176" fontId="3" fillId="0" borderId="4" xfId="0" applyNumberFormat="1" applyFont="1" applyBorder="1" applyAlignment="1" applyProtection="1">
      <alignment horizontal="left" vertical="center"/>
      <protection locked="0"/>
    </xf>
    <xf numFmtId="0" fontId="8" fillId="0" borderId="4" xfId="0" applyFont="1" applyBorder="1" applyAlignment="1" applyProtection="1">
      <alignment horizontal="center" vertical="center"/>
    </xf>
    <xf numFmtId="0" fontId="4" fillId="0" borderId="5" xfId="0" applyFont="1" applyBorder="1" applyAlignment="1" applyProtection="1">
      <alignment vertical="center" wrapText="1"/>
    </xf>
    <xf numFmtId="0" fontId="4" fillId="0" borderId="4" xfId="0" applyFont="1" applyBorder="1" applyAlignment="1" applyProtection="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11" fillId="0" borderId="6" xfId="0" applyFont="1" applyBorder="1" applyAlignment="1" applyProtection="1">
      <alignment horizontal="left" vertical="center" wrapText="1"/>
    </xf>
    <xf numFmtId="177" fontId="11" fillId="2" borderId="6" xfId="0" applyNumberFormat="1" applyFont="1" applyFill="1" applyBorder="1" applyAlignment="1" applyProtection="1">
      <alignment horizontal="left" vertical="center" wrapText="1"/>
    </xf>
    <xf numFmtId="0" fontId="4" fillId="4" borderId="3" xfId="0" applyFont="1" applyFill="1" applyBorder="1" applyProtection="1">
      <alignment vertical="center"/>
    </xf>
    <xf numFmtId="0" fontId="12" fillId="4" borderId="3" xfId="0" applyFont="1" applyFill="1" applyBorder="1" applyProtection="1">
      <alignment vertical="center"/>
    </xf>
    <xf numFmtId="0" fontId="12" fillId="0" borderId="3" xfId="0" applyFont="1" applyBorder="1" applyAlignment="1" applyProtection="1">
      <alignment vertical="center" wrapText="1"/>
    </xf>
    <xf numFmtId="0" fontId="4" fillId="0" borderId="3" xfId="0" applyFont="1" applyBorder="1" applyAlignment="1" applyProtection="1">
      <alignment vertical="center" wrapText="1"/>
    </xf>
    <xf numFmtId="0" fontId="12" fillId="0" borderId="3" xfId="0" applyFont="1" applyBorder="1" applyAlignment="1" applyProtection="1">
      <alignment vertical="center" wrapText="1"/>
    </xf>
    <xf numFmtId="0" fontId="4" fillId="0" borderId="3" xfId="0" applyFont="1" applyBorder="1" applyAlignment="1" applyProtection="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vertical="center" wrapText="1"/>
    </xf>
    <xf numFmtId="0" fontId="12" fillId="0" borderId="0" xfId="0" applyFont="1" applyAlignment="1">
      <alignment vertical="center" wrapText="1"/>
    </xf>
    <xf numFmtId="0" fontId="14" fillId="0" borderId="0" xfId="0" applyFont="1">
      <alignment vertical="center"/>
    </xf>
    <xf numFmtId="0" fontId="14" fillId="4" borderId="0" xfId="0" applyFont="1" applyFill="1">
      <alignment vertical="center"/>
    </xf>
    <xf numFmtId="0" fontId="14" fillId="6" borderId="0" xfId="0" applyFont="1" applyFill="1">
      <alignment vertical="center"/>
    </xf>
    <xf numFmtId="0" fontId="15" fillId="0" borderId="0" xfId="0" applyFont="1">
      <alignment vertical="center"/>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left" vertical="center" wrapText="1"/>
    </xf>
    <xf numFmtId="49" fontId="12" fillId="0" borderId="0" xfId="0" applyNumberFormat="1" applyFont="1" applyAlignment="1">
      <alignment horizontal="left" vertical="center" wrapText="1"/>
    </xf>
    <xf numFmtId="0" fontId="12" fillId="0" borderId="3" xfId="0" applyFont="1" applyBorder="1" applyProtection="1">
      <alignment vertical="center"/>
    </xf>
    <xf numFmtId="0" fontId="14" fillId="0" borderId="0" xfId="0" applyFont="1" applyAlignment="1">
      <alignment horizontal="center" vertical="center" wrapText="1"/>
    </xf>
    <xf numFmtId="0" fontId="14" fillId="7" borderId="7" xfId="0" applyFont="1" applyFill="1" applyBorder="1" applyAlignment="1" applyProtection="1">
      <alignment horizontal="center" vertical="center" wrapText="1"/>
    </xf>
    <xf numFmtId="0" fontId="16" fillId="7" borderId="8" xfId="0" applyFont="1" applyFill="1" applyBorder="1" applyAlignment="1" applyProtection="1">
      <alignment horizontal="center" vertical="top" textRotation="90"/>
    </xf>
    <xf numFmtId="0" fontId="14" fillId="0" borderId="0" xfId="0" applyFont="1">
      <alignment vertical="center"/>
    </xf>
    <xf numFmtId="0" fontId="12" fillId="0" borderId="0" xfId="0" applyFont="1" applyAlignment="1">
      <alignment horizontal="center" vertical="center"/>
    </xf>
    <xf numFmtId="0" fontId="16" fillId="7" borderId="5" xfId="0" applyFont="1" applyFill="1" applyBorder="1" applyAlignment="1" applyProtection="1">
      <alignment horizontal="center" vertical="top" textRotation="90"/>
    </xf>
    <xf numFmtId="1" fontId="12" fillId="0" borderId="4" xfId="0" applyNumberFormat="1" applyFont="1" applyBorder="1" applyAlignment="1" applyProtection="1">
      <alignment horizontal="left" vertical="top" shrinkToFit="1"/>
    </xf>
    <xf numFmtId="0" fontId="12" fillId="0" borderId="4" xfId="0" applyFont="1" applyBorder="1" applyAlignment="1" applyProtection="1">
      <alignment horizontal="left" vertical="center" wrapText="1"/>
    </xf>
    <xf numFmtId="0" fontId="12" fillId="0" borderId="3" xfId="0" applyFont="1" applyBorder="1" applyAlignment="1" applyProtection="1">
      <alignment horizontal="left" vertical="center" wrapText="1"/>
    </xf>
    <xf numFmtId="1" fontId="12" fillId="0" borderId="4" xfId="0" applyNumberFormat="1" applyFont="1" applyBorder="1" applyAlignment="1" applyProtection="1">
      <alignment horizontal="center" vertical="top" shrinkToFit="1"/>
    </xf>
    <xf numFmtId="0" fontId="15" fillId="0" borderId="0" xfId="0" applyFont="1" applyAlignment="1">
      <alignment horizontal="center" vertical="center"/>
    </xf>
    <xf numFmtId="0" fontId="12" fillId="0" borderId="4" xfId="0" applyFont="1" applyBorder="1" applyAlignment="1" applyProtection="1">
      <alignment horizontal="left" vertical="center" wrapText="1"/>
    </xf>
    <xf numFmtId="0" fontId="12" fillId="0" borderId="4" xfId="0" applyFont="1" applyBorder="1" applyAlignment="1" applyProtection="1">
      <alignment horizontal="center" vertical="center" wrapText="1"/>
    </xf>
    <xf numFmtId="0" fontId="12" fillId="0" borderId="9" xfId="0" applyFont="1" applyBorder="1" applyAlignment="1" applyProtection="1">
      <alignment horizontal="center" vertical="center"/>
    </xf>
    <xf numFmtId="0" fontId="12" fillId="0" borderId="9" xfId="0" applyFont="1" applyBorder="1" applyProtection="1">
      <alignment vertical="center"/>
    </xf>
    <xf numFmtId="0" fontId="12" fillId="0" borderId="4" xfId="0" applyFont="1" applyBorder="1" applyAlignment="1" applyProtection="1">
      <alignment horizontal="center" vertical="center"/>
    </xf>
    <xf numFmtId="0" fontId="12" fillId="0" borderId="4" xfId="0" applyFont="1" applyBorder="1" applyAlignment="1" applyProtection="1">
      <alignment horizontal="center" vertical="center"/>
    </xf>
    <xf numFmtId="0" fontId="12" fillId="0" borderId="4" xfId="0" applyFont="1" applyBorder="1" applyAlignment="1" applyProtection="1">
      <alignment vertical="center" wrapText="1"/>
    </xf>
    <xf numFmtId="0" fontId="12" fillId="0" borderId="4" xfId="0" applyFont="1" applyBorder="1" applyAlignment="1" applyProtection="1">
      <alignment horizontal="center" vertical="center"/>
    </xf>
    <xf numFmtId="0" fontId="12" fillId="0" borderId="9" xfId="0" applyFont="1" applyBorder="1" applyAlignment="1" applyProtection="1">
      <alignment horizontal="center" vertical="center"/>
    </xf>
    <xf numFmtId="0" fontId="12" fillId="0" borderId="9" xfId="0" applyFont="1" applyBorder="1" applyAlignment="1" applyProtection="1">
      <alignment horizontal="left" vertical="center" wrapText="1"/>
    </xf>
    <xf numFmtId="0" fontId="12" fillId="0" borderId="0" xfId="0" applyFont="1" applyAlignment="1">
      <alignment horizontal="center" vertical="center" wrapText="1"/>
    </xf>
    <xf numFmtId="49" fontId="12" fillId="0" borderId="4" xfId="0" applyNumberFormat="1" applyFont="1" applyBorder="1" applyAlignment="1" applyProtection="1">
      <alignment horizontal="center" vertical="center" wrapText="1"/>
    </xf>
    <xf numFmtId="0" fontId="12" fillId="0" borderId="4" xfId="0" applyFont="1" applyBorder="1" applyAlignment="1" applyProtection="1">
      <alignment horizontal="left" vertical="center"/>
    </xf>
    <xf numFmtId="49" fontId="12" fillId="0" borderId="10" xfId="0" applyNumberFormat="1" applyFont="1" applyBorder="1" applyAlignment="1" applyProtection="1">
      <alignment horizontal="center" vertical="center"/>
    </xf>
    <xf numFmtId="0" fontId="12" fillId="0" borderId="10" xfId="0" applyFont="1" applyBorder="1" applyProtection="1">
      <alignment vertical="center"/>
    </xf>
    <xf numFmtId="0" fontId="12" fillId="0" borderId="4" xfId="0" applyFont="1" applyBorder="1" applyProtection="1">
      <alignment vertical="center"/>
    </xf>
    <xf numFmtId="0" fontId="12" fillId="0" borderId="9" xfId="0" applyFont="1" applyBorder="1" applyAlignment="1" applyProtection="1">
      <alignment horizontal="center" vertical="center" wrapText="1"/>
    </xf>
    <xf numFmtId="0" fontId="17" fillId="0" borderId="0" xfId="0" applyFont="1">
      <alignment vertical="center"/>
    </xf>
    <xf numFmtId="0" fontId="15" fillId="0" borderId="0" xfId="0" applyFont="1" applyAlignment="1">
      <alignment horizontal="center" vertical="center" wrapText="1"/>
    </xf>
    <xf numFmtId="0" fontId="14" fillId="3" borderId="0" xfId="0" applyFont="1" applyFill="1" applyAlignment="1">
      <alignment horizontal="center" vertical="center"/>
    </xf>
    <xf numFmtId="0" fontId="14" fillId="3" borderId="0" xfId="0" applyFont="1" applyFill="1" applyAlignment="1">
      <alignment horizontal="left" vertical="center"/>
    </xf>
    <xf numFmtId="0" fontId="14" fillId="3" borderId="0" xfId="0" applyFont="1" applyFill="1" applyAlignment="1">
      <alignment horizontal="center" vertical="center"/>
    </xf>
    <xf numFmtId="0" fontId="12" fillId="0" borderId="4" xfId="0" applyFont="1" applyBorder="1" applyAlignment="1" applyProtection="1">
      <alignment horizontal="center" vertical="center" wrapText="1"/>
    </xf>
    <xf numFmtId="49" fontId="12" fillId="4" borderId="4" xfId="0" applyNumberFormat="1" applyFont="1" applyFill="1" applyBorder="1" applyAlignment="1" applyProtection="1">
      <alignment horizontal="center" vertical="center" wrapText="1"/>
    </xf>
    <xf numFmtId="0" fontId="12" fillId="0" borderId="0" xfId="0" applyFont="1" applyAlignment="1">
      <alignment horizontal="center" vertical="center" wrapText="1"/>
    </xf>
    <xf numFmtId="0" fontId="12" fillId="0" borderId="0" xfId="0" applyFont="1">
      <alignment vertical="center"/>
    </xf>
    <xf numFmtId="0" fontId="12" fillId="4" borderId="9" xfId="0" applyFont="1" applyFill="1" applyBorder="1" applyAlignment="1" applyProtection="1">
      <alignment horizontal="center" vertical="center" wrapText="1"/>
    </xf>
    <xf numFmtId="0" fontId="14" fillId="0" borderId="0" xfId="0" applyFont="1" applyAlignment="1">
      <alignment horizontal="center" vertical="center" wrapText="1"/>
    </xf>
    <xf numFmtId="0" fontId="12" fillId="2" borderId="0" xfId="0" applyFont="1" applyFill="1" applyAlignment="1">
      <alignment horizontal="center" vertical="center"/>
    </xf>
    <xf numFmtId="0" fontId="12" fillId="0" borderId="11" xfId="0" applyFont="1" applyBorder="1" applyAlignment="1" applyProtection="1">
      <alignment horizontal="left" vertical="center" wrapText="1"/>
    </xf>
    <xf numFmtId="49" fontId="12" fillId="0" borderId="11" xfId="0" applyNumberFormat="1" applyFont="1" applyBorder="1" applyAlignment="1" applyProtection="1">
      <alignment horizontal="left" vertical="center" wrapText="1"/>
    </xf>
    <xf numFmtId="0" fontId="12" fillId="0" borderId="11" xfId="0" applyFont="1" applyBorder="1" applyAlignment="1" applyProtection="1">
      <alignment horizontal="center" vertical="center" wrapText="1"/>
    </xf>
    <xf numFmtId="0" fontId="12" fillId="0" borderId="12" xfId="0" applyFont="1" applyBorder="1" applyAlignment="1" applyProtection="1">
      <alignment horizontal="left" vertical="center" wrapText="1"/>
    </xf>
    <xf numFmtId="0" fontId="12" fillId="0" borderId="12" xfId="0" applyFont="1" applyBorder="1" applyAlignment="1" applyProtection="1">
      <alignment horizontal="center" vertical="center" wrapText="1"/>
    </xf>
    <xf numFmtId="49" fontId="12" fillId="0" borderId="12" xfId="0" applyNumberFormat="1" applyFont="1" applyBorder="1" applyAlignment="1" applyProtection="1">
      <alignment horizontal="left" vertical="center" wrapText="1"/>
    </xf>
    <xf numFmtId="49" fontId="12" fillId="0" borderId="4" xfId="0" applyNumberFormat="1" applyFont="1" applyBorder="1" applyAlignment="1" applyProtection="1">
      <alignment horizontal="left" vertical="center" wrapText="1"/>
    </xf>
    <xf numFmtId="0" fontId="12" fillId="0" borderId="13" xfId="0" applyFont="1" applyBorder="1" applyAlignment="1" applyProtection="1">
      <alignment horizontal="center" vertical="center" wrapText="1"/>
    </xf>
    <xf numFmtId="0" fontId="12" fillId="0" borderId="14" xfId="0" applyFont="1" applyBorder="1" applyAlignment="1" applyProtection="1">
      <alignment horizontal="center" vertical="center" wrapText="1"/>
    </xf>
    <xf numFmtId="0" fontId="12" fillId="4" borderId="0" xfId="0" applyFont="1" applyFill="1" applyAlignment="1">
      <alignment vertical="center" wrapText="1"/>
    </xf>
    <xf numFmtId="0" fontId="15" fillId="5" borderId="0" xfId="0" applyFont="1" applyFill="1" applyAlignment="1">
      <alignment vertical="center" wrapText="1"/>
    </xf>
    <xf numFmtId="0" fontId="15" fillId="0" borderId="0" xfId="0" applyFont="1" applyAlignment="1">
      <alignment vertical="center" wrapText="1"/>
    </xf>
    <xf numFmtId="0" fontId="12" fillId="2" borderId="0" xfId="0" applyFont="1" applyFill="1" applyAlignment="1">
      <alignment vertical="center" wrapText="1"/>
    </xf>
    <xf numFmtId="0" fontId="12" fillId="5" borderId="0" xfId="0" applyFont="1" applyFill="1" applyAlignment="1">
      <alignment vertical="center" wrapText="1"/>
    </xf>
    <xf numFmtId="0" fontId="12" fillId="3" borderId="0" xfId="0" applyFont="1" applyFill="1" applyAlignment="1">
      <alignment vertical="center" wrapText="1"/>
    </xf>
    <xf numFmtId="0" fontId="15" fillId="2" borderId="0" xfId="0" applyFont="1" applyFill="1" applyAlignment="1">
      <alignment vertical="center" wrapText="1"/>
    </xf>
    <xf numFmtId="0" fontId="12" fillId="3" borderId="15" xfId="0" applyFont="1" applyFill="1" applyBorder="1" applyProtection="1">
      <alignment vertical="center"/>
    </xf>
    <xf numFmtId="0" fontId="12" fillId="4" borderId="0" xfId="0" applyFont="1" applyFill="1">
      <alignment vertical="center"/>
    </xf>
    <xf numFmtId="0" fontId="12" fillId="0" borderId="0" xfId="0" applyFont="1" applyAlignment="1">
      <alignment horizontal="left" vertical="center" wrapText="1"/>
    </xf>
    <xf numFmtId="0" fontId="15" fillId="0" borderId="0" xfId="0" applyFont="1" applyAlignment="1">
      <alignment horizontal="left" vertical="center" wrapText="1"/>
    </xf>
    <xf numFmtId="0" fontId="15" fillId="0" borderId="10" xfId="0" applyFont="1" applyBorder="1" applyAlignment="1" applyProtection="1">
      <alignment horizontal="left" vertical="center" wrapText="1"/>
    </xf>
    <xf numFmtId="0" fontId="12" fillId="0" borderId="10" xfId="0" applyFont="1" applyBorder="1" applyAlignment="1" applyProtection="1">
      <alignment horizontal="left" vertical="center" wrapText="1"/>
    </xf>
    <xf numFmtId="0" fontId="15" fillId="0" borderId="10"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2" fillId="0" borderId="10" xfId="0" applyFont="1" applyBorder="1" applyAlignment="1" applyProtection="1">
      <alignment horizontal="center" vertical="center" wrapText="1"/>
    </xf>
    <xf numFmtId="0" fontId="14" fillId="7" borderId="0" xfId="0" applyFont="1" applyFill="1" applyAlignment="1">
      <alignment horizontal="center" vertical="center" wrapText="1"/>
    </xf>
    <xf numFmtId="0" fontId="14" fillId="3" borderId="0" xfId="0" applyFont="1" applyFill="1" applyAlignment="1">
      <alignment horizontal="center" vertical="center" wrapText="1"/>
    </xf>
    <xf numFmtId="0" fontId="14" fillId="3" borderId="0" xfId="0" applyFont="1" applyFill="1" applyAlignment="1">
      <alignment horizontal="center" vertical="center" wrapText="1"/>
    </xf>
    <xf numFmtId="0" fontId="12" fillId="0" borderId="0" xfId="0" applyFont="1" applyAlignment="1">
      <alignment horizontal="center" vertical="center" wrapText="1"/>
    </xf>
    <xf numFmtId="0" fontId="14" fillId="5" borderId="0" xfId="0" applyFont="1" applyFill="1" applyAlignment="1">
      <alignment horizontal="center" vertical="center" wrapText="1"/>
    </xf>
    <xf numFmtId="0" fontId="12" fillId="0" borderId="16" xfId="0" applyFont="1" applyBorder="1" applyAlignment="1" applyProtection="1">
      <alignment horizontal="center" vertical="center" wrapText="1"/>
    </xf>
    <xf numFmtId="0" fontId="12" fillId="2" borderId="0" xfId="0" applyFont="1" applyFill="1" applyAlignment="1">
      <alignment horizontal="left" vertical="center" wrapText="1"/>
    </xf>
    <xf numFmtId="0" fontId="12" fillId="0" borderId="16" xfId="0" applyFont="1" applyBorder="1" applyAlignment="1" applyProtection="1">
      <alignment horizontal="left" vertical="center" wrapText="1"/>
    </xf>
    <xf numFmtId="0" fontId="12" fillId="0" borderId="17" xfId="0" applyFont="1" applyBorder="1" applyAlignment="1" applyProtection="1">
      <alignment horizontal="left" vertical="center" wrapText="1"/>
    </xf>
    <xf numFmtId="0" fontId="12" fillId="0" borderId="4" xfId="0" applyFont="1" applyBorder="1" applyAlignment="1" applyProtection="1">
      <alignment vertical="center" wrapText="1"/>
    </xf>
    <xf numFmtId="0" fontId="14" fillId="0" borderId="4" xfId="0" applyFont="1" applyBorder="1" applyAlignment="1" applyProtection="1">
      <alignment horizontal="center" vertical="center" wrapText="1"/>
    </xf>
    <xf numFmtId="0" fontId="12" fillId="2" borderId="0" xfId="0" applyFont="1" applyFill="1" applyAlignment="1">
      <alignment horizontal="center" vertical="center" wrapText="1"/>
    </xf>
    <xf numFmtId="0" fontId="12" fillId="3" borderId="0" xfId="0" applyFont="1" applyFill="1" applyAlignment="1">
      <alignment horizontal="center" vertical="center" wrapText="1"/>
    </xf>
    <xf numFmtId="0" fontId="12" fillId="2" borderId="0" xfId="0" applyFont="1" applyFill="1" applyAlignment="1">
      <alignment horizontal="center" vertical="center" wrapText="1"/>
    </xf>
    <xf numFmtId="0" fontId="15" fillId="0" borderId="0" xfId="0" applyFont="1" applyAlignment="1">
      <alignment horizontal="center" vertical="center" wrapText="1"/>
    </xf>
    <xf numFmtId="0" fontId="12" fillId="3" borderId="0" xfId="0" applyFont="1" applyFill="1" applyAlignment="1">
      <alignment horizontal="center" vertical="center" wrapText="1"/>
    </xf>
    <xf numFmtId="0" fontId="12" fillId="0" borderId="18" xfId="0" applyFont="1" applyBorder="1" applyAlignment="1" applyProtection="1">
      <alignment horizontal="center" vertical="center" wrapText="1"/>
    </xf>
    <xf numFmtId="0" fontId="12" fillId="0" borderId="19" xfId="0" applyFont="1" applyBorder="1" applyAlignment="1" applyProtection="1">
      <alignment horizontal="center" vertical="center" wrapText="1"/>
    </xf>
    <xf numFmtId="0" fontId="12" fillId="0" borderId="10" xfId="0" applyFont="1" applyBorder="1" applyAlignment="1" applyProtection="1">
      <alignment horizontal="left" vertical="center" wrapText="1"/>
    </xf>
    <xf numFmtId="0" fontId="12" fillId="0" borderId="10" xfId="0" applyFont="1" applyBorder="1" applyAlignment="1" applyProtection="1">
      <alignment vertical="center" wrapText="1"/>
    </xf>
    <xf numFmtId="0" fontId="12" fillId="2" borderId="10"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2" fillId="2" borderId="4" xfId="0" applyFont="1" applyFill="1" applyBorder="1" applyAlignment="1" applyProtection="1">
      <alignment horizontal="left" vertical="center" wrapText="1"/>
    </xf>
    <xf numFmtId="0" fontId="14" fillId="0" borderId="1" xfId="0" applyFont="1" applyBorder="1" applyAlignment="1" applyProtection="1">
      <alignment horizontal="center" vertical="center" wrapText="1"/>
    </xf>
    <xf numFmtId="0" fontId="14" fillId="0" borderId="2" xfId="0" applyFont="1" applyBorder="1" applyAlignment="1" applyProtection="1">
      <alignment horizontal="center" vertical="center" wrapText="1"/>
    </xf>
    <xf numFmtId="0" fontId="15" fillId="0" borderId="0" xfId="0" applyFont="1" applyAlignment="1">
      <alignment horizontal="left" vertical="center" wrapText="1"/>
    </xf>
    <xf numFmtId="0" fontId="4" fillId="5" borderId="0" xfId="0" applyFont="1" applyFill="1" applyAlignment="1">
      <alignment vertical="center" wrapText="1"/>
    </xf>
    <xf numFmtId="0" fontId="14" fillId="0" borderId="4" xfId="0" applyFont="1" applyBorder="1" applyAlignment="1" applyProtection="1">
      <alignment horizontal="left" vertical="center" wrapText="1"/>
    </xf>
    <xf numFmtId="0" fontId="14" fillId="8" borderId="0" xfId="0" applyFont="1" applyFill="1" applyAlignment="1">
      <alignment horizontal="center" vertical="center" wrapText="1"/>
    </xf>
    <xf numFmtId="0" fontId="18" fillId="8" borderId="0" xfId="0" applyFont="1" applyFill="1" applyAlignment="1">
      <alignment horizontal="center" vertical="center" wrapText="1"/>
    </xf>
    <xf numFmtId="0" fontId="18" fillId="0" borderId="0" xfId="0" applyFont="1" applyAlignment="1">
      <alignment horizontal="center" vertical="center" wrapText="1"/>
    </xf>
    <xf numFmtId="0" fontId="12" fillId="0" borderId="5" xfId="0" applyFont="1" applyBorder="1" applyAlignment="1" applyProtection="1">
      <alignment horizontal="left" vertical="center" wrapText="1"/>
    </xf>
    <xf numFmtId="0" fontId="12" fillId="0" borderId="20" xfId="0" applyFont="1" applyBorder="1" applyAlignment="1" applyProtection="1">
      <alignment horizontal="center" vertical="center" wrapText="1"/>
    </xf>
    <xf numFmtId="0" fontId="14" fillId="5" borderId="10" xfId="0" applyFont="1" applyFill="1" applyBorder="1" applyAlignment="1" applyProtection="1">
      <alignment horizontal="left" vertical="center" wrapText="1"/>
    </xf>
    <xf numFmtId="0" fontId="14" fillId="0" borderId="10" xfId="0" applyFont="1" applyBorder="1" applyAlignment="1" applyProtection="1">
      <alignment horizontal="left" vertical="center" wrapText="1"/>
    </xf>
    <xf numFmtId="0" fontId="14" fillId="0" borderId="10" xfId="0" applyFont="1" applyBorder="1" applyAlignment="1" applyProtection="1">
      <alignment horizontal="center" vertical="center" wrapText="1"/>
    </xf>
    <xf numFmtId="0" fontId="18" fillId="3" borderId="0" xfId="0" applyFont="1" applyFill="1" applyAlignment="1">
      <alignment horizontal="center" vertical="center" wrapText="1"/>
    </xf>
    <xf numFmtId="0" fontId="12" fillId="0" borderId="10" xfId="0" applyFont="1" applyBorder="1" applyAlignment="1" applyProtection="1">
      <alignment horizontal="center" vertical="center" wrapText="1"/>
    </xf>
    <xf numFmtId="0" fontId="12" fillId="4" borderId="0" xfId="0" applyFont="1" applyFill="1" applyAlignment="1">
      <alignment horizontal="center" vertical="center" wrapText="1"/>
    </xf>
    <xf numFmtId="0" fontId="12" fillId="4" borderId="0" xfId="0" applyFont="1" applyFill="1" applyAlignment="1">
      <alignment horizontal="left" vertical="center" wrapText="1"/>
    </xf>
    <xf numFmtId="0" fontId="8" fillId="0" borderId="4" xfId="0" applyFont="1" applyBorder="1" applyAlignment="1" applyProtection="1">
      <alignment vertical="center" wrapText="1"/>
    </xf>
    <xf numFmtId="0" fontId="8" fillId="0" borderId="4" xfId="0" applyFont="1" applyBorder="1" applyProtection="1">
      <alignment vertical="center"/>
    </xf>
    <xf numFmtId="0" fontId="12" fillId="4" borderId="4" xfId="0" applyFont="1" applyFill="1" applyBorder="1" applyAlignment="1" applyProtection="1">
      <alignment horizontal="left" vertical="center" wrapText="1"/>
    </xf>
    <xf numFmtId="0" fontId="12" fillId="4" borderId="10" xfId="0" applyFont="1" applyFill="1" applyBorder="1" applyAlignment="1" applyProtection="1">
      <alignment horizontal="center" vertical="center" wrapText="1"/>
    </xf>
    <xf numFmtId="0" fontId="12" fillId="4" borderId="4" xfId="0" applyFont="1" applyFill="1" applyBorder="1" applyAlignment="1" applyProtection="1">
      <alignment horizontal="center" vertical="center" wrapText="1"/>
    </xf>
    <xf numFmtId="0" fontId="12" fillId="0" borderId="17" xfId="0" applyFont="1" applyBorder="1" applyAlignment="1" applyProtection="1">
      <alignment horizontal="center" vertical="center" wrapText="1"/>
    </xf>
    <xf numFmtId="0" fontId="12" fillId="2" borderId="21" xfId="0" applyFont="1" applyFill="1" applyBorder="1" applyAlignment="1" applyProtection="1">
      <alignment vertical="center" wrapText="1"/>
    </xf>
    <xf numFmtId="0" fontId="12" fillId="2" borderId="22" xfId="0" applyFont="1" applyFill="1" applyBorder="1" applyAlignment="1" applyProtection="1">
      <alignment vertical="center" wrapText="1"/>
    </xf>
    <xf numFmtId="0" fontId="12" fillId="2" borderId="12" xfId="0" applyFont="1" applyFill="1" applyBorder="1" applyAlignment="1" applyProtection="1">
      <alignment horizontal="left" vertical="center" wrapText="1"/>
    </xf>
    <xf numFmtId="0" fontId="12" fillId="2" borderId="16" xfId="0" applyFont="1" applyFill="1" applyBorder="1" applyAlignment="1" applyProtection="1">
      <alignment vertical="center" wrapText="1"/>
    </xf>
    <xf numFmtId="0" fontId="12" fillId="2" borderId="11" xfId="0" applyFont="1" applyFill="1" applyBorder="1" applyAlignment="1" applyProtection="1">
      <alignment vertical="center" wrapText="1"/>
    </xf>
    <xf numFmtId="0" fontId="14" fillId="4" borderId="0" xfId="0" applyFont="1" applyFill="1" applyAlignment="1">
      <alignment horizontal="center" vertical="center" wrapText="1"/>
    </xf>
    <xf numFmtId="0" fontId="12" fillId="4" borderId="20" xfId="0" applyFont="1" applyFill="1" applyBorder="1" applyAlignment="1" applyProtection="1">
      <alignment horizontal="center" vertical="center" wrapText="1"/>
    </xf>
    <xf numFmtId="0" fontId="14" fillId="2" borderId="0" xfId="0" applyFont="1" applyFill="1" applyAlignment="1">
      <alignment horizontal="center" vertical="center" wrapText="1"/>
    </xf>
    <xf numFmtId="0" fontId="12" fillId="2" borderId="19" xfId="0" applyFont="1" applyFill="1" applyBorder="1" applyAlignment="1" applyProtection="1">
      <alignment horizontal="center" vertical="center" wrapText="1"/>
    </xf>
    <xf numFmtId="0" fontId="14" fillId="0" borderId="20" xfId="0" applyFont="1" applyBorder="1" applyAlignment="1" applyProtection="1">
      <alignment horizontal="center" vertical="center" wrapText="1"/>
    </xf>
    <xf numFmtId="0" fontId="12" fillId="0" borderId="20" xfId="0" applyFont="1" applyBorder="1" applyAlignment="1" applyProtection="1">
      <alignment vertical="center" wrapText="1"/>
    </xf>
    <xf numFmtId="0" fontId="12" fillId="3" borderId="0" xfId="0" applyFont="1" applyFill="1" applyAlignment="1">
      <alignment horizontal="center" vertical="center" wrapText="1"/>
    </xf>
    <xf numFmtId="0" fontId="12" fillId="0" borderId="0" xfId="0" applyFont="1" applyAlignment="1">
      <alignment vertical="center" wrapText="1"/>
    </xf>
    <xf numFmtId="0" fontId="12" fillId="5" borderId="0" xfId="0" applyFont="1" applyFill="1" applyAlignment="1">
      <alignment horizontal="center" vertical="center" wrapText="1"/>
    </xf>
    <xf numFmtId="0" fontId="12" fillId="5" borderId="0" xfId="0" applyFont="1" applyFill="1" applyAlignment="1">
      <alignment horizontal="center" vertical="center" wrapText="1"/>
    </xf>
    <xf numFmtId="0" fontId="3" fillId="2" borderId="0" xfId="0" applyFont="1" applyFill="1" applyAlignment="1">
      <alignment vertical="center" wrapText="1"/>
    </xf>
    <xf numFmtId="0" fontId="12" fillId="2" borderId="10" xfId="0" applyFont="1" applyFill="1" applyBorder="1" applyAlignment="1" applyProtection="1">
      <alignment horizontal="left" vertical="center" wrapText="1"/>
    </xf>
    <xf numFmtId="0" fontId="19" fillId="0" borderId="0" xfId="0" applyFont="1" applyAlignment="1">
      <alignment vertical="center" wrapText="1"/>
    </xf>
    <xf numFmtId="0" fontId="19" fillId="0" borderId="0" xfId="0" applyFont="1" applyAlignment="1">
      <alignment vertical="center" wrapText="1"/>
    </xf>
    <xf numFmtId="0" fontId="14" fillId="0" borderId="4" xfId="0" applyFont="1" applyBorder="1" applyAlignment="1" applyProtection="1">
      <alignment vertical="center" wrapText="1"/>
    </xf>
    <xf numFmtId="0" fontId="14" fillId="0" borderId="0" xfId="0" applyFont="1" applyAlignment="1">
      <alignment horizontal="center" vertical="center"/>
    </xf>
    <xf numFmtId="0" fontId="14" fillId="5" borderId="3" xfId="0" applyFont="1" applyFill="1" applyBorder="1" applyAlignment="1" applyProtection="1">
      <alignment vertical="center" wrapText="1"/>
    </xf>
    <xf numFmtId="0" fontId="14" fillId="0" borderId="0" xfId="0" applyFont="1" applyAlignment="1">
      <alignment horizontal="left" vertical="center"/>
    </xf>
    <xf numFmtId="0" fontId="12" fillId="0" borderId="3" xfId="0" applyFont="1" applyBorder="1" applyAlignment="1" applyProtection="1">
      <alignment horizontal="left" vertical="center" wrapText="1"/>
    </xf>
    <xf numFmtId="0" fontId="14" fillId="5" borderId="23" xfId="0" applyFont="1" applyFill="1" applyBorder="1" applyAlignment="1" applyProtection="1">
      <alignment vertical="center" wrapText="1"/>
    </xf>
    <xf numFmtId="0" fontId="14" fillId="5" borderId="24" xfId="0" applyFont="1" applyFill="1" applyBorder="1" applyAlignment="1" applyProtection="1">
      <alignment vertical="center" wrapText="1"/>
    </xf>
    <xf numFmtId="0" fontId="12" fillId="0" borderId="24" xfId="0" applyFont="1" applyBorder="1" applyAlignment="1" applyProtection="1">
      <alignment vertical="center" wrapText="1"/>
    </xf>
    <xf numFmtId="0" fontId="14" fillId="4" borderId="0" xfId="0" applyFont="1" applyFill="1" applyAlignment="1">
      <alignment horizontal="center" vertical="center"/>
    </xf>
    <xf numFmtId="0" fontId="14" fillId="4" borderId="0" xfId="0" applyFont="1" applyFill="1" applyAlignment="1">
      <alignment horizontal="left" vertical="center"/>
    </xf>
    <xf numFmtId="0" fontId="12" fillId="4" borderId="4" xfId="0" applyFont="1" applyFill="1" applyBorder="1" applyAlignment="1" applyProtection="1">
      <alignment vertical="center" wrapText="1"/>
    </xf>
    <xf numFmtId="0" fontId="8" fillId="0" borderId="0" xfId="0" applyFont="1" applyAlignment="1">
      <alignment horizontal="center" vertical="center"/>
    </xf>
    <xf numFmtId="0" fontId="20" fillId="0" borderId="0" xfId="0" applyFont="1" applyAlignment="1">
      <alignment horizontal="left" vertical="center" wrapText="1"/>
    </xf>
    <xf numFmtId="178" fontId="21" fillId="2" borderId="4" xfId="0" applyNumberFormat="1" applyFont="1" applyFill="1" applyBorder="1" applyAlignment="1" applyProtection="1">
      <alignment horizontal="center" vertical="center" wrapText="1"/>
    </xf>
    <xf numFmtId="0" fontId="12" fillId="0" borderId="25" xfId="0" applyFont="1" applyBorder="1" applyAlignment="1" applyProtection="1">
      <alignment vertical="center" wrapText="1"/>
    </xf>
    <xf numFmtId="0" fontId="12" fillId="0" borderId="26" xfId="0" applyFont="1" applyBorder="1" applyAlignment="1" applyProtection="1">
      <alignment vertical="center" wrapText="1"/>
    </xf>
    <xf numFmtId="0" fontId="12" fillId="4" borderId="24" xfId="0" applyFont="1" applyFill="1" applyBorder="1" applyAlignment="1" applyProtection="1">
      <alignment vertical="center" wrapText="1"/>
    </xf>
    <xf numFmtId="176" fontId="3" fillId="0" borderId="5" xfId="0" applyNumberFormat="1" applyFont="1" applyBorder="1" applyAlignment="1" applyProtection="1">
      <alignment horizontal="left" vertical="center"/>
      <protection locked="0"/>
    </xf>
    <xf numFmtId="176" fontId="3" fillId="0" borderId="0" xfId="0" applyNumberFormat="1" applyFont="1" applyAlignment="1" applyProtection="1">
      <alignment horizontal="left" vertical="center"/>
      <protection locked="0"/>
    </xf>
    <xf numFmtId="0" fontId="8" fillId="0" borderId="0" xfId="0" applyFont="1" applyAlignment="1">
      <alignment horizontal="center" vertical="center"/>
    </xf>
    <xf numFmtId="0" fontId="14" fillId="0" borderId="3" xfId="0" applyFont="1" applyBorder="1" applyAlignment="1" applyProtection="1">
      <alignment vertical="center" wrapText="1"/>
    </xf>
    <xf numFmtId="0" fontId="8" fillId="0" borderId="3" xfId="0" applyFont="1" applyBorder="1" applyAlignment="1" applyProtection="1">
      <alignment vertical="center" wrapText="1"/>
    </xf>
    <xf numFmtId="0" fontId="12" fillId="5" borderId="0" xfId="0" applyFont="1" applyFill="1" applyAlignment="1">
      <alignment vertical="center" wrapText="1"/>
    </xf>
    <xf numFmtId="0" fontId="14" fillId="3" borderId="0" xfId="0" applyFont="1" applyFill="1" applyAlignment="1">
      <alignment horizontal="center" vertical="center" wrapText="1"/>
    </xf>
    <xf numFmtId="0" fontId="12"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horizontal="center" vertical="center" wrapText="1"/>
    </xf>
    <xf numFmtId="0" fontId="12" fillId="0" borderId="0" xfId="0" applyFont="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left" vertical="center" wrapText="1"/>
    </xf>
    <xf numFmtId="0" fontId="14" fillId="5" borderId="10" xfId="0" applyFont="1" applyFill="1" applyBorder="1" applyAlignment="1" applyProtection="1">
      <alignment horizontal="left" vertical="center" wrapText="1"/>
    </xf>
    <xf numFmtId="0" fontId="12" fillId="9" borderId="0" xfId="0" applyFont="1" applyFill="1" applyAlignment="1">
      <alignment vertical="center" wrapText="1"/>
    </xf>
    <xf numFmtId="0" fontId="12" fillId="9" borderId="0" xfId="0" applyFont="1" applyFill="1" applyAlignment="1">
      <alignment horizontal="center" vertical="center" wrapText="1"/>
    </xf>
    <xf numFmtId="0" fontId="14" fillId="9" borderId="0" xfId="0" applyFont="1" applyFill="1" applyAlignment="1">
      <alignment horizontal="center" vertical="center" wrapText="1"/>
    </xf>
    <xf numFmtId="0" fontId="12" fillId="9" borderId="0" xfId="0" applyFont="1" applyFill="1" applyAlignment="1">
      <alignment horizontal="left" vertical="center" wrapText="1"/>
    </xf>
    <xf numFmtId="0" fontId="12" fillId="2" borderId="24" xfId="0" applyFont="1" applyFill="1" applyBorder="1" applyAlignment="1" applyProtection="1">
      <alignment vertical="center" wrapText="1"/>
    </xf>
    <xf numFmtId="0" fontId="12" fillId="2" borderId="3" xfId="0" applyFont="1" applyFill="1" applyBorder="1" applyAlignment="1" applyProtection="1">
      <alignment vertical="center" wrapText="1"/>
    </xf>
    <xf numFmtId="0" fontId="4" fillId="2" borderId="3" xfId="0" applyFont="1" applyFill="1" applyBorder="1" applyProtection="1">
      <alignment vertical="center"/>
    </xf>
    <xf numFmtId="0" fontId="12" fillId="4" borderId="3" xfId="0" applyFont="1" applyFill="1" applyBorder="1" applyAlignment="1" applyProtection="1">
      <alignment vertical="center" wrapText="1"/>
    </xf>
    <xf numFmtId="0" fontId="4" fillId="0" borderId="0" xfId="0" applyFont="1">
      <alignment vertical="center"/>
    </xf>
    <xf numFmtId="0" fontId="12" fillId="4" borderId="24" xfId="0" applyFont="1" applyFill="1" applyBorder="1" applyAlignment="1" applyProtection="1">
      <alignment vertical="center" wrapText="1"/>
    </xf>
    <xf numFmtId="0" fontId="12" fillId="5" borderId="3" xfId="0" applyFont="1" applyFill="1" applyBorder="1" applyAlignment="1" applyProtection="1">
      <alignment vertical="center" wrapText="1"/>
    </xf>
    <xf numFmtId="0" fontId="4" fillId="5" borderId="3" xfId="0" applyFont="1" applyFill="1" applyBorder="1" applyProtection="1">
      <alignment vertical="center"/>
    </xf>
    <xf numFmtId="0" fontId="14" fillId="3" borderId="4" xfId="0" applyFont="1" applyFill="1" applyBorder="1" applyAlignment="1" applyProtection="1">
      <alignment horizontal="left" vertical="center" wrapText="1"/>
    </xf>
    <xf numFmtId="0" fontId="19" fillId="0" borderId="3" xfId="0" applyFont="1" applyBorder="1" applyAlignment="1" applyProtection="1">
      <alignment vertical="center" wrapText="1"/>
    </xf>
    <xf numFmtId="0" fontId="19" fillId="0" borderId="3" xfId="0" applyFont="1" applyBorder="1" applyAlignment="1" applyProtection="1">
      <alignment vertical="center" wrapText="1"/>
    </xf>
    <xf numFmtId="0" fontId="19" fillId="0" borderId="27" xfId="0" applyFont="1" applyBorder="1" applyAlignment="1" applyProtection="1">
      <alignment vertical="center" wrapText="1"/>
    </xf>
    <xf numFmtId="0" fontId="19" fillId="0" borderId="28" xfId="0" applyFont="1" applyBorder="1" applyAlignment="1" applyProtection="1">
      <alignment vertical="center" wrapText="1"/>
    </xf>
    <xf numFmtId="0" fontId="19" fillId="0" borderId="28" xfId="0" applyFont="1" applyBorder="1" applyAlignment="1" applyProtection="1">
      <alignment vertical="center" wrapText="1"/>
    </xf>
    <xf numFmtId="0" fontId="12" fillId="4" borderId="0" xfId="0" applyFont="1" applyFill="1" applyAlignment="1">
      <alignment horizontal="center" vertical="center"/>
    </xf>
    <xf numFmtId="49" fontId="13" fillId="0" borderId="0" xfId="0" applyNumberFormat="1" applyFont="1" applyAlignment="1">
      <alignment horizontal="left" vertical="center" wrapText="1"/>
    </xf>
    <xf numFmtId="0" fontId="14" fillId="0" borderId="0" xfId="0" applyFont="1">
      <alignment vertical="center"/>
    </xf>
    <xf numFmtId="0" fontId="14" fillId="0" borderId="0" xfId="0" applyFont="1">
      <alignment vertical="center"/>
    </xf>
    <xf numFmtId="0" fontId="12" fillId="0" borderId="0" xfId="0" applyFont="1">
      <alignment vertical="center"/>
    </xf>
    <xf numFmtId="0" fontId="12" fillId="0" borderId="0" xfId="0" applyFont="1">
      <alignment vertical="center"/>
    </xf>
    <xf numFmtId="0" fontId="4" fillId="0" borderId="10" xfId="0" applyFont="1" applyBorder="1" applyProtection="1">
      <alignment vertical="center"/>
    </xf>
    <xf numFmtId="0" fontId="12" fillId="0" borderId="10" xfId="0" applyFont="1" applyBorder="1" applyProtection="1">
      <alignment vertical="center"/>
    </xf>
    <xf numFmtId="0" fontId="12" fillId="0" borderId="10" xfId="0" applyFont="1" applyBorder="1" applyAlignment="1" applyProtection="1">
      <alignment vertical="center" wrapText="1"/>
    </xf>
    <xf numFmtId="0" fontId="12" fillId="0" borderId="4" xfId="0" applyFont="1" applyBorder="1" applyAlignment="1" applyProtection="1">
      <alignment vertical="center" wrapText="1"/>
    </xf>
    <xf numFmtId="0" fontId="14" fillId="4" borderId="0" xfId="0" applyFont="1" applyFill="1">
      <alignment vertical="center"/>
    </xf>
    <xf numFmtId="0" fontId="12" fillId="0" borderId="10" xfId="0" quotePrefix="1" applyFont="1" applyBorder="1" applyAlignment="1" applyProtection="1">
      <alignment vertical="center" wrapText="1"/>
    </xf>
    <xf numFmtId="0" fontId="12" fillId="0" borderId="10" xfId="0" applyFont="1" applyBorder="1" applyAlignment="1" applyProtection="1">
      <alignment vertical="center" wrapText="1"/>
    </xf>
    <xf numFmtId="0" fontId="12" fillId="0" borderId="29" xfId="0" applyFont="1" applyBorder="1" applyProtection="1">
      <alignment vertical="center"/>
    </xf>
    <xf numFmtId="0" fontId="12" fillId="0" borderId="4" xfId="0" applyFont="1" applyBorder="1" applyProtection="1">
      <alignment vertical="center"/>
    </xf>
    <xf numFmtId="0" fontId="12" fillId="10" borderId="10" xfId="0" applyFont="1" applyFill="1" applyBorder="1" applyProtection="1">
      <alignment vertical="center"/>
    </xf>
    <xf numFmtId="0" fontId="4" fillId="0" borderId="0" xfId="0" applyFont="1">
      <alignment vertical="center"/>
    </xf>
    <xf numFmtId="0" fontId="4" fillId="0" borderId="0" xfId="0" applyFont="1" applyAlignment="1">
      <alignment vertical="center" wrapText="1"/>
    </xf>
    <xf numFmtId="0" fontId="15" fillId="0" borderId="0" xfId="0" applyFont="1">
      <alignment vertical="center"/>
    </xf>
    <xf numFmtId="0" fontId="15" fillId="0" borderId="0" xfId="0" applyFont="1">
      <alignment vertical="center"/>
    </xf>
    <xf numFmtId="0" fontId="7" fillId="0" borderId="10" xfId="0" applyFont="1" applyBorder="1" applyProtection="1">
      <alignment vertical="center"/>
    </xf>
    <xf numFmtId="0" fontId="18" fillId="4" borderId="0" xfId="0" applyFont="1" applyFill="1">
      <alignment vertical="center"/>
    </xf>
    <xf numFmtId="0" fontId="15" fillId="0" borderId="4" xfId="0" applyFont="1" applyBorder="1" applyProtection="1">
      <alignment vertical="center"/>
    </xf>
    <xf numFmtId="0" fontId="15" fillId="0" borderId="10" xfId="0" applyFont="1" applyBorder="1" applyProtection="1">
      <alignment vertical="center"/>
    </xf>
    <xf numFmtId="0" fontId="15" fillId="0" borderId="29" xfId="0" applyFont="1" applyBorder="1" applyProtection="1">
      <alignment vertical="center"/>
    </xf>
    <xf numFmtId="0" fontId="7" fillId="0" borderId="0" xfId="0" applyFont="1">
      <alignment vertical="center"/>
    </xf>
    <xf numFmtId="0" fontId="15" fillId="10" borderId="10" xfId="0" applyFont="1" applyFill="1" applyBorder="1" applyProtection="1">
      <alignment vertical="center"/>
    </xf>
    <xf numFmtId="0" fontId="12" fillId="0" borderId="9" xfId="0" applyFont="1" applyBorder="1" applyAlignment="1" applyProtection="1">
      <alignment horizontal="left" vertical="top"/>
    </xf>
    <xf numFmtId="0" fontId="12" fillId="0" borderId="4" xfId="0" applyFont="1" applyBorder="1" applyAlignment="1" applyProtection="1">
      <alignment horizontal="center" vertical="center"/>
    </xf>
    <xf numFmtId="0" fontId="12" fillId="0" borderId="4" xfId="0" applyFont="1" applyBorder="1" applyAlignment="1" applyProtection="1">
      <alignment horizontal="left" vertical="top" wrapText="1"/>
    </xf>
    <xf numFmtId="0" fontId="12" fillId="0" borderId="9" xfId="0" applyFont="1" applyBorder="1" applyAlignment="1" applyProtection="1">
      <alignment horizontal="left" vertical="center" wrapText="1"/>
    </xf>
    <xf numFmtId="0" fontId="12" fillId="0" borderId="9" xfId="0" applyFont="1" applyBorder="1" applyAlignment="1" applyProtection="1">
      <alignment horizontal="center" vertical="center"/>
    </xf>
    <xf numFmtId="0" fontId="12" fillId="0" borderId="4" xfId="0" applyFont="1" applyBorder="1" applyAlignment="1" applyProtection="1">
      <alignment vertical="center" wrapText="1"/>
    </xf>
    <xf numFmtId="0" fontId="12" fillId="0" borderId="4" xfId="0" applyFont="1" applyBorder="1" applyAlignment="1" applyProtection="1">
      <alignment horizontal="center" vertical="center"/>
    </xf>
    <xf numFmtId="0" fontId="12" fillId="0" borderId="4" xfId="0" applyFont="1" applyBorder="1" applyAlignment="1" applyProtection="1">
      <alignment horizontal="center" vertical="center"/>
    </xf>
    <xf numFmtId="0" fontId="12" fillId="0" borderId="4" xfId="0" applyFont="1" applyBorder="1" applyAlignment="1" applyProtection="1">
      <alignment horizontal="left" vertical="center" wrapText="1"/>
    </xf>
    <xf numFmtId="0" fontId="12" fillId="0" borderId="9" xfId="0" applyFont="1" applyBorder="1" applyAlignment="1" applyProtection="1">
      <alignment horizontal="center" vertical="center"/>
    </xf>
    <xf numFmtId="1" fontId="12" fillId="0" borderId="9" xfId="0" applyNumberFormat="1" applyFont="1" applyBorder="1" applyAlignment="1" applyProtection="1">
      <alignment horizontal="center" vertical="top" shrinkToFit="1"/>
    </xf>
    <xf numFmtId="2" fontId="12" fillId="0" borderId="4" xfId="0" applyNumberFormat="1" applyFont="1" applyBorder="1" applyAlignment="1" applyProtection="1">
      <alignment horizontal="center" vertical="center" shrinkToFit="1"/>
    </xf>
    <xf numFmtId="0" fontId="12" fillId="0" borderId="4" xfId="0" applyFont="1" applyBorder="1" applyAlignment="1" applyProtection="1">
      <alignment horizontal="center" vertical="top" wrapText="1"/>
    </xf>
    <xf numFmtId="0" fontId="12" fillId="0" borderId="9" xfId="0" applyFont="1" applyBorder="1" applyProtection="1">
      <alignment vertical="center"/>
    </xf>
    <xf numFmtId="49" fontId="12" fillId="0" borderId="4" xfId="0" applyNumberFormat="1" applyFont="1" applyBorder="1" applyAlignment="1" applyProtection="1">
      <alignment vertical="center" wrapText="1"/>
    </xf>
    <xf numFmtId="0" fontId="14" fillId="0" borderId="0" xfId="0" applyFont="1" applyAlignment="1">
      <alignment horizontal="center" vertical="center" wrapText="1"/>
    </xf>
    <xf numFmtId="0" fontId="14" fillId="2" borderId="0" xfId="0" applyFont="1" applyFill="1">
      <alignment vertical="center"/>
    </xf>
    <xf numFmtId="1" fontId="12" fillId="0" borderId="5" xfId="0" applyNumberFormat="1" applyFont="1" applyBorder="1" applyAlignment="1" applyProtection="1">
      <alignment horizontal="center" vertical="top" shrinkToFit="1"/>
    </xf>
    <xf numFmtId="0" fontId="14" fillId="4" borderId="0" xfId="0" applyFont="1" applyFill="1">
      <alignment vertical="center"/>
    </xf>
    <xf numFmtId="0" fontId="12" fillId="0" borderId="9" xfId="0" applyFont="1" applyBorder="1" applyAlignment="1" applyProtection="1">
      <alignment horizontal="center" vertical="center"/>
    </xf>
    <xf numFmtId="0" fontId="12" fillId="0" borderId="4" xfId="0" applyFont="1" applyBorder="1" applyAlignment="1" applyProtection="1">
      <alignment horizontal="center" vertical="center" wrapText="1"/>
    </xf>
    <xf numFmtId="0" fontId="12" fillId="0" borderId="4" xfId="0" applyFont="1" applyBorder="1" applyAlignment="1" applyProtection="1">
      <alignment horizontal="left" vertical="top" wrapText="1"/>
    </xf>
    <xf numFmtId="1" fontId="12" fillId="0" borderId="4" xfId="0" applyNumberFormat="1" applyFont="1" applyBorder="1" applyAlignment="1" applyProtection="1">
      <alignment horizontal="center" vertical="top" shrinkToFit="1"/>
    </xf>
    <xf numFmtId="1" fontId="12" fillId="0" borderId="4" xfId="0" applyNumberFormat="1" applyFont="1" applyBorder="1" applyAlignment="1" applyProtection="1">
      <alignment horizontal="center" vertical="center" shrinkToFit="1"/>
    </xf>
    <xf numFmtId="1" fontId="12" fillId="0" borderId="4" xfId="0" applyNumberFormat="1" applyFont="1" applyBorder="1" applyAlignment="1" applyProtection="1">
      <alignment horizontal="left" vertical="top" shrinkToFit="1"/>
    </xf>
    <xf numFmtId="0" fontId="12" fillId="0" borderId="0" xfId="0" applyFont="1" applyAlignment="1">
      <alignment horizontal="center" vertical="center"/>
    </xf>
    <xf numFmtId="0" fontId="12" fillId="0" borderId="0" xfId="0" applyFont="1" applyAlignment="1">
      <alignment horizontal="center" vertical="center"/>
    </xf>
    <xf numFmtId="0" fontId="14" fillId="0" borderId="0" xfId="0" applyFont="1">
      <alignment vertical="center"/>
    </xf>
    <xf numFmtId="0" fontId="14" fillId="0" borderId="0" xfId="0" applyFont="1">
      <alignment vertical="center"/>
    </xf>
    <xf numFmtId="2" fontId="12" fillId="0" borderId="10" xfId="0" applyNumberFormat="1" applyFont="1" applyBorder="1" applyProtection="1">
      <alignment vertical="center"/>
    </xf>
    <xf numFmtId="2" fontId="15" fillId="0" borderId="10" xfId="0" applyNumberFormat="1" applyFont="1" applyBorder="1" applyProtection="1">
      <alignment vertical="center"/>
    </xf>
    <xf numFmtId="2" fontId="12" fillId="0" borderId="4" xfId="0" applyNumberFormat="1" applyFont="1" applyBorder="1" applyAlignment="1" applyProtection="1">
      <alignment horizontal="center" vertical="center"/>
    </xf>
    <xf numFmtId="2" fontId="12" fillId="0" borderId="4" xfId="0" applyNumberFormat="1" applyFont="1" applyBorder="1" applyAlignment="1" applyProtection="1">
      <alignment horizontal="center" vertical="center" wrapText="1"/>
    </xf>
    <xf numFmtId="2" fontId="12" fillId="0" borderId="4" xfId="0" applyNumberFormat="1" applyFont="1" applyBorder="1" applyAlignment="1" applyProtection="1">
      <alignment horizontal="center" vertical="center"/>
    </xf>
    <xf numFmtId="2" fontId="12" fillId="0" borderId="4" xfId="0" applyNumberFormat="1" applyFont="1" applyBorder="1" applyAlignment="1" applyProtection="1">
      <alignment horizontal="center" vertical="center" wrapText="1"/>
    </xf>
    <xf numFmtId="2" fontId="12" fillId="0" borderId="4" xfId="0" applyNumberFormat="1" applyFont="1" applyBorder="1" applyAlignment="1" applyProtection="1">
      <alignment horizontal="center" vertical="center"/>
    </xf>
    <xf numFmtId="2" fontId="12" fillId="0" borderId="4" xfId="0" applyNumberFormat="1" applyFont="1" applyBorder="1" applyAlignment="1" applyProtection="1">
      <alignment horizontal="center" vertical="center" wrapText="1"/>
    </xf>
    <xf numFmtId="2" fontId="12" fillId="0" borderId="11" xfId="0" applyNumberFormat="1" applyFont="1" applyBorder="1" applyAlignment="1" applyProtection="1">
      <alignment horizontal="center" vertical="center" wrapText="1"/>
    </xf>
    <xf numFmtId="2" fontId="12" fillId="0" borderId="12" xfId="0" applyNumberFormat="1" applyFont="1" applyBorder="1" applyAlignment="1" applyProtection="1">
      <alignment horizontal="center" vertical="center" wrapText="1"/>
    </xf>
    <xf numFmtId="2" fontId="12" fillId="0" borderId="0" xfId="0" applyNumberFormat="1" applyFont="1" applyAlignment="1">
      <alignment horizontal="center" vertical="center"/>
    </xf>
    <xf numFmtId="0" fontId="9" fillId="0" borderId="3" xfId="0" applyFont="1" applyBorder="1" applyAlignment="1" applyProtection="1">
      <alignment horizontal="center" vertical="center"/>
    </xf>
    <xf numFmtId="0" fontId="9" fillId="0" borderId="3" xfId="0" applyFont="1" applyBorder="1" applyAlignment="1" applyProtection="1">
      <alignment horizontal="left" vertical="center"/>
    </xf>
    <xf numFmtId="0" fontId="9" fillId="5" borderId="3" xfId="0" applyFont="1" applyFill="1" applyBorder="1" applyProtection="1">
      <alignment vertical="center"/>
    </xf>
    <xf numFmtId="0" fontId="4" fillId="4" borderId="5" xfId="0" applyFont="1" applyFill="1" applyBorder="1" applyAlignment="1" applyProtection="1">
      <alignment horizontal="center" vertical="center"/>
    </xf>
    <xf numFmtId="0" fontId="4" fillId="0" borderId="5" xfId="0" applyFont="1" applyBorder="1" applyProtection="1">
      <alignment vertical="center"/>
    </xf>
    <xf numFmtId="0" fontId="11" fillId="0" borderId="6" xfId="0" applyFont="1" applyBorder="1" applyAlignment="1" applyProtection="1">
      <alignment horizontal="left" vertical="center"/>
    </xf>
    <xf numFmtId="0" fontId="4" fillId="4" borderId="4" xfId="0" applyFont="1" applyFill="1" applyBorder="1" applyProtection="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5" borderId="0" xfId="0" applyFont="1" applyFill="1" applyAlignment="1">
      <alignment horizontal="center" vertical="center"/>
    </xf>
    <xf numFmtId="0" fontId="4" fillId="2" borderId="0" xfId="0" applyFont="1" applyFill="1" applyAlignment="1">
      <alignment horizontal="center" vertical="center"/>
    </xf>
    <xf numFmtId="0" fontId="4" fillId="4" borderId="0" xfId="0" applyFont="1" applyFill="1" applyAlignment="1">
      <alignment horizontal="center" vertical="center"/>
    </xf>
    <xf numFmtId="0" fontId="7" fillId="4" borderId="0" xfId="0" applyFont="1" applyFill="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0" fontId="7" fillId="5" borderId="0" xfId="0" applyFont="1" applyFill="1" applyAlignment="1">
      <alignment horizontal="center" vertical="center"/>
    </xf>
    <xf numFmtId="0" fontId="4" fillId="5" borderId="5" xfId="0" applyFont="1" applyFill="1" applyBorder="1" applyAlignment="1" applyProtection="1">
      <alignment horizontal="center" vertical="center"/>
    </xf>
    <xf numFmtId="0" fontId="7" fillId="0" borderId="3" xfId="0" applyFont="1" applyBorder="1" applyProtection="1">
      <alignment vertical="center"/>
    </xf>
    <xf numFmtId="0" fontId="7" fillId="0" borderId="3" xfId="0" applyFont="1" applyBorder="1" applyAlignment="1" applyProtection="1">
      <alignment horizontal="left" vertical="center"/>
    </xf>
    <xf numFmtId="49" fontId="7" fillId="0" borderId="3" xfId="0" applyNumberFormat="1" applyFont="1" applyBorder="1" applyProtection="1">
      <alignment vertical="center"/>
    </xf>
    <xf numFmtId="178" fontId="22" fillId="4" borderId="3" xfId="0" applyNumberFormat="1" applyFont="1" applyFill="1" applyBorder="1" applyAlignment="1" applyProtection="1">
      <alignment horizontal="left" vertical="center"/>
    </xf>
    <xf numFmtId="0" fontId="7" fillId="4" borderId="3" xfId="0" applyFont="1" applyFill="1" applyBorder="1" applyAlignment="1" applyProtection="1">
      <alignment horizontal="left" vertical="center" wrapText="1"/>
    </xf>
    <xf numFmtId="178" fontId="22" fillId="4" borderId="3" xfId="0" applyNumberFormat="1" applyFont="1" applyFill="1" applyBorder="1" applyAlignment="1" applyProtection="1">
      <alignment horizontal="left" vertical="center" wrapText="1"/>
    </xf>
    <xf numFmtId="178" fontId="22" fillId="0" borderId="3" xfId="0" applyNumberFormat="1" applyFont="1" applyBorder="1" applyAlignment="1" applyProtection="1">
      <alignment horizontal="left" vertical="center" wrapText="1"/>
    </xf>
    <xf numFmtId="0" fontId="7" fillId="4" borderId="3" xfId="0" applyFont="1" applyFill="1" applyBorder="1" applyProtection="1">
      <alignment vertical="center"/>
    </xf>
    <xf numFmtId="0" fontId="7" fillId="0" borderId="0" xfId="0" applyFont="1" applyAlignment="1">
      <alignment horizontal="left" vertical="center"/>
    </xf>
    <xf numFmtId="0" fontId="7" fillId="4" borderId="4" xfId="0" applyFont="1" applyFill="1" applyBorder="1" applyAlignment="1" applyProtection="1">
      <alignment horizontal="left" vertical="center"/>
    </xf>
    <xf numFmtId="49" fontId="7" fillId="0" borderId="4" xfId="0" applyNumberFormat="1" applyFont="1" applyBorder="1" applyProtection="1">
      <alignment vertical="center"/>
    </xf>
    <xf numFmtId="178" fontId="22" fillId="4" borderId="4" xfId="0" applyNumberFormat="1" applyFont="1" applyFill="1" applyBorder="1" applyAlignment="1" applyProtection="1">
      <alignment horizontal="left" vertical="center"/>
    </xf>
    <xf numFmtId="0" fontId="7" fillId="4" borderId="4" xfId="0" applyFont="1" applyFill="1" applyBorder="1" applyAlignment="1" applyProtection="1">
      <alignment horizontal="left" vertical="center" wrapText="1"/>
    </xf>
    <xf numFmtId="178" fontId="22" fillId="4" borderId="4" xfId="0" applyNumberFormat="1" applyFont="1" applyFill="1" applyBorder="1" applyAlignment="1" applyProtection="1">
      <alignment horizontal="left" vertical="center" wrapText="1"/>
    </xf>
    <xf numFmtId="178" fontId="22" fillId="0" borderId="4" xfId="0" applyNumberFormat="1" applyFont="1" applyBorder="1" applyAlignment="1" applyProtection="1">
      <alignment horizontal="left" vertical="center" wrapText="1"/>
    </xf>
    <xf numFmtId="0" fontId="7" fillId="4" borderId="4" xfId="0" applyFont="1" applyFill="1" applyBorder="1" applyProtection="1">
      <alignment vertical="center"/>
    </xf>
    <xf numFmtId="9" fontId="7" fillId="4" borderId="4" xfId="0" applyNumberFormat="1" applyFont="1" applyFill="1" applyBorder="1" applyProtection="1">
      <alignment vertical="center"/>
    </xf>
    <xf numFmtId="0" fontId="13" fillId="0" borderId="10" xfId="0" applyFont="1" applyBorder="1" applyAlignment="1" applyProtection="1">
      <alignment vertical="center" wrapText="1"/>
    </xf>
    <xf numFmtId="0" fontId="8" fillId="0" borderId="10" xfId="0" applyFont="1" applyBorder="1" applyAlignment="1" applyProtection="1">
      <alignment vertical="center" wrapText="1"/>
    </xf>
    <xf numFmtId="0" fontId="15" fillId="4" borderId="0" xfId="0" applyFont="1" applyFill="1" applyAlignment="1">
      <alignment vertical="center" wrapText="1"/>
    </xf>
    <xf numFmtId="0" fontId="14" fillId="4" borderId="0" xfId="0" applyFont="1" applyFill="1" applyAlignment="1">
      <alignment vertical="center" wrapText="1"/>
    </xf>
    <xf numFmtId="0" fontId="12" fillId="4" borderId="0" xfId="0" applyFont="1" applyFill="1" applyAlignment="1">
      <alignment vertical="center" wrapText="1"/>
    </xf>
    <xf numFmtId="0" fontId="15" fillId="4" borderId="0" xfId="0" applyFont="1" applyFill="1" applyAlignment="1">
      <alignment vertical="center" wrapText="1"/>
    </xf>
    <xf numFmtId="0" fontId="4" fillId="4" borderId="0" xfId="0" applyFont="1" applyFill="1" applyAlignment="1">
      <alignment vertical="center" wrapText="1"/>
    </xf>
    <xf numFmtId="0" fontId="8" fillId="0" borderId="3" xfId="0" applyFont="1" applyBorder="1" applyAlignment="1" applyProtection="1">
      <alignment vertical="center" wrapText="1"/>
    </xf>
    <xf numFmtId="0" fontId="23" fillId="2" borderId="0" xfId="0" applyFont="1" applyFill="1" applyAlignment="1">
      <alignment vertical="center" wrapText="1"/>
    </xf>
    <xf numFmtId="0" fontId="12" fillId="0" borderId="3" xfId="0" applyFont="1" applyBorder="1" applyAlignment="1" applyProtection="1">
      <alignment horizontal="left" vertical="center" wrapText="1"/>
    </xf>
    <xf numFmtId="0" fontId="12" fillId="0" borderId="3" xfId="0" applyFont="1" applyBorder="1" applyAlignment="1" applyProtection="1">
      <alignment horizontal="center" vertical="center" wrapText="1"/>
    </xf>
    <xf numFmtId="0" fontId="8" fillId="0" borderId="5" xfId="0" applyFont="1" applyBorder="1" applyAlignment="1" applyProtection="1">
      <alignment vertical="center" wrapText="1"/>
    </xf>
    <xf numFmtId="0" fontId="7" fillId="0" borderId="4" xfId="0" applyFont="1" applyBorder="1" applyAlignment="1" applyProtection="1">
      <alignment horizontal="left" vertical="center"/>
    </xf>
    <xf numFmtId="0" fontId="8" fillId="0" borderId="4" xfId="0" applyFont="1" applyBorder="1" applyAlignment="1" applyProtection="1">
      <alignment horizontal="left" vertical="center" wrapText="1"/>
    </xf>
    <xf numFmtId="0" fontId="4" fillId="0" borderId="0" xfId="0" applyFont="1" applyAlignment="1">
      <alignment horizontal="right" vertical="center"/>
    </xf>
    <xf numFmtId="0" fontId="4" fillId="2" borderId="0" xfId="0" applyFont="1" applyFill="1" applyAlignment="1">
      <alignment vertical="center" wrapText="1"/>
    </xf>
    <xf numFmtId="0" fontId="14" fillId="7" borderId="29" xfId="0" applyFont="1" applyFill="1" applyBorder="1" applyAlignment="1" applyProtection="1">
      <alignment horizontal="center" vertical="center" wrapText="1"/>
    </xf>
    <xf numFmtId="0" fontId="12" fillId="0" borderId="0" xfId="0" applyFont="1" applyAlignment="1">
      <alignment vertical="center" wrapText="1"/>
    </xf>
    <xf numFmtId="0" fontId="12" fillId="0" borderId="24" xfId="0" applyFont="1" applyBorder="1" applyAlignment="1" applyProtection="1">
      <alignment horizontal="left" vertical="center" wrapText="1"/>
    </xf>
    <xf numFmtId="0" fontId="12" fillId="2" borderId="0" xfId="0" applyFont="1" applyFill="1" applyAlignment="1">
      <alignment vertical="center" wrapText="1"/>
    </xf>
    <xf numFmtId="0" fontId="15" fillId="0" borderId="0" xfId="0" applyFont="1" applyAlignment="1">
      <alignment vertical="center" wrapText="1"/>
    </xf>
    <xf numFmtId="0" fontId="14" fillId="0" borderId="1" xfId="0" applyFont="1" applyBorder="1" applyAlignment="1" applyProtection="1">
      <alignment vertical="center" wrapText="1"/>
    </xf>
    <xf numFmtId="0" fontId="14" fillId="0" borderId="2" xfId="0" applyFont="1" applyBorder="1" applyAlignment="1" applyProtection="1">
      <alignment vertical="center" wrapText="1"/>
    </xf>
    <xf numFmtId="0" fontId="15" fillId="0" borderId="0" xfId="0" applyFont="1" applyAlignment="1">
      <alignment vertical="center" wrapText="1"/>
    </xf>
    <xf numFmtId="0" fontId="12" fillId="9" borderId="0" xfId="0" applyFont="1" applyFill="1" applyAlignment="1">
      <alignment vertical="center" wrapText="1"/>
    </xf>
    <xf numFmtId="0" fontId="12" fillId="4" borderId="0" xfId="0" applyFont="1" applyFill="1" applyAlignment="1">
      <alignment vertical="center" wrapText="1"/>
    </xf>
    <xf numFmtId="0" fontId="14" fillId="4" borderId="0" xfId="0" applyFont="1" applyFill="1">
      <alignment vertical="center"/>
    </xf>
    <xf numFmtId="0" fontId="12" fillId="0" borderId="0" xfId="0" applyFont="1" applyAlignment="1">
      <alignment vertical="center" wrapText="1"/>
    </xf>
    <xf numFmtId="0" fontId="12" fillId="0" borderId="10" xfId="0" applyFont="1" applyBorder="1" applyAlignment="1" applyProtection="1">
      <alignment vertical="center" wrapText="1"/>
    </xf>
    <xf numFmtId="0" fontId="4" fillId="0" borderId="10" xfId="0" applyFont="1" applyBorder="1" applyAlignment="1" applyProtection="1">
      <alignment vertical="center" wrapText="1"/>
    </xf>
    <xf numFmtId="0" fontId="12" fillId="0" borderId="9" xfId="0" applyFont="1" applyBorder="1" applyAlignment="1" applyProtection="1">
      <alignment vertical="center" wrapText="1"/>
    </xf>
    <xf numFmtId="0" fontId="4" fillId="0" borderId="4" xfId="0" applyFont="1" applyBorder="1" applyAlignment="1" applyProtection="1">
      <alignment vertical="center" wrapText="1"/>
    </xf>
    <xf numFmtId="0" fontId="14" fillId="3" borderId="0" xfId="0" applyFont="1" applyFill="1" applyAlignment="1">
      <alignment vertical="center" wrapText="1"/>
    </xf>
    <xf numFmtId="0" fontId="15" fillId="0" borderId="10" xfId="0" applyFont="1" applyBorder="1" applyAlignment="1" applyProtection="1">
      <alignment vertical="center" wrapText="1"/>
    </xf>
    <xf numFmtId="0" fontId="15" fillId="0" borderId="16" xfId="0" applyFont="1" applyBorder="1" applyAlignment="1" applyProtection="1">
      <alignment horizontal="center" vertical="center" wrapText="1"/>
    </xf>
    <xf numFmtId="0" fontId="15" fillId="0" borderId="11" xfId="0" applyFont="1" applyBorder="1" applyAlignment="1" applyProtection="1">
      <alignment horizontal="center" vertical="center" wrapText="1"/>
    </xf>
    <xf numFmtId="0" fontId="12" fillId="0" borderId="16" xfId="0" applyFont="1" applyBorder="1" applyAlignment="1" applyProtection="1">
      <alignment vertical="center" wrapText="1"/>
    </xf>
    <xf numFmtId="0" fontId="14" fillId="8" borderId="0" xfId="0" applyFont="1" applyFill="1" applyAlignment="1">
      <alignment vertical="center" wrapText="1"/>
    </xf>
    <xf numFmtId="0" fontId="14" fillId="8" borderId="0" xfId="0" applyFont="1" applyFill="1" applyAlignment="1">
      <alignment vertical="center" wrapText="1"/>
    </xf>
    <xf numFmtId="0" fontId="12" fillId="0" borderId="10" xfId="0" applyFont="1" applyBorder="1" applyAlignment="1" applyProtection="1">
      <alignment vertical="center" wrapText="1"/>
    </xf>
    <xf numFmtId="0" fontId="24" fillId="0" borderId="10" xfId="0" applyFont="1" applyBorder="1" applyAlignment="1" applyProtection="1">
      <alignment vertical="center" wrapText="1"/>
    </xf>
    <xf numFmtId="0" fontId="12" fillId="0" borderId="29" xfId="0" applyFont="1" applyBorder="1" applyAlignment="1" applyProtection="1">
      <alignment vertical="center" wrapText="1"/>
    </xf>
    <xf numFmtId="0" fontId="15" fillId="0" borderId="0" xfId="0" applyFont="1" applyAlignment="1">
      <alignment vertical="center" wrapText="1"/>
    </xf>
    <xf numFmtId="0" fontId="19" fillId="0" borderId="0" xfId="0" applyFont="1" applyAlignment="1">
      <alignment vertical="center" wrapText="1"/>
    </xf>
    <xf numFmtId="0" fontId="12" fillId="0" borderId="30" xfId="0" applyFont="1" applyBorder="1" applyAlignment="1" applyProtection="1">
      <alignment vertical="center" wrapText="1"/>
    </xf>
    <xf numFmtId="0" fontId="12" fillId="0" borderId="5" xfId="0" applyFont="1" applyBorder="1" applyAlignment="1" applyProtection="1">
      <alignment vertical="center" wrapText="1"/>
    </xf>
    <xf numFmtId="0" fontId="14" fillId="0" borderId="10" xfId="0" applyFont="1" applyBorder="1" applyAlignment="1" applyProtection="1">
      <alignment vertical="center" wrapText="1"/>
    </xf>
    <xf numFmtId="0" fontId="14" fillId="0" borderId="0" xfId="0" applyFont="1" applyAlignment="1">
      <alignment vertical="center" wrapText="1"/>
    </xf>
    <xf numFmtId="0" fontId="12" fillId="0" borderId="10" xfId="0" quotePrefix="1" applyFont="1" applyBorder="1" applyAlignment="1" applyProtection="1">
      <alignment vertical="center" wrapText="1"/>
    </xf>
    <xf numFmtId="0" fontId="25" fillId="9" borderId="31" xfId="0" applyFont="1" applyFill="1" applyBorder="1" applyProtection="1">
      <alignment vertical="center"/>
    </xf>
    <xf numFmtId="0" fontId="6" fillId="9" borderId="31" xfId="0" applyFont="1" applyFill="1" applyBorder="1" applyProtection="1">
      <alignment vertical="center"/>
    </xf>
    <xf numFmtId="0" fontId="6" fillId="9" borderId="32" xfId="0" applyFont="1" applyFill="1" applyBorder="1" applyProtection="1">
      <alignment vertical="center"/>
    </xf>
    <xf numFmtId="0" fontId="13" fillId="0" borderId="4" xfId="0" applyFont="1" applyBorder="1" applyAlignment="1" applyProtection="1">
      <alignment vertical="center" wrapText="1"/>
    </xf>
    <xf numFmtId="0" fontId="13" fillId="0" borderId="10" xfId="0" quotePrefix="1" applyFont="1" applyBorder="1" applyAlignment="1" applyProtection="1">
      <alignment vertical="center" wrapText="1"/>
    </xf>
    <xf numFmtId="0" fontId="26" fillId="0" borderId="10" xfId="0" applyFont="1" applyBorder="1" applyAlignment="1" applyProtection="1">
      <alignment vertical="center" wrapText="1"/>
    </xf>
    <xf numFmtId="0" fontId="12" fillId="0" borderId="4" xfId="0" applyFont="1" applyBorder="1" applyAlignment="1" applyProtection="1">
      <alignment vertical="center" wrapText="1"/>
    </xf>
    <xf numFmtId="0" fontId="6" fillId="9" borderId="33" xfId="0" applyFont="1" applyFill="1" applyBorder="1" applyAlignment="1" applyProtection="1">
      <alignment vertical="center" wrapText="1"/>
    </xf>
    <xf numFmtId="0" fontId="6" fillId="9" borderId="33" xfId="0" applyFont="1" applyFill="1" applyBorder="1" applyAlignment="1" applyProtection="1">
      <alignment horizontal="center" vertical="center"/>
    </xf>
    <xf numFmtId="0" fontId="8" fillId="4" borderId="3" xfId="0" applyFont="1" applyFill="1" applyBorder="1" applyAlignment="1" applyProtection="1">
      <alignment vertical="center" wrapText="1"/>
    </xf>
    <xf numFmtId="0" fontId="8" fillId="4" borderId="3" xfId="0" applyFont="1" applyFill="1" applyBorder="1" applyAlignment="1" applyProtection="1">
      <alignment vertical="center" wrapText="1"/>
    </xf>
    <xf numFmtId="0" fontId="8" fillId="0" borderId="3" xfId="0" applyFont="1" applyBorder="1" applyAlignment="1" applyProtection="1">
      <alignment vertical="center" wrapText="1"/>
    </xf>
    <xf numFmtId="178" fontId="27" fillId="0" borderId="3" xfId="0" applyNumberFormat="1" applyFont="1" applyBorder="1" applyAlignment="1" applyProtection="1">
      <alignment horizontal="left" vertical="center" wrapText="1"/>
    </xf>
    <xf numFmtId="0" fontId="4" fillId="4" borderId="3" xfId="0" applyFont="1" applyFill="1" applyBorder="1" applyAlignment="1" applyProtection="1">
      <alignment horizontal="left" vertical="center" wrapText="1"/>
    </xf>
    <xf numFmtId="0" fontId="8" fillId="4" borderId="25" xfId="0" applyFont="1" applyFill="1" applyBorder="1" applyAlignment="1" applyProtection="1">
      <alignment vertical="center" wrapText="1"/>
    </xf>
    <xf numFmtId="0" fontId="12" fillId="0" borderId="3" xfId="0" applyFont="1" applyBorder="1" applyAlignment="1" applyProtection="1">
      <alignment vertical="center" wrapText="1"/>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center" vertical="center" wrapText="1"/>
    </xf>
    <xf numFmtId="0" fontId="12" fillId="0" borderId="25" xfId="0" applyFont="1" applyBorder="1" applyAlignment="1" applyProtection="1">
      <alignment vertical="center" wrapText="1"/>
    </xf>
    <xf numFmtId="0" fontId="12" fillId="0" borderId="3" xfId="0" applyFont="1" applyBorder="1" applyAlignment="1" applyProtection="1">
      <alignment vertical="center" wrapText="1"/>
    </xf>
    <xf numFmtId="0" fontId="12" fillId="0" borderId="25" xfId="0" applyFont="1" applyBorder="1" applyAlignment="1" applyProtection="1">
      <alignment horizontal="center" vertical="center" wrapText="1"/>
    </xf>
    <xf numFmtId="0" fontId="12" fillId="0" borderId="4" xfId="0" applyFont="1" applyBorder="1" applyAlignment="1" applyProtection="1">
      <alignment horizontal="center" vertical="center" wrapText="1"/>
    </xf>
    <xf numFmtId="0" fontId="14" fillId="3" borderId="5" xfId="0" applyFont="1" applyFill="1" applyBorder="1" applyAlignment="1" applyProtection="1">
      <alignment horizontal="center" vertical="center" wrapText="1"/>
    </xf>
    <xf numFmtId="0" fontId="12" fillId="0" borderId="4" xfId="0" applyFont="1" applyBorder="1" applyAlignment="1" applyProtection="1">
      <alignment vertical="center" wrapText="1"/>
    </xf>
    <xf numFmtId="0" fontId="12" fillId="0" borderId="3" xfId="0" applyFont="1" applyBorder="1" applyAlignment="1" applyProtection="1">
      <alignment vertical="center" wrapText="1"/>
    </xf>
    <xf numFmtId="0" fontId="27" fillId="0" borderId="3" xfId="0" applyFont="1" applyBorder="1" applyAlignment="1" applyProtection="1">
      <alignment vertical="center" wrapText="1"/>
    </xf>
    <xf numFmtId="0" fontId="12" fillId="0" borderId="10" xfId="0" applyFont="1" applyBorder="1" applyAlignment="1" applyProtection="1">
      <alignment vertical="center" wrapText="1"/>
    </xf>
    <xf numFmtId="0" fontId="12" fillId="3" borderId="5" xfId="0" applyFont="1" applyFill="1" applyBorder="1" applyAlignment="1" applyProtection="1">
      <alignment horizontal="center" vertical="center" wrapText="1"/>
    </xf>
    <xf numFmtId="0" fontId="12" fillId="0" borderId="3" xfId="0" quotePrefix="1" applyFont="1" applyBorder="1" applyAlignment="1" applyProtection="1">
      <alignment vertical="center" wrapText="1"/>
    </xf>
    <xf numFmtId="0" fontId="12" fillId="0" borderId="3" xfId="0" applyFont="1" applyBorder="1" applyAlignment="1" applyProtection="1">
      <alignment vertical="center" wrapText="1"/>
    </xf>
    <xf numFmtId="0" fontId="12" fillId="2" borderId="25" xfId="0" applyFont="1" applyFill="1" applyBorder="1" applyAlignment="1" applyProtection="1">
      <alignment vertical="center" wrapText="1"/>
    </xf>
    <xf numFmtId="0" fontId="25" fillId="0" borderId="3" xfId="0" applyFont="1" applyBorder="1" applyAlignment="1" applyProtection="1">
      <alignment horizontal="left" vertical="center"/>
    </xf>
    <xf numFmtId="178" fontId="21" fillId="4" borderId="3" xfId="0" applyNumberFormat="1" applyFont="1" applyFill="1" applyBorder="1" applyAlignment="1" applyProtection="1">
      <alignment vertical="center" wrapText="1"/>
    </xf>
    <xf numFmtId="178" fontId="21" fillId="4" borderId="3" xfId="0" applyNumberFormat="1" applyFont="1" applyFill="1" applyBorder="1" applyAlignment="1" applyProtection="1">
      <alignment horizontal="left" vertical="center" wrapText="1"/>
    </xf>
    <xf numFmtId="178" fontId="21" fillId="4" borderId="3" xfId="0" applyNumberFormat="1" applyFont="1" applyFill="1" applyBorder="1" applyAlignment="1" applyProtection="1">
      <alignment vertical="center" shrinkToFit="1"/>
    </xf>
    <xf numFmtId="0" fontId="8" fillId="4" borderId="3" xfId="0" applyFont="1" applyFill="1" applyBorder="1" applyAlignment="1" applyProtection="1">
      <alignment vertical="center" wrapText="1"/>
    </xf>
    <xf numFmtId="0" fontId="13" fillId="4" borderId="3" xfId="0" applyFont="1" applyFill="1" applyBorder="1" applyAlignment="1" applyProtection="1">
      <alignment vertical="center" wrapText="1"/>
    </xf>
    <xf numFmtId="0" fontId="12" fillId="4" borderId="3" xfId="0" applyFont="1" applyFill="1" applyBorder="1" applyAlignment="1" applyProtection="1">
      <alignment vertical="center" wrapText="1"/>
    </xf>
    <xf numFmtId="0" fontId="13" fillId="4" borderId="3" xfId="0" applyFont="1" applyFill="1" applyBorder="1" applyAlignment="1" applyProtection="1">
      <alignment vertical="center" wrapText="1"/>
    </xf>
    <xf numFmtId="0" fontId="13" fillId="0" borderId="30" xfId="0" applyFont="1" applyBorder="1" applyAlignment="1" applyProtection="1">
      <alignment vertical="center" wrapText="1"/>
    </xf>
    <xf numFmtId="0" fontId="13" fillId="0" borderId="5" xfId="0" applyFont="1" applyBorder="1" applyAlignment="1" applyProtection="1">
      <alignment vertical="center" wrapText="1"/>
    </xf>
    <xf numFmtId="0" fontId="12" fillId="0" borderId="26" xfId="0" applyFont="1" applyBorder="1" applyAlignment="1" applyProtection="1">
      <alignment vertical="center" wrapText="1"/>
    </xf>
    <xf numFmtId="0" fontId="11" fillId="0" borderId="3" xfId="0" applyFont="1" applyBorder="1" applyAlignment="1" applyProtection="1">
      <alignment vertical="center" wrapText="1"/>
    </xf>
    <xf numFmtId="0" fontId="19" fillId="0" borderId="3" xfId="0" applyFont="1" applyBorder="1" applyAlignment="1" applyProtection="1">
      <alignment vertical="center" wrapText="1"/>
    </xf>
    <xf numFmtId="0" fontId="4" fillId="0" borderId="30" xfId="0" applyFont="1" applyBorder="1" applyAlignment="1" applyProtection="1">
      <alignment vertical="center" wrapText="1"/>
    </xf>
    <xf numFmtId="0" fontId="14" fillId="2" borderId="0" xfId="0" applyFont="1" applyFill="1" applyAlignment="1">
      <alignment vertical="center" wrapText="1"/>
    </xf>
    <xf numFmtId="0" fontId="12" fillId="2" borderId="0" xfId="0" applyFont="1" applyFill="1" applyAlignment="1">
      <alignment vertical="center" wrapText="1"/>
    </xf>
    <xf numFmtId="0" fontId="14" fillId="0" borderId="0" xfId="0" applyFont="1" applyAlignment="1">
      <alignment vertical="center" wrapText="1"/>
    </xf>
    <xf numFmtId="0" fontId="12" fillId="3" borderId="0" xfId="0" applyFont="1" applyFill="1" applyAlignment="1">
      <alignment horizontal="left" vertical="center" wrapText="1"/>
    </xf>
    <xf numFmtId="0" fontId="12" fillId="0" borderId="3" xfId="0" applyFont="1" applyBorder="1" applyAlignment="1" applyProtection="1">
      <alignment vertical="center" wrapText="1"/>
    </xf>
    <xf numFmtId="0" fontId="12" fillId="0" borderId="24" xfId="0" applyFont="1" applyBorder="1" applyAlignment="1" applyProtection="1">
      <alignment vertical="center" wrapText="1"/>
    </xf>
    <xf numFmtId="16" fontId="12" fillId="0" borderId="3" xfId="0" applyNumberFormat="1" applyFont="1" applyBorder="1" applyAlignment="1" applyProtection="1">
      <alignment horizontal="center" vertical="center" wrapText="1"/>
    </xf>
    <xf numFmtId="0" fontId="12" fillId="0" borderId="5" xfId="0" applyFont="1" applyBorder="1" applyAlignment="1" applyProtection="1">
      <alignment horizontal="center" vertical="center" wrapText="1"/>
    </xf>
    <xf numFmtId="0" fontId="12" fillId="0" borderId="5" xfId="0" applyFont="1" applyBorder="1" applyAlignment="1" applyProtection="1">
      <alignment vertical="center" wrapText="1"/>
    </xf>
    <xf numFmtId="0" fontId="12" fillId="0" borderId="23" xfId="0" applyFont="1" applyBorder="1" applyAlignment="1" applyProtection="1">
      <alignment vertical="center" wrapText="1"/>
    </xf>
    <xf numFmtId="0" fontId="12" fillId="3" borderId="0" xfId="0" applyFont="1" applyFill="1" applyAlignment="1">
      <alignment horizontal="left" vertical="center" wrapText="1"/>
    </xf>
    <xf numFmtId="0" fontId="13" fillId="0" borderId="3" xfId="0" applyFont="1" applyBorder="1" applyAlignment="1" applyProtection="1">
      <alignment vertical="center" wrapText="1"/>
    </xf>
    <xf numFmtId="0" fontId="13" fillId="0" borderId="3" xfId="0" applyFont="1" applyBorder="1" applyAlignment="1" applyProtection="1">
      <alignment vertical="center" wrapText="1"/>
    </xf>
    <xf numFmtId="0" fontId="24" fillId="0" borderId="23" xfId="0" applyFont="1" applyBorder="1" applyAlignment="1" applyProtection="1">
      <alignment vertical="center" wrapText="1"/>
    </xf>
    <xf numFmtId="0" fontId="14" fillId="6" borderId="0" xfId="0" applyFont="1" applyFill="1" applyAlignment="1">
      <alignment vertical="center" wrapText="1"/>
    </xf>
    <xf numFmtId="0" fontId="13" fillId="0" borderId="25" xfId="0" applyFont="1" applyBorder="1" applyAlignment="1" applyProtection="1">
      <alignment vertical="center" wrapText="1"/>
    </xf>
    <xf numFmtId="0" fontId="12" fillId="0" borderId="25" xfId="0" applyFont="1" applyBorder="1" applyAlignment="1" applyProtection="1">
      <alignment vertical="center" wrapText="1"/>
    </xf>
    <xf numFmtId="0" fontId="13" fillId="0" borderId="25" xfId="0" applyFont="1" applyBorder="1" applyAlignment="1" applyProtection="1">
      <alignment vertical="center" wrapText="1"/>
    </xf>
    <xf numFmtId="0" fontId="13" fillId="0" borderId="25" xfId="0" quotePrefix="1" applyFont="1" applyBorder="1" applyAlignment="1" applyProtection="1">
      <alignment vertical="center" wrapText="1"/>
    </xf>
    <xf numFmtId="0" fontId="26" fillId="0" borderId="25" xfId="0" applyFont="1" applyBorder="1" applyAlignment="1" applyProtection="1">
      <alignment vertical="center" wrapText="1"/>
    </xf>
    <xf numFmtId="0" fontId="12" fillId="0" borderId="25" xfId="0" applyFont="1" applyBorder="1" applyAlignment="1" applyProtection="1">
      <alignment horizontal="left" vertical="center" wrapText="1"/>
    </xf>
    <xf numFmtId="0" fontId="12" fillId="0" borderId="10" xfId="0" applyFont="1" applyBorder="1" applyAlignment="1" applyProtection="1">
      <alignment horizontal="center" vertical="center" wrapText="1"/>
    </xf>
    <xf numFmtId="0" fontId="12" fillId="0" borderId="3" xfId="0" applyFont="1" applyBorder="1" applyAlignment="1" applyProtection="1">
      <alignment vertical="center" wrapText="1"/>
    </xf>
    <xf numFmtId="0" fontId="19" fillId="0" borderId="25" xfId="0" applyFont="1" applyBorder="1" applyAlignment="1" applyProtection="1">
      <alignment vertical="center" wrapText="1"/>
    </xf>
    <xf numFmtId="0" fontId="12" fillId="2" borderId="10" xfId="0" applyFont="1" applyFill="1" applyBorder="1" applyAlignment="1" applyProtection="1">
      <alignment vertical="center" wrapText="1"/>
    </xf>
    <xf numFmtId="0" fontId="12" fillId="2" borderId="30" xfId="0" applyFont="1" applyFill="1" applyBorder="1" applyAlignment="1" applyProtection="1">
      <alignment horizontal="center" vertical="center" wrapText="1"/>
    </xf>
    <xf numFmtId="0" fontId="12" fillId="2" borderId="5" xfId="0" applyFont="1" applyFill="1" applyBorder="1" applyAlignment="1" applyProtection="1">
      <alignment horizontal="center" vertical="center" wrapText="1"/>
    </xf>
    <xf numFmtId="0" fontId="12" fillId="2" borderId="3" xfId="0" applyFont="1" applyFill="1" applyBorder="1" applyAlignment="1" applyProtection="1">
      <alignment vertical="center" wrapText="1"/>
    </xf>
    <xf numFmtId="0" fontId="12" fillId="2" borderId="3" xfId="0" applyFont="1" applyFill="1" applyBorder="1" applyAlignment="1" applyProtection="1">
      <alignment vertical="center" wrapText="1"/>
    </xf>
    <xf numFmtId="0" fontId="12" fillId="2" borderId="3" xfId="0" applyFont="1" applyFill="1" applyBorder="1" applyAlignment="1" applyProtection="1">
      <alignment horizontal="center" vertical="center" wrapText="1"/>
    </xf>
    <xf numFmtId="0" fontId="12" fillId="2" borderId="3" xfId="0" applyFont="1" applyFill="1" applyBorder="1" applyAlignment="1" applyProtection="1">
      <alignment vertical="center" wrapText="1"/>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2" fillId="2" borderId="4" xfId="0" applyFont="1" applyFill="1" applyBorder="1" applyAlignment="1" applyProtection="1">
      <alignment vertical="center" wrapText="1"/>
    </xf>
    <xf numFmtId="0" fontId="12" fillId="2" borderId="25" xfId="0" applyFont="1" applyFill="1" applyBorder="1" applyAlignment="1" applyProtection="1">
      <alignment horizontal="center" vertical="center" wrapText="1"/>
    </xf>
    <xf numFmtId="0" fontId="12" fillId="2" borderId="25" xfId="0" applyFont="1" applyFill="1" applyBorder="1" applyAlignment="1" applyProtection="1">
      <alignment vertical="center" wrapText="1"/>
    </xf>
    <xf numFmtId="0" fontId="12" fillId="2" borderId="24" xfId="0" applyFont="1" applyFill="1" applyBorder="1" applyAlignment="1" applyProtection="1">
      <alignment vertical="center" wrapText="1"/>
    </xf>
    <xf numFmtId="0" fontId="12" fillId="2" borderId="3" xfId="0" applyFont="1" applyFill="1" applyBorder="1" applyAlignment="1" applyProtection="1">
      <alignment vertical="center" wrapText="1"/>
    </xf>
    <xf numFmtId="0" fontId="12" fillId="2" borderId="10" xfId="0" applyFont="1" applyFill="1" applyBorder="1" applyAlignment="1" applyProtection="1">
      <alignment horizontal="center" vertical="center" wrapText="1"/>
    </xf>
    <xf numFmtId="0" fontId="12" fillId="2" borderId="3" xfId="0" applyFont="1" applyFill="1" applyBorder="1" applyAlignment="1" applyProtection="1">
      <alignment horizontal="center" vertical="center" wrapText="1"/>
    </xf>
    <xf numFmtId="1" fontId="12" fillId="2" borderId="3" xfId="0" applyNumberFormat="1" applyFont="1" applyFill="1" applyBorder="1" applyAlignment="1" applyProtection="1">
      <alignment horizontal="left" vertical="center" wrapText="1"/>
    </xf>
    <xf numFmtId="1" fontId="12" fillId="2" borderId="3" xfId="0" applyNumberFormat="1" applyFont="1" applyFill="1" applyBorder="1" applyAlignment="1" applyProtection="1">
      <alignment horizontal="center" vertical="center" wrapText="1"/>
    </xf>
    <xf numFmtId="0" fontId="12" fillId="2" borderId="3" xfId="0" applyFont="1" applyFill="1" applyBorder="1" applyAlignment="1" applyProtection="1">
      <alignment vertical="center" wrapText="1"/>
    </xf>
    <xf numFmtId="178" fontId="27" fillId="0" borderId="3" xfId="0" applyNumberFormat="1" applyFont="1" applyBorder="1" applyAlignment="1" applyProtection="1">
      <alignment horizontal="left" vertical="center" wrapText="1"/>
    </xf>
    <xf numFmtId="178" fontId="27" fillId="4" borderId="0" xfId="0" applyNumberFormat="1" applyFont="1" applyFill="1" applyAlignment="1">
      <alignment horizontal="left" vertical="center" wrapText="1"/>
    </xf>
    <xf numFmtId="178" fontId="27" fillId="4" borderId="3" xfId="0" applyNumberFormat="1" applyFont="1" applyFill="1" applyBorder="1" applyAlignment="1" applyProtection="1">
      <alignment horizontal="left" vertical="center" wrapText="1"/>
    </xf>
    <xf numFmtId="178" fontId="27" fillId="4" borderId="3" xfId="0" applyNumberFormat="1" applyFont="1" applyFill="1" applyBorder="1" applyAlignment="1" applyProtection="1">
      <alignment horizontal="left" vertical="center"/>
    </xf>
    <xf numFmtId="178" fontId="27" fillId="0" borderId="0" xfId="0" applyNumberFormat="1" applyFont="1" applyAlignment="1">
      <alignment horizontal="left" vertical="center" wrapText="1"/>
    </xf>
    <xf numFmtId="176" fontId="28" fillId="0" borderId="4" xfId="0" applyNumberFormat="1" applyFont="1" applyBorder="1" applyAlignment="1" applyProtection="1">
      <alignment horizontal="left" vertical="center"/>
      <protection locked="0"/>
    </xf>
    <xf numFmtId="0" fontId="9" fillId="0" borderId="4" xfId="0" applyFont="1" applyBorder="1" applyAlignment="1" applyProtection="1">
      <alignment horizontal="center" vertical="center"/>
    </xf>
    <xf numFmtId="0" fontId="14" fillId="0" borderId="0" xfId="0" applyFont="1" applyAlignment="1">
      <alignment horizontal="left" vertical="center"/>
    </xf>
    <xf numFmtId="0" fontId="12" fillId="0" borderId="10" xfId="0" applyFont="1" applyBorder="1" applyAlignment="1" applyProtection="1">
      <alignment horizontal="left" vertical="center" wrapText="1"/>
    </xf>
    <xf numFmtId="0" fontId="18" fillId="0" borderId="0" xfId="0" applyFont="1">
      <alignment vertical="center"/>
    </xf>
    <xf numFmtId="0" fontId="15" fillId="0" borderId="0" xfId="0" applyFont="1" applyAlignment="1">
      <alignment horizontal="center" vertical="center"/>
    </xf>
    <xf numFmtId="0" fontId="15" fillId="0" borderId="4" xfId="0" applyFont="1" applyBorder="1" applyAlignment="1" applyProtection="1">
      <alignment vertical="center" wrapText="1"/>
    </xf>
    <xf numFmtId="2" fontId="15" fillId="0" borderId="4" xfId="0" applyNumberFormat="1" applyFont="1" applyBorder="1" applyAlignment="1" applyProtection="1">
      <alignment horizontal="center" vertical="center" wrapText="1"/>
    </xf>
    <xf numFmtId="0" fontId="15" fillId="0" borderId="9" xfId="0" applyFont="1" applyBorder="1" applyAlignment="1" applyProtection="1">
      <alignment horizontal="center" vertical="center" wrapText="1"/>
    </xf>
    <xf numFmtId="0" fontId="7" fillId="0" borderId="4" xfId="0" applyFont="1" applyBorder="1" applyAlignment="1" applyProtection="1">
      <alignment vertical="center" wrapText="1"/>
    </xf>
    <xf numFmtId="0" fontId="18" fillId="0" borderId="0" xfId="0" applyFont="1" applyAlignment="1">
      <alignment horizontal="left" vertical="center"/>
    </xf>
    <xf numFmtId="0" fontId="14" fillId="5" borderId="0" xfId="0" applyFont="1" applyFill="1" applyAlignment="1">
      <alignment horizontal="center" vertical="center" wrapText="1"/>
    </xf>
    <xf numFmtId="0" fontId="12" fillId="2" borderId="0" xfId="0" applyFont="1" applyFill="1">
      <alignment vertical="center"/>
    </xf>
    <xf numFmtId="0" fontId="12" fillId="2" borderId="4" xfId="0" applyFont="1" applyFill="1" applyBorder="1" applyAlignment="1" applyProtection="1">
      <alignment horizontal="center" vertical="center" wrapText="1"/>
    </xf>
    <xf numFmtId="0" fontId="14" fillId="2" borderId="3" xfId="0" applyFont="1" applyFill="1" applyBorder="1" applyAlignment="1" applyProtection="1">
      <alignment vertical="center" wrapText="1"/>
    </xf>
    <xf numFmtId="0" fontId="14" fillId="2" borderId="3" xfId="0" applyFont="1" applyFill="1" applyBorder="1" applyProtection="1">
      <alignment vertical="center"/>
    </xf>
    <xf numFmtId="49" fontId="12" fillId="2" borderId="3" xfId="0" applyNumberFormat="1" applyFont="1" applyFill="1" applyBorder="1" applyAlignment="1" applyProtection="1">
      <alignment vertical="center" wrapText="1"/>
    </xf>
    <xf numFmtId="0" fontId="12" fillId="2" borderId="3" xfId="0" applyFont="1" applyFill="1" applyBorder="1" applyProtection="1">
      <alignment vertical="center"/>
    </xf>
    <xf numFmtId="0" fontId="12" fillId="2" borderId="3" xfId="0" applyFont="1" applyFill="1" applyBorder="1" applyAlignment="1" applyProtection="1">
      <alignment horizontal="center" vertical="center" wrapText="1"/>
    </xf>
    <xf numFmtId="0" fontId="14" fillId="2" borderId="15" xfId="0" applyFont="1" applyFill="1" applyBorder="1" applyProtection="1">
      <alignment vertical="center"/>
    </xf>
    <xf numFmtId="0" fontId="14" fillId="3" borderId="4" xfId="0" applyFont="1" applyFill="1" applyBorder="1" applyAlignment="1" applyProtection="1">
      <alignment horizontal="center" vertical="center"/>
    </xf>
    <xf numFmtId="0" fontId="14" fillId="3" borderId="4" xfId="0" applyFont="1" applyFill="1" applyBorder="1" applyAlignment="1" applyProtection="1">
      <alignment horizontal="left" vertical="center" wrapText="1"/>
    </xf>
    <xf numFmtId="2" fontId="14" fillId="3" borderId="4" xfId="0" applyNumberFormat="1" applyFont="1" applyFill="1" applyBorder="1" applyAlignment="1" applyProtection="1">
      <alignment horizontal="center" vertical="center"/>
    </xf>
    <xf numFmtId="0" fontId="14" fillId="3" borderId="9" xfId="0" applyFont="1" applyFill="1" applyBorder="1" applyAlignment="1" applyProtection="1">
      <alignment horizontal="center" vertical="center"/>
    </xf>
    <xf numFmtId="2" fontId="12" fillId="2" borderId="3" xfId="0" applyNumberFormat="1" applyFont="1" applyFill="1" applyBorder="1" applyAlignment="1" applyProtection="1">
      <alignment horizontal="center" vertical="center" wrapText="1"/>
    </xf>
    <xf numFmtId="49" fontId="12" fillId="2" borderId="3" xfId="0" applyNumberFormat="1" applyFont="1" applyFill="1" applyBorder="1" applyAlignment="1" applyProtection="1">
      <alignment horizontal="center" vertical="center" wrapText="1"/>
    </xf>
    <xf numFmtId="0" fontId="12" fillId="0" borderId="5" xfId="0" applyFont="1" applyBorder="1" applyAlignment="1" applyProtection="1">
      <alignment horizontal="center" vertical="center" wrapText="1"/>
    </xf>
    <xf numFmtId="49" fontId="12" fillId="2" borderId="4" xfId="0" applyNumberFormat="1" applyFont="1" applyFill="1" applyBorder="1" applyAlignment="1" applyProtection="1">
      <alignment vertical="center" wrapText="1"/>
    </xf>
    <xf numFmtId="0" fontId="14" fillId="2" borderId="29" xfId="0" applyFont="1" applyFill="1" applyBorder="1" applyProtection="1">
      <alignment vertical="center"/>
    </xf>
    <xf numFmtId="0" fontId="12" fillId="2" borderId="4" xfId="0" applyFont="1" applyFill="1" applyBorder="1" applyProtection="1">
      <alignment vertical="center"/>
    </xf>
    <xf numFmtId="0" fontId="12" fillId="2" borderId="4" xfId="0" applyFont="1" applyFill="1" applyBorder="1" applyAlignment="1" applyProtection="1">
      <alignment horizontal="center" vertical="center" wrapText="1"/>
    </xf>
    <xf numFmtId="0" fontId="14" fillId="2" borderId="4" xfId="0" applyFont="1" applyFill="1" applyBorder="1" applyAlignment="1" applyProtection="1">
      <alignment vertical="center" wrapText="1"/>
    </xf>
    <xf numFmtId="0" fontId="14" fillId="2" borderId="4" xfId="0" applyFont="1" applyFill="1" applyBorder="1" applyProtection="1">
      <alignment vertical="center"/>
    </xf>
    <xf numFmtId="0" fontId="14" fillId="2" borderId="4" xfId="0" quotePrefix="1" applyFont="1" applyFill="1" applyBorder="1" applyProtection="1">
      <alignment vertical="center"/>
    </xf>
    <xf numFmtId="0" fontId="14" fillId="2" borderId="0" xfId="0" applyFont="1" applyFill="1">
      <alignment vertical="center"/>
    </xf>
    <xf numFmtId="0" fontId="16" fillId="2" borderId="0" xfId="0" applyFont="1" applyFill="1">
      <alignment vertical="center"/>
    </xf>
    <xf numFmtId="0" fontId="14" fillId="2" borderId="25" xfId="0" applyFont="1" applyFill="1" applyBorder="1" applyAlignment="1" applyProtection="1">
      <alignment vertical="center" wrapText="1"/>
    </xf>
    <xf numFmtId="0" fontId="14" fillId="2" borderId="34" xfId="0" applyFont="1" applyFill="1" applyBorder="1" applyProtection="1">
      <alignment vertical="center"/>
    </xf>
    <xf numFmtId="0" fontId="12" fillId="2" borderId="25" xfId="0" applyFont="1" applyFill="1" applyBorder="1" applyProtection="1">
      <alignment vertical="center"/>
    </xf>
    <xf numFmtId="0" fontId="12" fillId="2" borderId="25" xfId="0" applyFont="1" applyFill="1" applyBorder="1" applyAlignment="1" applyProtection="1">
      <alignment horizontal="center" vertical="center" wrapText="1"/>
    </xf>
    <xf numFmtId="0" fontId="14" fillId="2" borderId="25" xfId="0" applyFont="1" applyFill="1" applyBorder="1" applyProtection="1">
      <alignment vertical="center"/>
    </xf>
    <xf numFmtId="0" fontId="14" fillId="11" borderId="3" xfId="0" applyFont="1" applyFill="1" applyBorder="1" applyProtection="1">
      <alignment vertical="center"/>
    </xf>
    <xf numFmtId="0" fontId="17" fillId="11" borderId="3" xfId="0" applyFont="1" applyFill="1" applyBorder="1" applyProtection="1">
      <alignment vertical="center"/>
    </xf>
    <xf numFmtId="0" fontId="14" fillId="11" borderId="3" xfId="0" applyFont="1" applyFill="1" applyBorder="1" applyAlignment="1" applyProtection="1">
      <alignment vertical="center" wrapText="1"/>
    </xf>
    <xf numFmtId="0" fontId="14" fillId="11" borderId="25" xfId="0" applyFont="1" applyFill="1" applyBorder="1" applyProtection="1">
      <alignment vertical="center"/>
    </xf>
    <xf numFmtId="0" fontId="12" fillId="11" borderId="25" xfId="0" applyFont="1" applyFill="1" applyBorder="1" applyAlignment="1" applyProtection="1">
      <alignment horizontal="center" vertical="center" wrapText="1"/>
    </xf>
    <xf numFmtId="0" fontId="12" fillId="11" borderId="0" xfId="0" applyFont="1" applyFill="1">
      <alignment vertical="center"/>
    </xf>
    <xf numFmtId="0" fontId="12" fillId="11" borderId="25" xfId="0" applyFont="1" applyFill="1" applyBorder="1" applyProtection="1">
      <alignment vertical="center"/>
    </xf>
    <xf numFmtId="0" fontId="13" fillId="0" borderId="29" xfId="0" applyFont="1" applyBorder="1" applyAlignment="1" applyProtection="1">
      <alignment vertical="center" wrapText="1"/>
    </xf>
    <xf numFmtId="0" fontId="13" fillId="0" borderId="0" xfId="0" applyFont="1" applyAlignment="1">
      <alignment vertical="center" wrapText="1"/>
    </xf>
    <xf numFmtId="0" fontId="13" fillId="0" borderId="3" xfId="0" applyFont="1" applyBorder="1" applyAlignment="1" applyProtection="1">
      <alignment vertical="center" wrapText="1"/>
    </xf>
    <xf numFmtId="0" fontId="13" fillId="0" borderId="26" xfId="0" applyFont="1" applyBorder="1" applyAlignment="1" applyProtection="1">
      <alignment vertical="center" wrapText="1"/>
    </xf>
    <xf numFmtId="0" fontId="12" fillId="0" borderId="25" xfId="0" applyFont="1" applyBorder="1" applyAlignment="1" applyProtection="1">
      <alignment vertical="center" wrapText="1"/>
    </xf>
    <xf numFmtId="0" fontId="16" fillId="7" borderId="34" xfId="0" applyFont="1" applyFill="1" applyBorder="1" applyAlignment="1" applyProtection="1">
      <alignment vertical="top" textRotation="90" wrapText="1"/>
    </xf>
    <xf numFmtId="0" fontId="16" fillId="7" borderId="34" xfId="0" applyFont="1" applyFill="1" applyBorder="1" applyAlignment="1" applyProtection="1">
      <alignment horizontal="center" vertical="top" textRotation="90" wrapText="1"/>
    </xf>
    <xf numFmtId="0" fontId="14" fillId="3" borderId="25" xfId="0" applyFont="1" applyFill="1" applyBorder="1" applyAlignment="1" applyProtection="1">
      <alignment horizontal="center" vertical="center" wrapText="1"/>
    </xf>
    <xf numFmtId="0" fontId="15" fillId="0" borderId="25" xfId="0" applyFont="1" applyBorder="1" applyAlignment="1" applyProtection="1">
      <alignment horizontal="left" vertical="center" wrapText="1"/>
    </xf>
    <xf numFmtId="0" fontId="12" fillId="0" borderId="25" xfId="0" applyFont="1" applyBorder="1" applyAlignment="1" applyProtection="1">
      <alignment horizontal="left" vertical="center" wrapText="1"/>
    </xf>
    <xf numFmtId="0" fontId="4" fillId="0" borderId="25" xfId="0" applyFont="1" applyBorder="1" applyAlignment="1" applyProtection="1">
      <alignment vertical="center" wrapText="1"/>
    </xf>
    <xf numFmtId="0" fontId="12" fillId="0" borderId="25" xfId="0" applyFont="1" applyBorder="1" applyAlignment="1" applyProtection="1">
      <alignment horizontal="center" vertical="center" wrapText="1"/>
    </xf>
    <xf numFmtId="0" fontId="4" fillId="0" borderId="25" xfId="0" applyFont="1" applyBorder="1" applyAlignment="1" applyProtection="1">
      <alignment horizontal="center" vertical="center" wrapText="1"/>
    </xf>
    <xf numFmtId="0" fontId="12" fillId="0" borderId="26" xfId="0" applyFont="1" applyBorder="1" applyAlignment="1" applyProtection="1">
      <alignment horizontal="center" vertical="center" wrapText="1"/>
    </xf>
    <xf numFmtId="0" fontId="12" fillId="4" borderId="35" xfId="0" applyFont="1" applyFill="1" applyBorder="1" applyAlignment="1" applyProtection="1">
      <alignment horizontal="center" vertical="center" wrapText="1"/>
    </xf>
    <xf numFmtId="0" fontId="14" fillId="3" borderId="25" xfId="0" applyFont="1" applyFill="1" applyBorder="1" applyAlignment="1" applyProtection="1">
      <alignment horizontal="left" vertical="center" wrapText="1"/>
    </xf>
    <xf numFmtId="0" fontId="17" fillId="3" borderId="25" xfId="0" applyFont="1" applyFill="1" applyBorder="1" applyAlignment="1" applyProtection="1">
      <alignment vertical="center" wrapText="1"/>
    </xf>
    <xf numFmtId="0" fontId="14" fillId="3" borderId="26" xfId="0" applyFont="1" applyFill="1" applyBorder="1" applyAlignment="1" applyProtection="1">
      <alignment horizontal="center" vertical="center" wrapText="1"/>
    </xf>
    <xf numFmtId="0" fontId="12" fillId="2" borderId="25" xfId="0" applyFont="1" applyFill="1" applyBorder="1" applyAlignment="1" applyProtection="1">
      <alignment vertical="center" wrapText="1"/>
    </xf>
    <xf numFmtId="0" fontId="12" fillId="2" borderId="25" xfId="0" applyFont="1" applyFill="1" applyBorder="1" applyAlignment="1" applyProtection="1">
      <alignment horizontal="center" vertical="center" wrapText="1"/>
    </xf>
    <xf numFmtId="0" fontId="12" fillId="2" borderId="25" xfId="0" applyFont="1" applyFill="1" applyBorder="1" applyAlignment="1" applyProtection="1">
      <alignment horizontal="center" vertical="center" wrapText="1"/>
    </xf>
    <xf numFmtId="0" fontId="14" fillId="4" borderId="25" xfId="0" applyFont="1" applyFill="1" applyBorder="1" applyAlignment="1" applyProtection="1">
      <alignment horizontal="center" vertical="center" wrapText="1"/>
    </xf>
    <xf numFmtId="0" fontId="14" fillId="4" borderId="34" xfId="0" applyFont="1" applyFill="1" applyBorder="1" applyAlignment="1" applyProtection="1">
      <alignment horizontal="center" vertical="center" wrapText="1"/>
    </xf>
    <xf numFmtId="0" fontId="14" fillId="5" borderId="25" xfId="0" applyFont="1" applyFill="1" applyBorder="1" applyAlignment="1" applyProtection="1">
      <alignment horizontal="center" vertical="center" wrapText="1"/>
    </xf>
    <xf numFmtId="0" fontId="14" fillId="5" borderId="25" xfId="0" applyFont="1" applyFill="1" applyBorder="1" applyAlignment="1" applyProtection="1">
      <alignment vertical="center" wrapText="1"/>
    </xf>
    <xf numFmtId="0" fontId="14" fillId="5" borderId="25" xfId="0" applyFont="1" applyFill="1" applyBorder="1" applyAlignment="1" applyProtection="1">
      <alignment horizontal="left" vertical="center" wrapText="1"/>
    </xf>
    <xf numFmtId="0" fontId="12" fillId="5" borderId="25" xfId="0" applyFont="1" applyFill="1" applyBorder="1" applyAlignment="1" applyProtection="1">
      <alignment horizontal="center" vertical="center" wrapText="1"/>
    </xf>
    <xf numFmtId="0" fontId="17" fillId="5" borderId="25" xfId="0" applyFont="1" applyFill="1" applyBorder="1" applyAlignment="1" applyProtection="1">
      <alignment vertical="center" wrapText="1"/>
    </xf>
    <xf numFmtId="0" fontId="12" fillId="4" borderId="25" xfId="0" applyFont="1" applyFill="1" applyBorder="1" applyAlignment="1" applyProtection="1">
      <alignment vertical="center" wrapText="1"/>
    </xf>
    <xf numFmtId="0" fontId="12" fillId="3" borderId="25" xfId="0" applyFont="1" applyFill="1" applyBorder="1" applyAlignment="1" applyProtection="1">
      <alignment horizontal="left" vertical="center" wrapText="1"/>
    </xf>
    <xf numFmtId="1" fontId="12" fillId="0" borderId="25" xfId="0" applyNumberFormat="1" applyFont="1" applyBorder="1" applyAlignment="1" applyProtection="1">
      <alignment horizontal="center" vertical="top" shrinkToFit="1"/>
    </xf>
    <xf numFmtId="49" fontId="12" fillId="0" borderId="25" xfId="0" applyNumberFormat="1" applyFont="1" applyBorder="1" applyAlignment="1" applyProtection="1">
      <alignment horizontal="center" vertical="center" wrapText="1"/>
    </xf>
    <xf numFmtId="0" fontId="12" fillId="0" borderId="34" xfId="0" applyFont="1" applyBorder="1" applyAlignment="1" applyProtection="1">
      <alignment horizontal="center" vertical="center"/>
    </xf>
    <xf numFmtId="49" fontId="4" fillId="0" borderId="25" xfId="0" applyNumberFormat="1" applyFont="1" applyBorder="1" applyProtection="1">
      <alignment vertical="center"/>
    </xf>
    <xf numFmtId="0" fontId="12" fillId="0" borderId="25" xfId="0" applyFont="1" applyBorder="1" applyAlignment="1" applyProtection="1">
      <alignment horizontal="center" vertical="center"/>
    </xf>
    <xf numFmtId="0" fontId="12" fillId="0" borderId="25" xfId="0" applyFont="1" applyBorder="1" applyAlignment="1" applyProtection="1">
      <alignment horizontal="center" vertical="center" wrapText="1"/>
    </xf>
    <xf numFmtId="2" fontId="12" fillId="0" borderId="25" xfId="0" applyNumberFormat="1" applyFont="1" applyBorder="1" applyAlignment="1" applyProtection="1">
      <alignment horizontal="center" vertical="center" wrapText="1"/>
    </xf>
    <xf numFmtId="49" fontId="12" fillId="4" borderId="25" xfId="0" applyNumberFormat="1" applyFont="1" applyFill="1" applyBorder="1" applyAlignment="1" applyProtection="1">
      <alignment horizontal="center" vertical="center" wrapText="1"/>
    </xf>
    <xf numFmtId="0" fontId="12" fillId="4" borderId="34" xfId="0" applyFont="1" applyFill="1" applyBorder="1" applyAlignment="1" applyProtection="1">
      <alignment horizontal="center" vertical="center" wrapText="1"/>
    </xf>
    <xf numFmtId="0" fontId="12" fillId="4" borderId="25" xfId="0" applyFont="1" applyFill="1" applyBorder="1" applyAlignment="1" applyProtection="1">
      <alignment horizontal="center" vertical="center" wrapText="1"/>
    </xf>
    <xf numFmtId="178" fontId="21" fillId="2" borderId="34" xfId="0" applyNumberFormat="1" applyFont="1" applyFill="1" applyBorder="1" applyAlignment="1" applyProtection="1">
      <alignment horizontal="center" vertical="center" wrapText="1"/>
    </xf>
    <xf numFmtId="0" fontId="8" fillId="0" borderId="25" xfId="0" applyFont="1" applyBorder="1" applyAlignment="1" applyProtection="1">
      <alignment horizontal="center" vertical="center"/>
    </xf>
    <xf numFmtId="178" fontId="27" fillId="4" borderId="25" xfId="0" applyNumberFormat="1" applyFont="1" applyFill="1" applyBorder="1" applyAlignment="1" applyProtection="1">
      <alignment horizontal="left" vertical="center" wrapText="1"/>
    </xf>
    <xf numFmtId="9" fontId="4" fillId="0" borderId="25" xfId="0" applyNumberFormat="1" applyFont="1" applyBorder="1" applyProtection="1">
      <alignment vertical="center"/>
    </xf>
    <xf numFmtId="0" fontId="8" fillId="0" borderId="25" xfId="0" applyFont="1" applyBorder="1" applyAlignment="1" applyProtection="1">
      <alignment horizontal="left" vertical="center"/>
    </xf>
    <xf numFmtId="0" fontId="8" fillId="4" borderId="25" xfId="0" applyFont="1" applyFill="1" applyBorder="1" applyProtection="1">
      <alignment vertical="center"/>
    </xf>
    <xf numFmtId="0" fontId="8" fillId="0" borderId="25" xfId="0" applyFont="1" applyBorder="1" applyAlignment="1" applyProtection="1">
      <alignment vertical="center" wrapText="1"/>
    </xf>
    <xf numFmtId="0" fontId="8" fillId="0" borderId="25" xfId="0" applyFont="1" applyBorder="1" applyAlignment="1" applyProtection="1">
      <alignment horizontal="center" vertical="center" wrapText="1"/>
    </xf>
    <xf numFmtId="0" fontId="8" fillId="0" borderId="25" xfId="0" applyFont="1" applyBorder="1" applyProtection="1">
      <alignment vertical="center"/>
    </xf>
    <xf numFmtId="178" fontId="27" fillId="0" borderId="25" xfId="0" applyNumberFormat="1" applyFont="1" applyBorder="1" applyAlignment="1" applyProtection="1">
      <alignment horizontal="left" vertical="center" wrapText="1"/>
    </xf>
    <xf numFmtId="176" fontId="3" fillId="0" borderId="25" xfId="0" applyNumberFormat="1" applyFont="1" applyBorder="1" applyAlignment="1" applyProtection="1">
      <alignment horizontal="left" vertical="center"/>
      <protection locked="0"/>
    </xf>
    <xf numFmtId="0" fontId="8" fillId="0" borderId="25" xfId="0" applyFont="1" applyBorder="1" applyAlignment="1" applyProtection="1">
      <alignment horizontal="left" vertical="center" wrapText="1"/>
    </xf>
    <xf numFmtId="0" fontId="4" fillId="0" borderId="25" xfId="0" applyFont="1" applyBorder="1" applyProtection="1">
      <alignment vertical="center"/>
    </xf>
    <xf numFmtId="0" fontId="4" fillId="4" borderId="25" xfId="0" applyFont="1" applyFill="1" applyBorder="1" applyAlignment="1" applyProtection="1">
      <alignment horizontal="center" vertical="center"/>
    </xf>
    <xf numFmtId="0" fontId="4" fillId="4" borderId="25" xfId="0" applyFont="1" applyFill="1" applyBorder="1" applyAlignment="1" applyProtection="1">
      <alignment horizontal="left" vertical="center"/>
    </xf>
    <xf numFmtId="49" fontId="4" fillId="0" borderId="25" xfId="0" applyNumberFormat="1" applyFont="1" applyBorder="1" applyAlignment="1" applyProtection="1">
      <alignment horizontal="center" vertical="center"/>
    </xf>
    <xf numFmtId="0" fontId="14" fillId="0" borderId="15" xfId="0" applyFont="1" applyBorder="1" applyAlignment="1" applyProtection="1">
      <alignment vertical="center" wrapText="1"/>
    </xf>
    <xf numFmtId="0" fontId="14" fillId="0" borderId="23" xfId="0" applyFont="1" applyBorder="1" applyAlignment="1" applyProtection="1">
      <alignment horizontal="center" vertical="center" wrapText="1"/>
    </xf>
    <xf numFmtId="0" fontId="12" fillId="0" borderId="23" xfId="0" applyFont="1" applyBorder="1" applyAlignment="1" applyProtection="1">
      <alignment horizontal="left" vertical="center" wrapText="1"/>
    </xf>
    <xf numFmtId="0" fontId="18" fillId="0" borderId="23" xfId="0" applyFont="1" applyBorder="1" applyAlignment="1" applyProtection="1">
      <alignment horizontal="center" vertical="center" wrapText="1"/>
    </xf>
    <xf numFmtId="0" fontId="15" fillId="0" borderId="23" xfId="0" applyFont="1" applyBorder="1" applyAlignment="1" applyProtection="1">
      <alignment horizontal="left" vertical="center" wrapText="1"/>
    </xf>
    <xf numFmtId="0" fontId="14" fillId="0" borderId="3" xfId="0" applyFont="1" applyBorder="1" applyAlignment="1" applyProtection="1">
      <alignment horizontal="left" vertical="center" wrapText="1"/>
    </xf>
    <xf numFmtId="0" fontId="14" fillId="3" borderId="3" xfId="0" applyFont="1" applyFill="1" applyBorder="1" applyAlignment="1" applyProtection="1">
      <alignment horizontal="center" vertical="center" wrapText="1"/>
    </xf>
    <xf numFmtId="0" fontId="14" fillId="3" borderId="3" xfId="0" applyFont="1" applyFill="1" applyBorder="1" applyAlignment="1" applyProtection="1">
      <alignment horizontal="left" vertical="center" wrapText="1"/>
    </xf>
    <xf numFmtId="0" fontId="4" fillId="0" borderId="3" xfId="0" applyFont="1" applyBorder="1" applyProtection="1">
      <alignment vertical="center"/>
    </xf>
    <xf numFmtId="0" fontId="4" fillId="0" borderId="3" xfId="0" applyFont="1" applyBorder="1" applyAlignment="1" applyProtection="1">
      <alignment vertical="center" wrapText="1"/>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left" vertical="center" wrapText="1"/>
    </xf>
    <xf numFmtId="0" fontId="14" fillId="3" borderId="3" xfId="0" applyFont="1" applyFill="1" applyBorder="1" applyAlignment="1" applyProtection="1">
      <alignment horizontal="left" vertical="center" wrapText="1"/>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left" vertical="center" wrapText="1"/>
    </xf>
    <xf numFmtId="0" fontId="12" fillId="0" borderId="3" xfId="0" applyFont="1" applyBorder="1" applyAlignment="1" applyProtection="1">
      <alignment vertical="center" wrapText="1"/>
    </xf>
    <xf numFmtId="0" fontId="15" fillId="0" borderId="3" xfId="0" applyFont="1" applyBorder="1" applyAlignment="1" applyProtection="1">
      <alignment horizontal="center" vertical="center" wrapText="1"/>
    </xf>
    <xf numFmtId="0" fontId="15" fillId="0" borderId="3" xfId="0" applyFont="1" applyBorder="1" applyAlignment="1" applyProtection="1">
      <alignment horizontal="left" vertical="center" wrapText="1"/>
    </xf>
    <xf numFmtId="0" fontId="15" fillId="0" borderId="3" xfId="0" applyFont="1" applyBorder="1" applyAlignment="1" applyProtection="1">
      <alignment horizontal="center" vertical="center" wrapText="1"/>
    </xf>
    <xf numFmtId="0" fontId="24" fillId="0" borderId="3" xfId="0" applyFont="1" applyBorder="1" applyAlignment="1" applyProtection="1">
      <alignment horizontal="left" vertical="center" wrapText="1"/>
    </xf>
    <xf numFmtId="0" fontId="12" fillId="2" borderId="3" xfId="0" applyFont="1" applyFill="1" applyBorder="1" applyAlignment="1" applyProtection="1">
      <alignment horizontal="center" vertical="center" wrapText="1"/>
    </xf>
    <xf numFmtId="0" fontId="12" fillId="0" borderId="3" xfId="0" applyFont="1" applyBorder="1" applyAlignment="1" applyProtection="1">
      <alignment horizontal="left" vertical="center" wrapText="1"/>
    </xf>
    <xf numFmtId="0" fontId="12" fillId="0" borderId="3" xfId="0" applyFont="1" applyBorder="1" applyAlignment="1" applyProtection="1">
      <alignment horizontal="center" vertical="center" wrapText="1"/>
    </xf>
    <xf numFmtId="0" fontId="17" fillId="3" borderId="3" xfId="0" applyFont="1" applyFill="1" applyBorder="1" applyAlignment="1" applyProtection="1">
      <alignment vertical="center" wrapText="1"/>
    </xf>
    <xf numFmtId="0" fontId="12" fillId="0" borderId="3" xfId="0" applyFont="1" applyBorder="1" applyAlignment="1" applyProtection="1">
      <alignment vertical="center" wrapText="1"/>
    </xf>
    <xf numFmtId="0" fontId="14" fillId="2" borderId="3" xfId="0" applyFont="1" applyFill="1" applyBorder="1" applyAlignment="1" applyProtection="1">
      <alignment horizontal="left" vertical="center" wrapText="1"/>
    </xf>
    <xf numFmtId="176" fontId="3" fillId="0" borderId="3" xfId="0" applyNumberFormat="1" applyFont="1" applyBorder="1" applyAlignment="1" applyProtection="1">
      <alignment horizontal="left" vertical="center" wrapText="1"/>
      <protection locked="0"/>
    </xf>
    <xf numFmtId="0" fontId="13" fillId="4" borderId="3" xfId="0" applyFont="1" applyFill="1" applyBorder="1" applyAlignment="1" applyProtection="1">
      <alignment horizontal="righ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2" fillId="0" borderId="0" xfId="0" applyFont="1" applyAlignment="1">
      <alignment horizontal="center" vertical="center" wrapText="1"/>
    </xf>
    <xf numFmtId="0" fontId="12" fillId="2" borderId="0" xfId="0" applyFont="1" applyFill="1" applyAlignment="1">
      <alignment horizontal="center" vertical="center" wrapText="1"/>
    </xf>
    <xf numFmtId="0" fontId="4" fillId="0" borderId="25" xfId="0" applyFont="1" applyBorder="1" applyAlignment="1" applyProtection="1">
      <alignment horizontal="center" vertical="center" wrapText="1"/>
    </xf>
    <xf numFmtId="0" fontId="8" fillId="0" borderId="25" xfId="0" applyFont="1" applyBorder="1" applyAlignment="1" applyProtection="1">
      <alignment horizontal="center" vertical="center"/>
    </xf>
    <xf numFmtId="0" fontId="8" fillId="0" borderId="4" xfId="0" applyFont="1" applyBorder="1" applyAlignment="1" applyProtection="1">
      <alignment horizontal="center" vertical="center"/>
    </xf>
    <xf numFmtId="0" fontId="4" fillId="4" borderId="25" xfId="0" applyFont="1" applyFill="1" applyBorder="1" applyAlignment="1" applyProtection="1">
      <alignment horizontal="center" vertical="center"/>
    </xf>
    <xf numFmtId="0" fontId="12" fillId="3" borderId="3" xfId="0" applyFont="1" applyFill="1" applyBorder="1" applyAlignment="1" applyProtection="1">
      <alignment horizontal="center" vertical="center" wrapText="1"/>
    </xf>
    <xf numFmtId="0" fontId="14" fillId="3" borderId="3" xfId="0" applyFont="1" applyFill="1" applyBorder="1" applyAlignment="1" applyProtection="1">
      <alignment horizontal="center" vertical="center" wrapText="1"/>
    </xf>
    <xf numFmtId="0" fontId="14" fillId="3" borderId="3" xfId="0" applyFont="1" applyFill="1" applyBorder="1" applyAlignment="1" applyProtection="1">
      <alignment vertical="center" wrapText="1"/>
    </xf>
    <xf numFmtId="0" fontId="12" fillId="3" borderId="3" xfId="0" applyFont="1" applyFill="1" applyBorder="1" applyAlignment="1" applyProtection="1">
      <alignment vertical="center" wrapText="1"/>
    </xf>
    <xf numFmtId="0" fontId="12" fillId="0" borderId="24" xfId="0" applyFont="1" applyBorder="1" applyAlignment="1" applyProtection="1">
      <alignment horizontal="center" vertical="center" wrapText="1"/>
    </xf>
    <xf numFmtId="0" fontId="15" fillId="0" borderId="24" xfId="0" applyFont="1" applyBorder="1" applyAlignment="1" applyProtection="1">
      <alignment horizontal="center" vertical="center" wrapText="1"/>
    </xf>
    <xf numFmtId="0" fontId="15" fillId="0" borderId="24" xfId="0" applyFont="1" applyBorder="1" applyAlignment="1" applyProtection="1">
      <alignment horizontal="left" vertical="center" wrapText="1"/>
    </xf>
    <xf numFmtId="0" fontId="14" fillId="3" borderId="3" xfId="0" applyFont="1" applyFill="1" applyBorder="1" applyAlignment="1" applyProtection="1">
      <alignment vertical="center" wrapText="1"/>
    </xf>
    <xf numFmtId="0" fontId="12" fillId="0" borderId="24" xfId="0" applyFont="1" applyBorder="1" applyAlignment="1" applyProtection="1">
      <alignment vertical="center" wrapText="1"/>
    </xf>
    <xf numFmtId="0" fontId="12" fillId="4" borderId="24" xfId="0" applyFont="1" applyFill="1" applyBorder="1" applyAlignment="1" applyProtection="1">
      <alignment horizontal="center" vertical="center" wrapText="1"/>
    </xf>
    <xf numFmtId="0" fontId="14" fillId="5" borderId="3" xfId="0" applyFont="1" applyFill="1" applyBorder="1" applyAlignment="1" applyProtection="1">
      <alignment horizontal="center" vertical="center" wrapText="1"/>
    </xf>
    <xf numFmtId="0" fontId="14" fillId="5" borderId="3" xfId="0" applyFont="1" applyFill="1" applyBorder="1" applyAlignment="1" applyProtection="1">
      <alignment vertical="center" wrapText="1"/>
    </xf>
    <xf numFmtId="0" fontId="14" fillId="5" borderId="3" xfId="0" applyFont="1" applyFill="1" applyBorder="1" applyAlignment="1" applyProtection="1">
      <alignment horizontal="left" vertical="center" wrapText="1"/>
    </xf>
    <xf numFmtId="0" fontId="12" fillId="5" borderId="3" xfId="0" applyFont="1" applyFill="1" applyBorder="1" applyAlignment="1" applyProtection="1">
      <alignment horizontal="center" vertical="center" wrapText="1"/>
    </xf>
    <xf numFmtId="0" fontId="14" fillId="2" borderId="24" xfId="0" applyFont="1" applyFill="1" applyBorder="1" applyAlignment="1" applyProtection="1">
      <alignment vertical="center" wrapText="1"/>
    </xf>
    <xf numFmtId="0" fontId="14" fillId="0" borderId="24" xfId="0" applyFont="1" applyBorder="1" applyAlignment="1" applyProtection="1">
      <alignment vertical="center" wrapText="1"/>
    </xf>
    <xf numFmtId="0" fontId="15" fillId="0" borderId="3" xfId="0" applyFont="1" applyBorder="1" applyAlignment="1" applyProtection="1">
      <alignment vertical="center" wrapText="1"/>
    </xf>
    <xf numFmtId="0" fontId="15" fillId="0" borderId="3" xfId="0" applyFont="1" applyBorder="1" applyAlignment="1" applyProtection="1">
      <alignment horizontal="center" vertical="center" wrapText="1"/>
    </xf>
    <xf numFmtId="0" fontId="14" fillId="2" borderId="3" xfId="0" applyFont="1" applyFill="1" applyBorder="1" applyAlignment="1" applyProtection="1">
      <alignment horizontal="center" vertical="center" wrapText="1"/>
    </xf>
    <xf numFmtId="0" fontId="12" fillId="3" borderId="3" xfId="0" applyFont="1" applyFill="1" applyBorder="1" applyAlignment="1" applyProtection="1">
      <alignment horizontal="center" vertical="center" wrapText="1"/>
    </xf>
    <xf numFmtId="0" fontId="14" fillId="2" borderId="3"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2" fillId="2" borderId="3" xfId="0" applyFont="1" applyFill="1" applyBorder="1" applyAlignment="1" applyProtection="1">
      <alignment horizontal="center" vertical="center" wrapText="1"/>
    </xf>
    <xf numFmtId="0" fontId="12" fillId="0" borderId="24" xfId="0" applyFont="1" applyBorder="1" applyAlignment="1" applyProtection="1">
      <alignment horizontal="left" vertical="center" wrapText="1"/>
    </xf>
    <xf numFmtId="0" fontId="14" fillId="2" borderId="3" xfId="0" applyFont="1" applyFill="1" applyBorder="1" applyAlignment="1" applyProtection="1">
      <alignment horizontal="center" vertical="center" wrapText="1"/>
    </xf>
    <xf numFmtId="0" fontId="14" fillId="0" borderId="3" xfId="0" applyFont="1" applyBorder="1" applyAlignment="1" applyProtection="1">
      <alignment horizontal="center" vertical="center" wrapText="1"/>
    </xf>
    <xf numFmtId="0" fontId="14" fillId="8" borderId="3" xfId="0" applyFont="1" applyFill="1" applyBorder="1" applyAlignment="1" applyProtection="1">
      <alignment horizontal="center" vertical="center" wrapText="1"/>
    </xf>
    <xf numFmtId="0" fontId="14" fillId="8" borderId="3" xfId="0" applyFont="1" applyFill="1" applyBorder="1" applyAlignment="1" applyProtection="1">
      <alignment horizontal="center" vertical="center" wrapText="1"/>
    </xf>
    <xf numFmtId="0" fontId="14" fillId="8" borderId="3" xfId="0" applyFont="1" applyFill="1" applyBorder="1" applyAlignment="1" applyProtection="1">
      <alignment horizontal="left" vertical="center" wrapText="1"/>
    </xf>
    <xf numFmtId="0" fontId="27" fillId="0" borderId="3" xfId="0" applyFont="1" applyBorder="1" applyAlignment="1" applyProtection="1">
      <alignment horizontal="center" vertical="center" wrapText="1"/>
    </xf>
    <xf numFmtId="0" fontId="12" fillId="2" borderId="24" xfId="0" applyFont="1" applyFill="1" applyBorder="1" applyAlignment="1" applyProtection="1">
      <alignment horizontal="left" vertical="center" wrapText="1"/>
    </xf>
    <xf numFmtId="0" fontId="14" fillId="0" borderId="3" xfId="0" applyFont="1" applyBorder="1" applyAlignment="1" applyProtection="1">
      <alignment vertical="center" wrapText="1"/>
    </xf>
    <xf numFmtId="0" fontId="12" fillId="5" borderId="3" xfId="0" applyFont="1" applyFill="1" applyBorder="1" applyAlignment="1" applyProtection="1">
      <alignment horizontal="left" vertical="center" wrapText="1"/>
    </xf>
    <xf numFmtId="0" fontId="12" fillId="5" borderId="3" xfId="0" applyFont="1" applyFill="1" applyBorder="1" applyAlignment="1" applyProtection="1">
      <alignment horizontal="center" vertical="center" wrapText="1"/>
    </xf>
    <xf numFmtId="0" fontId="12" fillId="3" borderId="3" xfId="0" applyFont="1" applyFill="1" applyBorder="1" applyAlignment="1" applyProtection="1">
      <alignment horizontal="center" vertical="center" wrapText="1"/>
    </xf>
    <xf numFmtId="0" fontId="12" fillId="3" borderId="3" xfId="0" applyFont="1" applyFill="1" applyBorder="1" applyAlignment="1" applyProtection="1">
      <alignment horizontal="center" vertical="center" wrapText="1"/>
    </xf>
    <xf numFmtId="0" fontId="18" fillId="8" borderId="3" xfId="0" applyFont="1" applyFill="1" applyBorder="1" applyAlignment="1" applyProtection="1">
      <alignment horizontal="center" vertical="center" wrapText="1"/>
    </xf>
    <xf numFmtId="0" fontId="18" fillId="8" borderId="3" xfId="0" applyFont="1" applyFill="1" applyBorder="1" applyAlignment="1" applyProtection="1">
      <alignment vertical="center" wrapText="1"/>
    </xf>
    <xf numFmtId="0" fontId="18" fillId="8" borderId="3" xfId="0" applyFont="1" applyFill="1" applyBorder="1" applyAlignment="1" applyProtection="1">
      <alignment horizontal="left" vertical="center" wrapText="1"/>
    </xf>
    <xf numFmtId="0" fontId="15" fillId="0" borderId="3" xfId="0" applyFont="1" applyBorder="1" applyAlignment="1" applyProtection="1">
      <alignment horizontal="left" vertical="center" wrapText="1"/>
    </xf>
    <xf numFmtId="0" fontId="18" fillId="0" borderId="3" xfId="0" applyFont="1" applyBorder="1" applyAlignment="1" applyProtection="1">
      <alignment horizontal="left" vertical="center" wrapText="1"/>
    </xf>
    <xf numFmtId="0" fontId="18" fillId="0" borderId="3" xfId="0" applyFont="1" applyBorder="1" applyAlignment="1" applyProtection="1">
      <alignment horizontal="center" vertical="center" wrapText="1"/>
    </xf>
    <xf numFmtId="0" fontId="14" fillId="12" borderId="3" xfId="0" applyFont="1" applyFill="1" applyBorder="1" applyAlignment="1" applyProtection="1">
      <alignment horizontal="center" vertical="center" wrapText="1"/>
    </xf>
    <xf numFmtId="0" fontId="12" fillId="12" borderId="3" xfId="0" applyFont="1" applyFill="1" applyBorder="1" applyAlignment="1" applyProtection="1">
      <alignment horizontal="center" vertical="center" wrapText="1"/>
    </xf>
    <xf numFmtId="0" fontId="14" fillId="12" borderId="3" xfId="0" applyFont="1" applyFill="1" applyBorder="1" applyAlignment="1" applyProtection="1">
      <alignment horizontal="left" vertical="center" wrapText="1"/>
    </xf>
    <xf numFmtId="0" fontId="12" fillId="5" borderId="24" xfId="0" applyFont="1" applyFill="1" applyBorder="1" applyAlignment="1" applyProtection="1">
      <alignment horizontal="center" vertical="center" wrapText="1"/>
    </xf>
    <xf numFmtId="0" fontId="24" fillId="0" borderId="3" xfId="0" applyFont="1" applyBorder="1" applyAlignment="1" applyProtection="1">
      <alignment horizontal="center" vertical="center" wrapText="1"/>
    </xf>
    <xf numFmtId="0" fontId="12" fillId="0" borderId="39" xfId="0" applyFont="1" applyBorder="1" applyAlignment="1" applyProtection="1">
      <alignment horizontal="center" vertical="center" wrapText="1"/>
    </xf>
    <xf numFmtId="0" fontId="34" fillId="0" borderId="3" xfId="0" applyFont="1" applyBorder="1" applyAlignment="1" applyProtection="1">
      <alignment horizontal="left" vertical="center" wrapText="1"/>
    </xf>
    <xf numFmtId="0" fontId="12" fillId="0" borderId="24" xfId="0" applyFont="1" applyBorder="1" applyAlignment="1" applyProtection="1">
      <alignment horizontal="center" vertical="center" wrapText="1"/>
    </xf>
    <xf numFmtId="0" fontId="12" fillId="4" borderId="3" xfId="0" applyFont="1" applyFill="1" applyBorder="1" applyAlignment="1" applyProtection="1">
      <alignment vertical="center" wrapText="1"/>
    </xf>
    <xf numFmtId="0" fontId="14" fillId="5" borderId="3" xfId="0" applyFont="1" applyFill="1" applyBorder="1" applyAlignment="1" applyProtection="1">
      <alignment horizontal="center" vertical="center" wrapText="1"/>
    </xf>
    <xf numFmtId="0" fontId="14" fillId="5" borderId="3" xfId="0" applyFont="1" applyFill="1" applyBorder="1" applyAlignment="1" applyProtection="1">
      <alignment vertical="center" wrapText="1"/>
    </xf>
    <xf numFmtId="0" fontId="14" fillId="5" borderId="3" xfId="0" applyFont="1" applyFill="1" applyBorder="1" applyAlignment="1" applyProtection="1">
      <alignment horizontal="left" vertical="center" wrapText="1"/>
    </xf>
    <xf numFmtId="0" fontId="12" fillId="5" borderId="3" xfId="0" applyFont="1" applyFill="1" applyBorder="1" applyAlignment="1" applyProtection="1">
      <alignment horizontal="center" vertical="center" wrapText="1"/>
    </xf>
    <xf numFmtId="0" fontId="4" fillId="5" borderId="3" xfId="0" applyFont="1" applyFill="1" applyBorder="1" applyAlignment="1" applyProtection="1">
      <alignment vertical="center" wrapText="1"/>
    </xf>
    <xf numFmtId="0" fontId="12" fillId="5" borderId="3" xfId="0" applyFont="1" applyFill="1" applyBorder="1" applyAlignment="1" applyProtection="1">
      <alignment horizontal="center" vertical="center" wrapText="1"/>
    </xf>
    <xf numFmtId="0" fontId="4" fillId="5" borderId="3" xfId="0" applyFont="1" applyFill="1" applyBorder="1" applyAlignment="1" applyProtection="1">
      <alignment horizontal="center" vertical="center"/>
    </xf>
    <xf numFmtId="0" fontId="12" fillId="5" borderId="3" xfId="0" applyFont="1" applyFill="1" applyBorder="1" applyAlignment="1" applyProtection="1">
      <alignment vertical="center" wrapText="1"/>
    </xf>
    <xf numFmtId="0" fontId="12" fillId="5" borderId="24" xfId="0" applyFont="1" applyFill="1" applyBorder="1" applyAlignment="1" applyProtection="1">
      <alignment horizontal="center" vertical="center" wrapText="1"/>
    </xf>
    <xf numFmtId="0" fontId="15" fillId="0" borderId="3" xfId="0" applyFont="1" applyBorder="1" applyAlignment="1" applyProtection="1">
      <alignment horizontal="left" vertical="center" wrapText="1"/>
    </xf>
    <xf numFmtId="0" fontId="15" fillId="0" borderId="24" xfId="0" applyFont="1" applyBorder="1" applyAlignment="1" applyProtection="1">
      <alignment horizontal="left" vertical="center" wrapText="1"/>
    </xf>
    <xf numFmtId="0" fontId="15" fillId="0" borderId="3" xfId="0" applyFont="1" applyBorder="1" applyAlignment="1" applyProtection="1">
      <alignment horizontal="center" vertical="center" wrapText="1"/>
    </xf>
    <xf numFmtId="0" fontId="12" fillId="0" borderId="24" xfId="0" applyFont="1" applyBorder="1" applyAlignment="1" applyProtection="1">
      <alignment horizontal="left" vertical="center" wrapText="1"/>
    </xf>
    <xf numFmtId="0" fontId="12" fillId="2" borderId="3" xfId="0" applyFont="1" applyFill="1" applyBorder="1" applyAlignment="1" applyProtection="1">
      <alignment horizontal="left" vertical="center" wrapText="1"/>
    </xf>
    <xf numFmtId="0" fontId="12" fillId="4" borderId="3" xfId="0" applyFont="1" applyFill="1" applyBorder="1" applyAlignment="1" applyProtection="1">
      <alignment horizontal="left" vertical="center" wrapText="1"/>
    </xf>
    <xf numFmtId="0" fontId="12" fillId="4" borderId="39" xfId="0" applyFont="1" applyFill="1" applyBorder="1" applyAlignment="1" applyProtection="1">
      <alignment horizontal="center" vertical="center" wrapText="1"/>
    </xf>
    <xf numFmtId="0" fontId="12" fillId="4" borderId="24" xfId="0" applyFont="1" applyFill="1" applyBorder="1" applyAlignment="1" applyProtection="1">
      <alignment horizontal="left" vertical="center" wrapText="1"/>
    </xf>
    <xf numFmtId="0" fontId="12" fillId="3" borderId="3" xfId="0" applyFont="1" applyFill="1" applyBorder="1" applyAlignment="1" applyProtection="1">
      <alignment horizontal="center" vertical="center" wrapText="1"/>
    </xf>
    <xf numFmtId="0" fontId="13" fillId="0" borderId="24" xfId="0" applyFont="1" applyBorder="1" applyAlignment="1" applyProtection="1">
      <alignment vertical="center" wrapText="1"/>
    </xf>
    <xf numFmtId="0" fontId="14" fillId="5" borderId="3" xfId="0" applyFont="1" applyFill="1" applyBorder="1" applyAlignment="1" applyProtection="1">
      <alignment vertical="center" wrapText="1"/>
    </xf>
    <xf numFmtId="0" fontId="4" fillId="0" borderId="3" xfId="0" applyFont="1" applyBorder="1" applyAlignment="1" applyProtection="1">
      <alignment horizontal="center" vertical="center" wrapText="1"/>
    </xf>
    <xf numFmtId="0" fontId="27" fillId="0" borderId="3" xfId="0" applyFont="1" applyBorder="1" applyAlignment="1" applyProtection="1">
      <alignment horizontal="left" vertical="center" wrapText="1"/>
    </xf>
    <xf numFmtId="0" fontId="13" fillId="0" borderId="24" xfId="0" applyFont="1" applyBorder="1" applyAlignment="1" applyProtection="1">
      <alignment horizontal="left" vertical="center" wrapText="1"/>
    </xf>
    <xf numFmtId="0" fontId="14" fillId="4" borderId="3" xfId="0" applyFont="1" applyFill="1" applyBorder="1" applyAlignment="1" applyProtection="1">
      <alignment horizontal="center" vertical="center" wrapText="1"/>
    </xf>
    <xf numFmtId="0" fontId="13" fillId="4" borderId="3" xfId="0" applyFont="1" applyFill="1" applyBorder="1" applyAlignment="1" applyProtection="1">
      <alignment horizontal="left" vertical="center" wrapText="1"/>
    </xf>
    <xf numFmtId="0" fontId="12" fillId="2" borderId="24" xfId="0" applyFont="1" applyFill="1" applyBorder="1" applyAlignment="1" applyProtection="1">
      <alignment horizontal="center" vertical="center" wrapText="1"/>
    </xf>
    <xf numFmtId="0" fontId="4" fillId="0" borderId="3" xfId="0" applyFont="1" applyBorder="1" applyAlignment="1" applyProtection="1">
      <alignment vertical="center" wrapText="1"/>
    </xf>
    <xf numFmtId="0" fontId="12" fillId="2" borderId="39" xfId="0" applyFont="1" applyFill="1" applyBorder="1" applyAlignment="1" applyProtection="1">
      <alignment horizontal="center" vertical="center" wrapText="1"/>
    </xf>
    <xf numFmtId="0" fontId="14" fillId="0" borderId="39" xfId="0" applyFont="1" applyBorder="1" applyAlignment="1" applyProtection="1">
      <alignment horizontal="center" vertical="center" wrapText="1"/>
    </xf>
    <xf numFmtId="0" fontId="3" fillId="0" borderId="3" xfId="0" applyFont="1" applyBorder="1" applyAlignment="1" applyProtection="1">
      <alignment horizontal="center" vertical="center" wrapText="1"/>
      <protection locked="0"/>
    </xf>
    <xf numFmtId="176" fontId="3" fillId="2" borderId="3" xfId="0" applyNumberFormat="1" applyFont="1" applyFill="1" applyBorder="1" applyAlignment="1" applyProtection="1">
      <alignment horizontal="left" vertical="center" wrapText="1"/>
      <protection locked="0"/>
    </xf>
    <xf numFmtId="0" fontId="34" fillId="0" borderId="3" xfId="0" applyFont="1" applyBorder="1" applyAlignment="1" applyProtection="1">
      <alignment horizontal="center" vertical="center" wrapText="1"/>
    </xf>
    <xf numFmtId="0" fontId="34" fillId="0" borderId="3" xfId="0" applyFont="1" applyBorder="1" applyAlignment="1" applyProtection="1">
      <alignment horizontal="center" vertical="center" wrapText="1"/>
    </xf>
    <xf numFmtId="0" fontId="34" fillId="0" borderId="40" xfId="0" applyFont="1" applyBorder="1" applyAlignment="1" applyProtection="1">
      <alignment horizontal="left" vertical="center" wrapText="1"/>
    </xf>
    <xf numFmtId="0" fontId="12" fillId="0" borderId="3" xfId="0" applyFont="1" applyBorder="1" applyAlignment="1" applyProtection="1">
      <alignment vertical="center" wrapText="1"/>
    </xf>
    <xf numFmtId="0" fontId="34" fillId="0" borderId="3" xfId="0" applyFont="1" applyBorder="1" applyAlignment="1" applyProtection="1">
      <alignment horizontal="center" vertical="center" wrapText="1"/>
    </xf>
    <xf numFmtId="0" fontId="12" fillId="0" borderId="3" xfId="0" applyFont="1" applyBorder="1" applyAlignment="1" applyProtection="1">
      <alignment horizontal="center" vertical="center" wrapText="1"/>
    </xf>
    <xf numFmtId="0" fontId="3" fillId="0" borderId="3" xfId="0" applyFont="1" applyBorder="1" applyAlignment="1" applyProtection="1">
      <alignment horizontal="center" vertical="center" wrapText="1"/>
    </xf>
    <xf numFmtId="0" fontId="34" fillId="0" borderId="3" xfId="0" applyFont="1" applyBorder="1" applyAlignment="1" applyProtection="1">
      <alignment horizontal="left" vertical="center" wrapText="1"/>
    </xf>
    <xf numFmtId="0" fontId="34" fillId="0" borderId="3" xfId="0" applyFont="1" applyBorder="1" applyAlignment="1" applyProtection="1">
      <alignment horizontal="left" vertical="center" wrapText="1"/>
    </xf>
    <xf numFmtId="0" fontId="12" fillId="0" borderId="3" xfId="0" applyFont="1" applyBorder="1" applyAlignment="1" applyProtection="1">
      <alignment vertical="center" wrapText="1"/>
    </xf>
    <xf numFmtId="0" fontId="12" fillId="0" borderId="3" xfId="0" quotePrefix="1" applyFont="1" applyBorder="1" applyAlignment="1" applyProtection="1">
      <alignment horizontal="center" vertical="center" wrapText="1"/>
    </xf>
    <xf numFmtId="0" fontId="14" fillId="4" borderId="3" xfId="0" applyFont="1" applyFill="1" applyBorder="1" applyAlignment="1" applyProtection="1">
      <alignment vertical="center" wrapText="1"/>
    </xf>
    <xf numFmtId="0" fontId="3" fillId="2" borderId="3" xfId="0" applyFont="1" applyFill="1" applyBorder="1" applyAlignment="1" applyProtection="1">
      <alignment vertical="center" wrapText="1"/>
    </xf>
    <xf numFmtId="0" fontId="14" fillId="0" borderId="24" xfId="0" applyFont="1" applyBorder="1" applyAlignment="1" applyProtection="1">
      <alignment horizontal="left" vertical="center" wrapText="1"/>
    </xf>
    <xf numFmtId="0" fontId="14" fillId="0" borderId="24" xfId="0" applyFont="1" applyBorder="1" applyAlignment="1" applyProtection="1">
      <alignment horizontal="center" vertical="center" wrapText="1"/>
    </xf>
    <xf numFmtId="0" fontId="12" fillId="5" borderId="3" xfId="0" applyFont="1" applyFill="1" applyBorder="1" applyAlignment="1" applyProtection="1">
      <alignment horizontal="left" vertical="center" wrapText="1"/>
    </xf>
    <xf numFmtId="0" fontId="12" fillId="0" borderId="24" xfId="0" applyFont="1" applyBorder="1" applyAlignment="1" applyProtection="1">
      <alignment vertical="center" wrapText="1"/>
    </xf>
    <xf numFmtId="0" fontId="12" fillId="5" borderId="24" xfId="0" applyFont="1" applyFill="1" applyBorder="1" applyAlignment="1" applyProtection="1">
      <alignment horizontal="left" vertical="center" wrapText="1"/>
    </xf>
    <xf numFmtId="0" fontId="14" fillId="5" borderId="3" xfId="0" applyFont="1" applyFill="1" applyBorder="1" applyAlignment="1" applyProtection="1">
      <alignment horizontal="center" vertical="center"/>
    </xf>
    <xf numFmtId="1" fontId="35" fillId="0" borderId="3" xfId="0" applyNumberFormat="1" applyFont="1" applyBorder="1" applyAlignment="1" applyProtection="1">
      <alignment horizontal="right" vertical="top" shrinkToFit="1"/>
    </xf>
    <xf numFmtId="0" fontId="36" fillId="0" borderId="3" xfId="0" applyFont="1" applyBorder="1" applyAlignment="1" applyProtection="1">
      <alignment horizontal="center" vertical="top" wrapText="1"/>
    </xf>
    <xf numFmtId="0" fontId="14" fillId="3" borderId="3" xfId="0" applyFont="1" applyFill="1" applyBorder="1" applyAlignment="1" applyProtection="1">
      <alignment horizontal="center" vertical="center"/>
    </xf>
    <xf numFmtId="0" fontId="14" fillId="3" borderId="15" xfId="0" applyFont="1" applyFill="1" applyBorder="1" applyAlignment="1" applyProtection="1">
      <alignment horizontal="center" vertical="center"/>
    </xf>
    <xf numFmtId="0" fontId="12" fillId="4" borderId="15" xfId="0" applyFont="1" applyFill="1" applyBorder="1" applyAlignment="1" applyProtection="1">
      <alignment vertical="center" wrapText="1"/>
    </xf>
    <xf numFmtId="0" fontId="12" fillId="3" borderId="15" xfId="0" applyFont="1" applyFill="1" applyBorder="1" applyProtection="1">
      <alignment vertical="center"/>
    </xf>
    <xf numFmtId="0" fontId="14" fillId="4" borderId="15" xfId="0" applyFont="1" applyFill="1" applyBorder="1" applyAlignment="1" applyProtection="1">
      <alignment horizontal="center" vertical="center"/>
    </xf>
    <xf numFmtId="0" fontId="12" fillId="4" borderId="15" xfId="0" applyFont="1" applyFill="1" applyBorder="1" applyProtection="1">
      <alignment vertical="center"/>
    </xf>
    <xf numFmtId="0" fontId="14" fillId="5" borderId="24" xfId="0" applyFont="1" applyFill="1" applyBorder="1" applyAlignment="1" applyProtection="1">
      <alignment vertical="center" wrapText="1"/>
    </xf>
    <xf numFmtId="0" fontId="13" fillId="0" borderId="3" xfId="0" applyFont="1" applyBorder="1" applyAlignment="1" applyProtection="1">
      <alignment vertical="center" wrapText="1"/>
    </xf>
    <xf numFmtId="0" fontId="13" fillId="0" borderId="3" xfId="0" applyFont="1" applyBorder="1" applyAlignment="1" applyProtection="1">
      <alignment vertical="center" wrapText="1"/>
    </xf>
    <xf numFmtId="0" fontId="13" fillId="0" borderId="15" xfId="0" applyFont="1" applyBorder="1" applyAlignment="1" applyProtection="1">
      <alignment vertical="center" wrapText="1"/>
    </xf>
    <xf numFmtId="0" fontId="14" fillId="3" borderId="3" xfId="0" applyFont="1" applyFill="1" applyBorder="1" applyAlignment="1" applyProtection="1">
      <alignment horizontal="center" vertical="center" wrapText="1"/>
    </xf>
    <xf numFmtId="0" fontId="14" fillId="3" borderId="3" xfId="0" applyFont="1" applyFill="1" applyBorder="1" applyAlignment="1" applyProtection="1">
      <alignment vertical="center" wrapText="1"/>
    </xf>
    <xf numFmtId="0" fontId="14" fillId="3" borderId="3" xfId="0" applyFont="1" applyFill="1" applyBorder="1" applyAlignment="1" applyProtection="1">
      <alignment horizontal="left" vertical="center" wrapText="1"/>
    </xf>
    <xf numFmtId="0" fontId="12" fillId="0" borderId="3" xfId="0" applyFont="1" applyBorder="1" applyAlignment="1" applyProtection="1">
      <alignment horizontal="center" vertical="center" wrapText="1"/>
    </xf>
    <xf numFmtId="0" fontId="17" fillId="3" borderId="3" xfId="0" applyFont="1" applyFill="1" applyBorder="1" applyAlignment="1" applyProtection="1">
      <alignment vertical="center" wrapText="1"/>
    </xf>
    <xf numFmtId="0" fontId="14" fillId="0" borderId="3" xfId="0" applyFont="1" applyBorder="1" applyAlignment="1" applyProtection="1">
      <alignment horizontal="left" vertical="center" wrapText="1"/>
    </xf>
    <xf numFmtId="0" fontId="14" fillId="7" borderId="3" xfId="0" applyFont="1" applyFill="1" applyBorder="1" applyAlignment="1" applyProtection="1">
      <alignment horizontal="center" vertical="center" wrapText="1"/>
    </xf>
    <xf numFmtId="0" fontId="15" fillId="4" borderId="0" xfId="0" applyFont="1" applyFill="1" applyAlignment="1">
      <alignment horizontal="left" vertical="center" wrapText="1"/>
    </xf>
    <xf numFmtId="0" fontId="14" fillId="3" borderId="3" xfId="0" applyFont="1" applyFill="1" applyBorder="1" applyAlignment="1" applyProtection="1">
      <alignment horizontal="center" vertical="center" wrapText="1"/>
    </xf>
    <xf numFmtId="0" fontId="14" fillId="3" borderId="3" xfId="0" applyFont="1" applyFill="1" applyBorder="1" applyAlignment="1" applyProtection="1">
      <alignment horizontal="left" vertical="center" wrapText="1"/>
    </xf>
    <xf numFmtId="0" fontId="14" fillId="3" borderId="3" xfId="0" applyFont="1" applyFill="1" applyBorder="1" applyAlignment="1" applyProtection="1">
      <alignment horizontal="center" vertical="center"/>
    </xf>
    <xf numFmtId="0" fontId="14" fillId="3" borderId="3" xfId="0" applyFont="1" applyFill="1" applyBorder="1" applyProtection="1">
      <alignment vertical="center"/>
    </xf>
    <xf numFmtId="49" fontId="14" fillId="3" borderId="3" xfId="0" applyNumberFormat="1" applyFont="1" applyFill="1" applyBorder="1" applyAlignment="1" applyProtection="1">
      <alignment horizontal="center" vertical="center" wrapText="1"/>
    </xf>
    <xf numFmtId="2" fontId="14" fillId="3" borderId="3" xfId="0" applyNumberFormat="1" applyFont="1" applyFill="1" applyBorder="1" applyAlignment="1" applyProtection="1">
      <alignment horizontal="center" vertical="center"/>
    </xf>
    <xf numFmtId="0" fontId="14" fillId="3" borderId="23" xfId="0" applyFont="1" applyFill="1" applyBorder="1" applyProtection="1">
      <alignment vertical="center"/>
    </xf>
    <xf numFmtId="0" fontId="4" fillId="0" borderId="3" xfId="0" applyFont="1" applyBorder="1" applyProtection="1">
      <alignment vertical="center"/>
    </xf>
    <xf numFmtId="49" fontId="4" fillId="0" borderId="3" xfId="0" applyNumberFormat="1" applyFont="1" applyBorder="1" applyProtection="1">
      <alignment vertical="center"/>
    </xf>
    <xf numFmtId="0" fontId="4" fillId="0" borderId="3" xfId="0" applyFont="1" applyBorder="1" applyAlignment="1" applyProtection="1">
      <alignment horizontal="center" vertical="center"/>
    </xf>
    <xf numFmtId="0" fontId="4" fillId="0" borderId="3" xfId="0" applyFont="1" applyBorder="1" applyAlignment="1" applyProtection="1">
      <alignment vertical="center" wrapText="1"/>
    </xf>
    <xf numFmtId="2" fontId="4" fillId="0" borderId="3" xfId="0" applyNumberFormat="1" applyFont="1" applyBorder="1" applyAlignment="1" applyProtection="1">
      <alignment horizontal="center" vertical="center"/>
    </xf>
    <xf numFmtId="1" fontId="12" fillId="0" borderId="3" xfId="0" applyNumberFormat="1" applyFont="1" applyBorder="1" applyAlignment="1" applyProtection="1">
      <alignment horizontal="left" vertical="center" shrinkToFit="1"/>
    </xf>
    <xf numFmtId="1" fontId="12" fillId="0" borderId="3" xfId="0" applyNumberFormat="1" applyFont="1" applyBorder="1" applyAlignment="1" applyProtection="1">
      <alignment horizontal="center" vertical="center" shrinkToFit="1"/>
    </xf>
    <xf numFmtId="0" fontId="12" fillId="0" borderId="3" xfId="0" applyFont="1" applyBorder="1" applyAlignment="1" applyProtection="1">
      <alignment horizontal="center" vertical="center" wrapText="1"/>
    </xf>
    <xf numFmtId="0" fontId="12" fillId="0" borderId="23" xfId="0" applyFont="1" applyBorder="1" applyAlignment="1" applyProtection="1">
      <alignment horizontal="center" vertical="center"/>
    </xf>
    <xf numFmtId="1" fontId="12" fillId="0" borderId="3" xfId="0" applyNumberFormat="1" applyFont="1" applyBorder="1" applyAlignment="1" applyProtection="1">
      <alignment horizontal="left" shrinkToFit="1"/>
    </xf>
    <xf numFmtId="1" fontId="12" fillId="0" borderId="3" xfId="0" applyNumberFormat="1" applyFont="1" applyBorder="1" applyAlignment="1" applyProtection="1">
      <alignment horizontal="center" shrinkToFit="1"/>
    </xf>
    <xf numFmtId="49" fontId="12" fillId="0" borderId="3" xfId="0" applyNumberFormat="1" applyFont="1" applyBorder="1" applyAlignment="1" applyProtection="1">
      <alignment vertical="center" wrapText="1"/>
    </xf>
    <xf numFmtId="0" fontId="12" fillId="0" borderId="23" xfId="0" applyFont="1" applyBorder="1" applyProtection="1">
      <alignment vertical="center"/>
    </xf>
    <xf numFmtId="1" fontId="12" fillId="0" borderId="3" xfId="0" applyNumberFormat="1" applyFont="1" applyBorder="1" applyAlignment="1" applyProtection="1">
      <alignment horizontal="left" vertical="top" shrinkToFit="1"/>
    </xf>
    <xf numFmtId="0" fontId="12" fillId="0" borderId="3" xfId="0" applyFont="1" applyBorder="1" applyProtection="1">
      <alignment vertical="center"/>
    </xf>
    <xf numFmtId="0" fontId="4" fillId="0" borderId="23" xfId="0" applyFont="1" applyBorder="1" applyAlignment="1" applyProtection="1">
      <alignment horizontal="center" vertical="center"/>
    </xf>
    <xf numFmtId="0" fontId="14" fillId="3" borderId="3" xfId="0" applyFont="1" applyFill="1" applyBorder="1" applyAlignment="1" applyProtection="1">
      <alignment horizontal="center" vertical="center" wrapText="1"/>
    </xf>
    <xf numFmtId="0" fontId="14" fillId="3" borderId="3" xfId="0" applyFont="1" applyFill="1" applyBorder="1" applyAlignment="1" applyProtection="1">
      <alignment horizontal="left" vertical="center" wrapText="1"/>
    </xf>
    <xf numFmtId="0" fontId="14" fillId="3" borderId="3" xfId="0" applyFont="1" applyFill="1" applyBorder="1" applyAlignment="1" applyProtection="1">
      <alignment horizontal="center" vertical="center"/>
    </xf>
    <xf numFmtId="49" fontId="14" fillId="3" borderId="3" xfId="0" applyNumberFormat="1" applyFont="1" applyFill="1" applyBorder="1" applyAlignment="1" applyProtection="1">
      <alignment horizontal="center" vertical="center" wrapText="1"/>
    </xf>
    <xf numFmtId="0" fontId="14" fillId="3" borderId="3" xfId="0" applyFont="1" applyFill="1" applyBorder="1" applyProtection="1">
      <alignment vertical="center"/>
    </xf>
    <xf numFmtId="2" fontId="14" fillId="3" borderId="3" xfId="0" applyNumberFormat="1" applyFont="1" applyFill="1" applyBorder="1" applyAlignment="1" applyProtection="1">
      <alignment horizontal="center" vertical="center"/>
    </xf>
    <xf numFmtId="0" fontId="14" fillId="3" borderId="23" xfId="0" applyFont="1" applyFill="1" applyBorder="1" applyProtection="1">
      <alignment vertical="center"/>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left" vertical="center" wrapText="1"/>
    </xf>
    <xf numFmtId="1" fontId="12" fillId="0" borderId="3" xfId="0" applyNumberFormat="1" applyFont="1" applyBorder="1" applyAlignment="1" applyProtection="1">
      <alignment horizontal="left" vertical="center" shrinkToFit="1"/>
    </xf>
    <xf numFmtId="1" fontId="12" fillId="0" borderId="3" xfId="0" applyNumberFormat="1" applyFont="1" applyBorder="1" applyAlignment="1" applyProtection="1">
      <alignment horizontal="center" vertical="center" shrinkToFit="1"/>
    </xf>
    <xf numFmtId="0" fontId="12" fillId="0" borderId="3" xfId="0" applyFont="1" applyBorder="1" applyAlignment="1" applyProtection="1">
      <alignment horizontal="left" vertical="top" wrapText="1"/>
    </xf>
    <xf numFmtId="2" fontId="12" fillId="0" borderId="3" xfId="0" applyNumberFormat="1" applyFont="1" applyBorder="1" applyAlignment="1" applyProtection="1">
      <alignment horizontal="center" vertical="center" shrinkToFit="1"/>
    </xf>
    <xf numFmtId="0" fontId="12" fillId="0" borderId="23" xfId="0" applyFont="1" applyBorder="1" applyAlignment="1" applyProtection="1">
      <alignment horizontal="center" vertical="center"/>
    </xf>
    <xf numFmtId="1" fontId="12" fillId="0" borderId="3" xfId="0" applyNumberFormat="1" applyFont="1" applyBorder="1" applyAlignment="1" applyProtection="1">
      <alignment horizontal="left" shrinkToFit="1"/>
    </xf>
    <xf numFmtId="1" fontId="12" fillId="0" borderId="3" xfId="0" applyNumberFormat="1" applyFont="1" applyBorder="1" applyAlignment="1" applyProtection="1">
      <alignment horizontal="center" shrinkToFit="1"/>
    </xf>
    <xf numFmtId="0" fontId="12" fillId="0" borderId="3" xfId="0" applyFont="1" applyBorder="1" applyAlignment="1" applyProtection="1">
      <alignment horizontal="left" wrapText="1"/>
    </xf>
    <xf numFmtId="49" fontId="12" fillId="0" borderId="3" xfId="0" applyNumberFormat="1" applyFont="1" applyBorder="1" applyAlignment="1" applyProtection="1">
      <alignment vertical="center" wrapText="1"/>
    </xf>
    <xf numFmtId="0" fontId="12" fillId="0" borderId="23" xfId="0" applyFont="1" applyBorder="1" applyProtection="1">
      <alignment vertical="center"/>
    </xf>
    <xf numFmtId="0" fontId="12" fillId="0" borderId="3" xfId="0" applyFont="1" applyBorder="1" applyProtection="1">
      <alignment vertical="center"/>
    </xf>
    <xf numFmtId="2" fontId="12" fillId="0" borderId="3" xfId="0" applyNumberFormat="1" applyFont="1" applyBorder="1" applyAlignment="1" applyProtection="1">
      <alignment horizontal="center" vertical="center" wrapText="1"/>
    </xf>
    <xf numFmtId="1" fontId="12" fillId="0" borderId="3" xfId="0" applyNumberFormat="1" applyFont="1" applyBorder="1" applyAlignment="1" applyProtection="1">
      <alignment horizontal="left" vertical="top" shrinkToFit="1"/>
    </xf>
    <xf numFmtId="1" fontId="12" fillId="0" borderId="3" xfId="0" applyNumberFormat="1" applyFont="1" applyBorder="1" applyAlignment="1" applyProtection="1">
      <alignment horizontal="center" vertical="top" shrinkToFit="1"/>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center" vertical="center"/>
    </xf>
    <xf numFmtId="0" fontId="12" fillId="0" borderId="3" xfId="0" applyFont="1" applyBorder="1" applyAlignment="1" applyProtection="1">
      <alignment horizontal="center" vertical="top" wrapText="1"/>
    </xf>
    <xf numFmtId="49" fontId="12" fillId="0" borderId="3" xfId="0" applyNumberFormat="1" applyFont="1" applyBorder="1" applyAlignment="1" applyProtection="1">
      <alignment horizontal="center" vertical="center" wrapText="1"/>
    </xf>
    <xf numFmtId="1" fontId="12" fillId="0" borderId="23" xfId="0" applyNumberFormat="1" applyFont="1" applyBorder="1" applyAlignment="1" applyProtection="1">
      <alignment horizontal="center" vertical="top" shrinkToFit="1"/>
    </xf>
    <xf numFmtId="0" fontId="12" fillId="0" borderId="23" xfId="0" applyFont="1" applyBorder="1" applyAlignment="1" applyProtection="1">
      <alignment horizontal="center" vertical="center"/>
    </xf>
    <xf numFmtId="0" fontId="14" fillId="3" borderId="3" xfId="0" applyFont="1" applyFill="1" applyBorder="1" applyAlignment="1" applyProtection="1">
      <alignment vertical="center" wrapText="1"/>
    </xf>
    <xf numFmtId="0" fontId="14" fillId="3" borderId="24" xfId="0" applyFont="1" applyFill="1" applyBorder="1" applyAlignment="1" applyProtection="1">
      <alignment vertical="center" wrapText="1"/>
    </xf>
    <xf numFmtId="0" fontId="14" fillId="3" borderId="24" xfId="0" applyFont="1" applyFill="1" applyBorder="1" applyAlignment="1" applyProtection="1">
      <alignment vertical="center" wrapText="1"/>
    </xf>
    <xf numFmtId="0" fontId="14" fillId="3" borderId="24" xfId="0" applyFont="1" applyFill="1" applyBorder="1" applyProtection="1">
      <alignment vertical="center"/>
    </xf>
    <xf numFmtId="2" fontId="14" fillId="3" borderId="24" xfId="0" applyNumberFormat="1" applyFont="1" applyFill="1" applyBorder="1" applyProtection="1">
      <alignment vertical="center"/>
    </xf>
    <xf numFmtId="0" fontId="14" fillId="3" borderId="15" xfId="0" applyFont="1" applyFill="1" applyBorder="1" applyProtection="1">
      <alignment vertical="center"/>
    </xf>
    <xf numFmtId="0" fontId="14" fillId="3" borderId="3" xfId="0" applyFont="1" applyFill="1" applyBorder="1" applyProtection="1">
      <alignment vertical="center"/>
    </xf>
    <xf numFmtId="0" fontId="4" fillId="5" borderId="3" xfId="0" applyFont="1" applyFill="1" applyBorder="1" applyProtection="1">
      <alignment vertical="center"/>
    </xf>
    <xf numFmtId="0" fontId="4" fillId="5" borderId="3" xfId="0" applyFont="1" applyFill="1" applyBorder="1" applyProtection="1">
      <alignment vertical="center"/>
    </xf>
    <xf numFmtId="0" fontId="12" fillId="0" borderId="3" xfId="0" applyFont="1" applyBorder="1" applyAlignment="1" applyProtection="1">
      <alignment horizontal="left" vertical="center" wrapText="1"/>
    </xf>
    <xf numFmtId="0" fontId="12" fillId="0" borderId="3" xfId="0" applyFont="1" applyBorder="1" applyAlignment="1" applyProtection="1">
      <alignment horizontal="center" vertical="center" wrapText="1"/>
    </xf>
    <xf numFmtId="0" fontId="38" fillId="2" borderId="24" xfId="0" applyFont="1" applyFill="1" applyBorder="1" applyAlignment="1" applyProtection="1">
      <alignment horizontal="center" vertical="center" wrapText="1"/>
    </xf>
    <xf numFmtId="49" fontId="12" fillId="0" borderId="3" xfId="0" applyNumberFormat="1" applyFont="1" applyBorder="1" applyAlignment="1" applyProtection="1">
      <alignment horizontal="center" vertical="center" wrapText="1"/>
    </xf>
    <xf numFmtId="0" fontId="12" fillId="0" borderId="23" xfId="0" applyFont="1" applyBorder="1" applyAlignment="1" applyProtection="1">
      <alignment horizontal="center" vertical="center" wrapText="1"/>
    </xf>
    <xf numFmtId="0" fontId="12" fillId="0" borderId="23" xfId="0" applyFont="1" applyBorder="1" applyAlignment="1" applyProtection="1">
      <alignment horizontal="left" vertical="center" wrapText="1"/>
    </xf>
    <xf numFmtId="0" fontId="14" fillId="2" borderId="3" xfId="0" applyFont="1" applyFill="1" applyBorder="1" applyAlignment="1" applyProtection="1">
      <alignment horizontal="left" vertical="center" wrapText="1"/>
    </xf>
    <xf numFmtId="0" fontId="12" fillId="0" borderId="3" xfId="0" applyFont="1" applyBorder="1" applyAlignment="1" applyProtection="1">
      <alignment horizontal="left" vertical="top" wrapText="1"/>
    </xf>
    <xf numFmtId="0" fontId="12" fillId="0" borderId="3" xfId="0" applyFont="1" applyBorder="1" applyAlignment="1" applyProtection="1">
      <alignment horizontal="left" vertical="top" wrapText="1"/>
    </xf>
    <xf numFmtId="0" fontId="12" fillId="0" borderId="23" xfId="0" applyFont="1" applyBorder="1" applyAlignment="1" applyProtection="1">
      <alignment horizontal="left" vertical="top"/>
    </xf>
    <xf numFmtId="49" fontId="12" fillId="0" borderId="3" xfId="0" applyNumberFormat="1" applyFont="1" applyBorder="1" applyAlignment="1" applyProtection="1">
      <alignment horizontal="left" vertical="top" wrapText="1"/>
    </xf>
    <xf numFmtId="0" fontId="12" fillId="0" borderId="23" xfId="0" applyFont="1" applyBorder="1" applyAlignment="1" applyProtection="1">
      <alignment horizontal="left" vertical="top"/>
    </xf>
    <xf numFmtId="0" fontId="12" fillId="0" borderId="3" xfId="0" applyFont="1" applyBorder="1" applyAlignment="1" applyProtection="1">
      <alignment horizontal="left" vertical="top"/>
    </xf>
    <xf numFmtId="0" fontId="14" fillId="3" borderId="3" xfId="0" applyFont="1" applyFill="1" applyBorder="1" applyAlignment="1" applyProtection="1">
      <alignment vertical="center" wrapText="1"/>
    </xf>
    <xf numFmtId="0" fontId="12" fillId="0" borderId="3" xfId="0" applyFont="1" applyBorder="1" applyAlignment="1" applyProtection="1">
      <alignment horizontal="left" vertical="center" wrapText="1"/>
    </xf>
    <xf numFmtId="2" fontId="12" fillId="0" borderId="3" xfId="0" applyNumberFormat="1" applyFont="1" applyBorder="1" applyAlignment="1" applyProtection="1">
      <alignment horizontal="center" vertical="center" shrinkToFit="1"/>
    </xf>
    <xf numFmtId="0" fontId="12" fillId="0" borderId="23" xfId="0" applyFont="1" applyBorder="1" applyAlignment="1" applyProtection="1">
      <alignment horizontal="center" vertical="center"/>
    </xf>
    <xf numFmtId="0" fontId="12" fillId="0" borderId="3" xfId="0" applyFont="1" applyBorder="1" applyAlignment="1" applyProtection="1">
      <alignment horizontal="center" vertical="center"/>
    </xf>
    <xf numFmtId="0" fontId="14" fillId="3" borderId="3" xfId="0" applyFont="1" applyFill="1" applyBorder="1" applyAlignment="1" applyProtection="1">
      <alignment horizontal="left" vertical="center" wrapText="1"/>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left" vertical="center" wrapText="1"/>
    </xf>
    <xf numFmtId="0" fontId="12" fillId="0" borderId="3" xfId="0" applyFont="1" applyBorder="1" applyAlignment="1" applyProtection="1">
      <alignment horizontal="center" vertical="center" wrapText="1"/>
    </xf>
    <xf numFmtId="0" fontId="12" fillId="0" borderId="3" xfId="0" applyFont="1" applyBorder="1" applyAlignment="1" applyProtection="1">
      <alignment vertical="center" wrapText="1"/>
    </xf>
    <xf numFmtId="2" fontId="12" fillId="0" borderId="3" xfId="0" applyNumberFormat="1" applyFont="1" applyBorder="1" applyAlignment="1" applyProtection="1">
      <alignment horizontal="center" vertical="center" wrapText="1"/>
    </xf>
    <xf numFmtId="49" fontId="12" fillId="0" borderId="3" xfId="0" applyNumberFormat="1" applyFont="1" applyBorder="1" applyAlignment="1" applyProtection="1">
      <alignment horizontal="center" vertical="center" wrapText="1"/>
    </xf>
    <xf numFmtId="0" fontId="12" fillId="0" borderId="23" xfId="0" applyFont="1" applyBorder="1" applyAlignment="1" applyProtection="1">
      <alignment horizontal="center" vertical="center" wrapText="1"/>
    </xf>
    <xf numFmtId="0" fontId="12" fillId="0" borderId="23" xfId="0" applyFont="1" applyBorder="1" applyAlignment="1" applyProtection="1">
      <alignment horizontal="left" vertical="center" wrapText="1"/>
    </xf>
    <xf numFmtId="0" fontId="18" fillId="3" borderId="3" xfId="0" applyFont="1" applyFill="1" applyBorder="1" applyAlignment="1" applyProtection="1">
      <alignment horizontal="center" vertical="center" wrapText="1"/>
    </xf>
    <xf numFmtId="0" fontId="18" fillId="3" borderId="3" xfId="0" applyFont="1" applyFill="1" applyBorder="1" applyAlignment="1" applyProtection="1">
      <alignment horizontal="left" vertical="center" wrapText="1"/>
    </xf>
    <xf numFmtId="0" fontId="18" fillId="3" borderId="3" xfId="0" applyFont="1" applyFill="1" applyBorder="1" applyAlignment="1" applyProtection="1">
      <alignment horizontal="center" vertical="center"/>
    </xf>
    <xf numFmtId="49" fontId="18" fillId="3" borderId="3" xfId="0" applyNumberFormat="1" applyFont="1" applyFill="1" applyBorder="1" applyAlignment="1" applyProtection="1">
      <alignment horizontal="center" vertical="center" wrapText="1"/>
    </xf>
    <xf numFmtId="0" fontId="18" fillId="3" borderId="3" xfId="0" applyFont="1" applyFill="1" applyBorder="1" applyProtection="1">
      <alignment vertical="center"/>
    </xf>
    <xf numFmtId="2" fontId="18" fillId="3" borderId="3" xfId="0" applyNumberFormat="1" applyFont="1" applyFill="1" applyBorder="1" applyAlignment="1" applyProtection="1">
      <alignment horizontal="center" vertical="center"/>
    </xf>
    <xf numFmtId="0" fontId="18" fillId="3" borderId="23" xfId="0" applyFont="1" applyFill="1" applyBorder="1" applyProtection="1">
      <alignment vertical="center"/>
    </xf>
    <xf numFmtId="49" fontId="7" fillId="0" borderId="3" xfId="0" applyNumberFormat="1" applyFont="1" applyBorder="1" applyProtection="1">
      <alignment vertical="center"/>
    </xf>
    <xf numFmtId="0" fontId="7" fillId="0" borderId="3" xfId="0" applyFont="1" applyBorder="1" applyAlignment="1" applyProtection="1">
      <alignment horizontal="center" vertical="center"/>
    </xf>
    <xf numFmtId="0" fontId="15" fillId="0" borderId="3" xfId="0" applyFont="1" applyBorder="1" applyAlignment="1" applyProtection="1">
      <alignment horizontal="center" vertical="center" wrapText="1"/>
    </xf>
    <xf numFmtId="0" fontId="15" fillId="0" borderId="3" xfId="0" applyFont="1" applyBorder="1" applyAlignment="1" applyProtection="1">
      <alignment horizontal="left" vertical="center" wrapText="1"/>
    </xf>
    <xf numFmtId="0" fontId="15" fillId="0" borderId="3" xfId="0" applyFont="1" applyBorder="1" applyAlignment="1" applyProtection="1">
      <alignment vertical="center" wrapText="1"/>
    </xf>
    <xf numFmtId="2" fontId="15" fillId="0" borderId="3" xfId="0" applyNumberFormat="1" applyFont="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23" xfId="0" applyFont="1" applyBorder="1" applyAlignment="1" applyProtection="1">
      <alignment horizontal="center" vertical="center" wrapText="1"/>
    </xf>
    <xf numFmtId="0" fontId="15" fillId="0" borderId="3" xfId="0" quotePrefix="1" applyFont="1" applyBorder="1" applyAlignment="1" applyProtection="1">
      <alignment vertical="center" wrapText="1"/>
    </xf>
    <xf numFmtId="0" fontId="12" fillId="0" borderId="3" xfId="0" quotePrefix="1" applyFont="1" applyBorder="1" applyAlignment="1" applyProtection="1">
      <alignment vertical="center" wrapText="1"/>
    </xf>
    <xf numFmtId="0" fontId="39" fillId="0" borderId="3" xfId="0" applyFont="1" applyBorder="1" applyAlignment="1" applyProtection="1">
      <alignment horizontal="left" vertical="center"/>
    </xf>
    <xf numFmtId="0" fontId="39" fillId="0" borderId="3" xfId="0" applyFont="1" applyBorder="1" applyAlignment="1" applyProtection="1">
      <alignment horizontal="left" vertical="center"/>
    </xf>
    <xf numFmtId="0" fontId="12" fillId="0" borderId="3" xfId="0" applyFont="1" applyBorder="1" applyAlignment="1" applyProtection="1">
      <alignment horizontal="left" vertical="center" wrapText="1"/>
    </xf>
    <xf numFmtId="0" fontId="24" fillId="0" borderId="3" xfId="0" applyFont="1" applyBorder="1" applyAlignment="1" applyProtection="1">
      <alignment horizontal="left" vertical="center" wrapText="1"/>
    </xf>
    <xf numFmtId="0" fontId="14" fillId="6" borderId="3" xfId="0" applyFont="1" applyFill="1" applyBorder="1" applyAlignment="1" applyProtection="1">
      <alignment horizontal="center" vertical="center"/>
    </xf>
    <xf numFmtId="0" fontId="14" fillId="6" borderId="3" xfId="0" applyFont="1" applyFill="1" applyBorder="1" applyAlignment="1" applyProtection="1">
      <alignment horizontal="left" vertical="center"/>
    </xf>
    <xf numFmtId="0" fontId="14" fillId="6" borderId="3" xfId="0" applyFont="1" applyFill="1" applyBorder="1" applyAlignment="1" applyProtection="1">
      <alignment horizontal="center" vertical="center"/>
    </xf>
    <xf numFmtId="0" fontId="14" fillId="6" borderId="3" xfId="0" applyFont="1" applyFill="1" applyBorder="1" applyAlignment="1" applyProtection="1">
      <alignment horizontal="left" vertical="center" wrapText="1"/>
    </xf>
    <xf numFmtId="49" fontId="14" fillId="6" borderId="3" xfId="0" applyNumberFormat="1" applyFont="1" applyFill="1" applyBorder="1" applyAlignment="1" applyProtection="1">
      <alignment horizontal="center" vertical="center" wrapText="1"/>
    </xf>
    <xf numFmtId="2" fontId="14" fillId="6" borderId="3" xfId="0" applyNumberFormat="1" applyFont="1" applyFill="1" applyBorder="1" applyAlignment="1" applyProtection="1">
      <alignment horizontal="center" vertical="center"/>
    </xf>
    <xf numFmtId="0" fontId="14" fillId="6" borderId="23" xfId="0" applyFont="1" applyFill="1" applyBorder="1" applyAlignment="1" applyProtection="1">
      <alignment horizontal="center" vertical="center"/>
    </xf>
    <xf numFmtId="0" fontId="14" fillId="3" borderId="3" xfId="0" applyFont="1" applyFill="1" applyBorder="1" applyAlignment="1" applyProtection="1">
      <alignment horizontal="left" vertical="center"/>
    </xf>
    <xf numFmtId="49" fontId="14" fillId="3" borderId="3" xfId="0" applyNumberFormat="1" applyFont="1" applyFill="1" applyBorder="1" applyAlignment="1" applyProtection="1">
      <alignment horizontal="center" vertical="center" wrapText="1"/>
    </xf>
    <xf numFmtId="2" fontId="14" fillId="3" borderId="3" xfId="0" applyNumberFormat="1" applyFont="1" applyFill="1" applyBorder="1" applyAlignment="1" applyProtection="1">
      <alignment horizontal="center" vertical="center"/>
    </xf>
    <xf numFmtId="0" fontId="14" fillId="3" borderId="23" xfId="0" applyFont="1" applyFill="1" applyBorder="1" applyAlignment="1" applyProtection="1">
      <alignment horizontal="center" vertical="center"/>
    </xf>
    <xf numFmtId="0" fontId="12" fillId="2" borderId="3" xfId="0" applyFont="1" applyFill="1" applyBorder="1" applyAlignment="1" applyProtection="1">
      <alignment horizontal="center" vertical="center" wrapText="1"/>
    </xf>
    <xf numFmtId="0" fontId="12" fillId="2" borderId="3" xfId="0" applyFont="1" applyFill="1" applyBorder="1" applyAlignment="1" applyProtection="1">
      <alignment horizontal="left" vertical="center" wrapText="1"/>
    </xf>
    <xf numFmtId="2" fontId="12" fillId="2" borderId="3" xfId="0" applyNumberFormat="1" applyFont="1" applyFill="1" applyBorder="1" applyAlignment="1" applyProtection="1">
      <alignment horizontal="center" vertical="center" wrapText="1"/>
    </xf>
    <xf numFmtId="0" fontId="12" fillId="2" borderId="23" xfId="0" applyFont="1" applyFill="1" applyBorder="1" applyAlignment="1" applyProtection="1">
      <alignment horizontal="center" vertical="center" wrapText="1"/>
    </xf>
    <xf numFmtId="0" fontId="12" fillId="0" borderId="3" xfId="0" applyFont="1" applyBorder="1" applyAlignment="1" applyProtection="1">
      <alignment horizontal="left" vertical="center" wrapText="1"/>
    </xf>
    <xf numFmtId="0" fontId="12" fillId="4" borderId="3" xfId="0" applyFont="1" applyFill="1" applyBorder="1" applyAlignment="1" applyProtection="1">
      <alignment horizontal="center" vertical="center" wrapText="1"/>
    </xf>
    <xf numFmtId="0" fontId="12" fillId="0" borderId="3" xfId="0" applyFont="1" applyBorder="1" applyAlignment="1" applyProtection="1">
      <alignment horizontal="center" vertical="center" wrapText="1"/>
    </xf>
    <xf numFmtId="2" fontId="12" fillId="0" borderId="3" xfId="0" applyNumberFormat="1" applyFont="1" applyBorder="1" applyAlignment="1" applyProtection="1">
      <alignment horizontal="center" vertical="center" wrapText="1"/>
    </xf>
    <xf numFmtId="49" fontId="12" fillId="4" borderId="3" xfId="0" applyNumberFormat="1" applyFont="1" applyFill="1" applyBorder="1" applyAlignment="1" applyProtection="1">
      <alignment horizontal="center" vertical="center" wrapText="1"/>
    </xf>
    <xf numFmtId="0" fontId="12" fillId="4" borderId="23" xfId="0" applyFont="1" applyFill="1" applyBorder="1" applyAlignment="1" applyProtection="1">
      <alignment horizontal="center" vertical="center" wrapText="1"/>
    </xf>
    <xf numFmtId="0" fontId="40" fillId="0" borderId="3" xfId="0" applyFont="1" applyBorder="1" applyAlignment="1" applyProtection="1">
      <alignment horizontal="center" vertical="center" wrapText="1"/>
    </xf>
    <xf numFmtId="49" fontId="12" fillId="0" borderId="3" xfId="0" applyNumberFormat="1" applyFont="1" applyBorder="1" applyAlignment="1" applyProtection="1">
      <alignment horizontal="center" vertical="center" wrapText="1"/>
    </xf>
    <xf numFmtId="0" fontId="12" fillId="0" borderId="23" xfId="0" applyFont="1" applyBorder="1" applyAlignment="1" applyProtection="1">
      <alignment horizontal="center" vertical="center" wrapText="1"/>
    </xf>
    <xf numFmtId="0" fontId="14" fillId="0" borderId="34" xfId="0" applyFont="1" applyBorder="1" applyAlignment="1" applyProtection="1">
      <alignment horizontal="center" vertical="center" wrapText="1"/>
    </xf>
    <xf numFmtId="49" fontId="4" fillId="2" borderId="3" xfId="0" applyNumberFormat="1" applyFont="1" applyFill="1" applyBorder="1" applyProtection="1">
      <alignment vertical="center"/>
    </xf>
    <xf numFmtId="0" fontId="12" fillId="2" borderId="3" xfId="0" applyFont="1" applyFill="1" applyBorder="1" applyAlignment="1" applyProtection="1">
      <alignment horizontal="center" vertical="center" wrapText="1"/>
    </xf>
    <xf numFmtId="2" fontId="12" fillId="2" borderId="3" xfId="0" applyNumberFormat="1" applyFont="1" applyFill="1" applyBorder="1" applyAlignment="1" applyProtection="1">
      <alignment horizontal="center" vertical="center" wrapText="1"/>
    </xf>
    <xf numFmtId="49" fontId="12" fillId="2" borderId="3" xfId="0" applyNumberFormat="1" applyFont="1" applyFill="1" applyBorder="1" applyAlignment="1" applyProtection="1">
      <alignment horizontal="center" vertical="center" wrapText="1"/>
    </xf>
    <xf numFmtId="0" fontId="12" fillId="2" borderId="23" xfId="0" applyFont="1" applyFill="1" applyBorder="1" applyAlignment="1" applyProtection="1">
      <alignment horizontal="center" vertical="center" wrapText="1"/>
    </xf>
    <xf numFmtId="0" fontId="12" fillId="2" borderId="24" xfId="0" applyFont="1" applyFill="1" applyBorder="1" applyProtection="1">
      <alignment vertical="center"/>
    </xf>
    <xf numFmtId="0" fontId="14" fillId="11" borderId="3" xfId="0" applyFont="1" applyFill="1" applyBorder="1" applyAlignment="1" applyProtection="1">
      <alignment horizontal="left" vertical="center"/>
    </xf>
    <xf numFmtId="0" fontId="17" fillId="3" borderId="3" xfId="0" applyFont="1" applyFill="1" applyBorder="1" applyAlignment="1" applyProtection="1">
      <alignment vertical="center" wrapText="1"/>
    </xf>
    <xf numFmtId="49" fontId="4" fillId="0" borderId="3" xfId="0" applyNumberFormat="1" applyFont="1" applyBorder="1" applyAlignment="1" applyProtection="1">
      <alignment vertical="center" wrapText="1"/>
    </xf>
    <xf numFmtId="0" fontId="12" fillId="0" borderId="3" xfId="0" applyFont="1" applyBorder="1" applyAlignment="1" applyProtection="1">
      <alignment vertical="center" wrapText="1"/>
    </xf>
    <xf numFmtId="49" fontId="4" fillId="4" borderId="3" xfId="0" applyNumberFormat="1" applyFont="1" applyFill="1" applyBorder="1" applyAlignment="1" applyProtection="1">
      <alignment vertical="center" wrapText="1"/>
    </xf>
    <xf numFmtId="0" fontId="12" fillId="4" borderId="3" xfId="0" applyFont="1" applyFill="1" applyBorder="1" applyProtection="1">
      <alignment vertical="center"/>
    </xf>
    <xf numFmtId="0" fontId="4" fillId="4" borderId="3" xfId="0" applyFont="1" applyFill="1" applyBorder="1" applyProtection="1">
      <alignment vertical="center"/>
    </xf>
    <xf numFmtId="0" fontId="12" fillId="4" borderId="3" xfId="0" applyFont="1" applyFill="1" applyBorder="1" applyAlignment="1" applyProtection="1">
      <alignment vertical="center" wrapText="1"/>
    </xf>
    <xf numFmtId="2" fontId="12" fillId="4" borderId="3" xfId="0" applyNumberFormat="1" applyFont="1" applyFill="1" applyBorder="1" applyAlignment="1" applyProtection="1">
      <alignment horizontal="center" vertical="center" wrapText="1"/>
    </xf>
    <xf numFmtId="49" fontId="4" fillId="2" borderId="3" xfId="0" applyNumberFormat="1" applyFont="1" applyFill="1" applyBorder="1" applyAlignment="1" applyProtection="1">
      <alignment vertical="center" wrapText="1"/>
    </xf>
    <xf numFmtId="0" fontId="12" fillId="2" borderId="3" xfId="0" applyFont="1" applyFill="1" applyBorder="1" applyProtection="1">
      <alignment vertical="center"/>
    </xf>
    <xf numFmtId="0" fontId="4" fillId="2" borderId="3" xfId="0" applyFont="1" applyFill="1" applyBorder="1" applyProtection="1">
      <alignment vertical="center"/>
    </xf>
    <xf numFmtId="0" fontId="12" fillId="2" borderId="3" xfId="0" applyFont="1" applyFill="1" applyBorder="1" applyAlignment="1" applyProtection="1">
      <alignment vertical="center" wrapText="1"/>
    </xf>
    <xf numFmtId="0" fontId="4" fillId="2" borderId="3" xfId="0" applyFont="1" applyFill="1" applyBorder="1" applyAlignment="1" applyProtection="1">
      <alignment vertical="center" wrapText="1"/>
    </xf>
    <xf numFmtId="0" fontId="12" fillId="0" borderId="34" xfId="0" applyFont="1" applyBorder="1" applyAlignment="1" applyProtection="1">
      <alignment horizontal="left" vertical="center" wrapText="1"/>
    </xf>
    <xf numFmtId="1" fontId="41" fillId="0" borderId="24" xfId="0" applyNumberFormat="1" applyFont="1" applyBorder="1" applyAlignment="1" applyProtection="1">
      <alignment horizontal="left" vertical="center"/>
    </xf>
    <xf numFmtId="9" fontId="14" fillId="3" borderId="3" xfId="0" applyNumberFormat="1" applyFont="1" applyFill="1" applyBorder="1" applyAlignment="1" applyProtection="1">
      <alignment horizontal="left" vertical="center"/>
    </xf>
    <xf numFmtId="49" fontId="12" fillId="0" borderId="3" xfId="0" applyNumberFormat="1" applyFont="1" applyBorder="1" applyAlignment="1" applyProtection="1">
      <alignment horizontal="left" vertical="center" wrapText="1"/>
    </xf>
    <xf numFmtId="0" fontId="14" fillId="2" borderId="3" xfId="0" applyFont="1" applyFill="1" applyBorder="1" applyAlignment="1" applyProtection="1">
      <alignment horizontal="center" vertical="center"/>
    </xf>
    <xf numFmtId="0" fontId="14" fillId="2" borderId="3" xfId="0" applyFont="1" applyFill="1" applyBorder="1" applyAlignment="1" applyProtection="1">
      <alignment horizontal="left" vertical="center"/>
    </xf>
    <xf numFmtId="0" fontId="14" fillId="2" borderId="3" xfId="0" applyFont="1" applyFill="1" applyBorder="1" applyAlignment="1" applyProtection="1">
      <alignment horizontal="left" vertical="center"/>
    </xf>
    <xf numFmtId="0" fontId="14" fillId="2" borderId="3" xfId="0" applyFont="1" applyFill="1" applyBorder="1" applyAlignment="1" applyProtection="1">
      <alignment horizontal="center" vertical="center"/>
    </xf>
    <xf numFmtId="0" fontId="14" fillId="2" borderId="3" xfId="0" applyFont="1" applyFill="1" applyBorder="1" applyAlignment="1" applyProtection="1">
      <alignment horizontal="left" vertical="center" wrapText="1"/>
    </xf>
    <xf numFmtId="49" fontId="14" fillId="2" borderId="3" xfId="0" applyNumberFormat="1" applyFont="1" applyFill="1" applyBorder="1" applyAlignment="1" applyProtection="1">
      <alignment horizontal="center" vertical="center" wrapText="1"/>
    </xf>
    <xf numFmtId="2" fontId="14" fillId="2" borderId="3" xfId="0" applyNumberFormat="1" applyFont="1" applyFill="1" applyBorder="1" applyAlignment="1" applyProtection="1">
      <alignment horizontal="center" vertical="center"/>
    </xf>
    <xf numFmtId="0" fontId="14" fillId="2" borderId="23" xfId="0" applyFont="1" applyFill="1" applyBorder="1" applyAlignment="1" applyProtection="1">
      <alignment horizontal="center" vertical="center"/>
    </xf>
    <xf numFmtId="0" fontId="13" fillId="0" borderId="3" xfId="0" applyFont="1" applyBorder="1" applyAlignment="1" applyProtection="1">
      <alignment horizontal="left" vertical="center" wrapText="1"/>
    </xf>
    <xf numFmtId="0" fontId="13" fillId="0" borderId="3" xfId="0" applyFont="1" applyBorder="1" applyAlignment="1" applyProtection="1">
      <alignment horizontal="center" vertical="center" wrapText="1"/>
    </xf>
    <xf numFmtId="0" fontId="13" fillId="0" borderId="3" xfId="0" applyFont="1" applyBorder="1" applyAlignment="1" applyProtection="1">
      <alignment horizontal="left" vertical="center" wrapText="1"/>
    </xf>
    <xf numFmtId="2" fontId="13" fillId="0" borderId="3" xfId="0" applyNumberFormat="1" applyFont="1" applyBorder="1" applyAlignment="1" applyProtection="1">
      <alignment horizontal="center" vertical="center" wrapText="1"/>
    </xf>
    <xf numFmtId="0" fontId="13" fillId="0" borderId="23" xfId="0" applyFont="1" applyBorder="1" applyAlignment="1" applyProtection="1">
      <alignment horizontal="center" vertical="center" wrapText="1"/>
    </xf>
    <xf numFmtId="49" fontId="13" fillId="0" borderId="3" xfId="0" applyNumberFormat="1" applyFont="1" applyBorder="1" applyAlignment="1" applyProtection="1">
      <alignment horizontal="left" vertical="center" wrapText="1"/>
    </xf>
    <xf numFmtId="49" fontId="14" fillId="2" borderId="3" xfId="0" applyNumberFormat="1" applyFont="1" applyFill="1" applyBorder="1" applyAlignment="1" applyProtection="1">
      <alignment horizontal="left" vertical="center" wrapText="1"/>
    </xf>
    <xf numFmtId="0" fontId="14" fillId="4" borderId="3" xfId="0" applyFont="1" applyFill="1" applyBorder="1" applyAlignment="1" applyProtection="1">
      <alignment horizontal="center" vertical="center"/>
    </xf>
    <xf numFmtId="178" fontId="21" fillId="4" borderId="23" xfId="0" applyNumberFormat="1" applyFont="1" applyFill="1" applyBorder="1" applyAlignment="1" applyProtection="1">
      <alignment horizontal="center" vertical="center" wrapText="1"/>
    </xf>
    <xf numFmtId="178" fontId="21" fillId="4" borderId="15" xfId="0" applyNumberFormat="1" applyFont="1" applyFill="1" applyBorder="1" applyAlignment="1" applyProtection="1">
      <alignment horizontal="center" vertical="center" wrapText="1"/>
    </xf>
    <xf numFmtId="178" fontId="21" fillId="4" borderId="3" xfId="0" applyNumberFormat="1" applyFont="1" applyFill="1" applyBorder="1" applyAlignment="1" applyProtection="1">
      <alignment horizontal="center" vertical="center" wrapText="1"/>
    </xf>
    <xf numFmtId="178" fontId="21" fillId="4" borderId="15" xfId="0" applyNumberFormat="1" applyFont="1" applyFill="1" applyBorder="1" applyAlignment="1" applyProtection="1">
      <alignment horizontal="right" vertical="center" wrapText="1"/>
    </xf>
    <xf numFmtId="178" fontId="21" fillId="4" borderId="3" xfId="0" applyNumberFormat="1" applyFont="1" applyFill="1" applyBorder="1" applyAlignment="1" applyProtection="1">
      <alignment vertical="center" wrapText="1"/>
    </xf>
    <xf numFmtId="178" fontId="21" fillId="4" borderId="3" xfId="0" applyNumberFormat="1" applyFont="1" applyFill="1" applyBorder="1" applyAlignment="1" applyProtection="1">
      <alignment horizontal="left" vertical="center" wrapText="1"/>
    </xf>
    <xf numFmtId="178" fontId="21" fillId="4" borderId="3" xfId="0" applyNumberFormat="1" applyFont="1" applyFill="1" applyBorder="1" applyAlignment="1" applyProtection="1">
      <alignment vertical="center" shrinkToFit="1"/>
    </xf>
    <xf numFmtId="178" fontId="21" fillId="0" borderId="3" xfId="0" applyNumberFormat="1" applyFont="1" applyBorder="1" applyAlignment="1" applyProtection="1">
      <alignment horizontal="center" vertical="center" wrapText="1"/>
    </xf>
    <xf numFmtId="178" fontId="21" fillId="4" borderId="3" xfId="0" applyNumberFormat="1" applyFont="1" applyFill="1" applyBorder="1" applyAlignment="1" applyProtection="1">
      <alignment horizontal="center" vertical="center" wrapText="1"/>
    </xf>
    <xf numFmtId="0" fontId="4" fillId="0" borderId="3" xfId="0" applyFont="1" applyBorder="1" applyAlignment="1" applyProtection="1">
      <alignment horizontal="left" vertical="center"/>
    </xf>
    <xf numFmtId="178" fontId="27" fillId="4" borderId="3" xfId="0" applyNumberFormat="1" applyFont="1" applyFill="1" applyBorder="1" applyAlignment="1" applyProtection="1">
      <alignment horizontal="left" vertical="center" wrapText="1"/>
    </xf>
    <xf numFmtId="0" fontId="4" fillId="4" borderId="3" xfId="0" applyFont="1" applyFill="1" applyBorder="1" applyAlignment="1" applyProtection="1">
      <alignment horizontal="left" vertical="center" wrapText="1"/>
    </xf>
    <xf numFmtId="0" fontId="4" fillId="4" borderId="3" xfId="0" applyFont="1" applyFill="1" applyBorder="1" applyAlignment="1" applyProtection="1">
      <alignment horizontal="center" vertical="center" wrapText="1"/>
    </xf>
    <xf numFmtId="9" fontId="4" fillId="4" borderId="3" xfId="0" applyNumberFormat="1" applyFont="1" applyFill="1" applyBorder="1" applyAlignment="1" applyProtection="1">
      <alignment vertical="center" wrapText="1"/>
    </xf>
    <xf numFmtId="0" fontId="4" fillId="4" borderId="3" xfId="0" applyFont="1" applyFill="1" applyBorder="1" applyAlignment="1" applyProtection="1">
      <alignment horizontal="right" vertical="center"/>
    </xf>
    <xf numFmtId="178" fontId="27" fillId="4" borderId="3" xfId="0" applyNumberFormat="1" applyFont="1" applyFill="1" applyBorder="1" applyAlignment="1" applyProtection="1">
      <alignment horizontal="center" vertical="center" wrapText="1"/>
    </xf>
    <xf numFmtId="9" fontId="4" fillId="4" borderId="3" xfId="0" applyNumberFormat="1" applyFont="1" applyFill="1" applyBorder="1" applyProtection="1">
      <alignment vertical="center"/>
    </xf>
    <xf numFmtId="0" fontId="4" fillId="2" borderId="3" xfId="0" applyFont="1" applyFill="1" applyBorder="1" applyAlignment="1" applyProtection="1">
      <alignment horizontal="left" vertical="center"/>
    </xf>
    <xf numFmtId="178" fontId="27" fillId="2" borderId="3" xfId="0" applyNumberFormat="1" applyFont="1" applyFill="1" applyBorder="1" applyAlignment="1" applyProtection="1">
      <alignment horizontal="left" vertical="center" wrapText="1"/>
    </xf>
    <xf numFmtId="0" fontId="4" fillId="2" borderId="3" xfId="0" applyFont="1" applyFill="1" applyBorder="1" applyAlignment="1" applyProtection="1">
      <alignment horizontal="left" vertical="center" wrapText="1"/>
    </xf>
    <xf numFmtId="178" fontId="27" fillId="2" borderId="3" xfId="0" applyNumberFormat="1" applyFont="1" applyFill="1" applyBorder="1" applyAlignment="1" applyProtection="1">
      <alignment horizontal="center" vertical="center" wrapText="1"/>
    </xf>
    <xf numFmtId="0" fontId="4" fillId="0" borderId="3" xfId="0" applyFont="1" applyBorder="1" applyAlignment="1" applyProtection="1">
      <alignment horizontal="left" vertical="center" wrapText="1"/>
    </xf>
    <xf numFmtId="0" fontId="4" fillId="0" borderId="3" xfId="0" applyFont="1" applyBorder="1" applyAlignment="1" applyProtection="1">
      <alignment horizontal="center" vertical="center" wrapText="1"/>
    </xf>
    <xf numFmtId="178" fontId="27" fillId="0" borderId="3" xfId="0" applyNumberFormat="1" applyFont="1" applyBorder="1" applyAlignment="1" applyProtection="1">
      <alignment horizontal="left" vertical="center" wrapText="1"/>
    </xf>
    <xf numFmtId="9" fontId="4" fillId="0" borderId="3" xfId="0" applyNumberFormat="1" applyFont="1" applyBorder="1" applyProtection="1">
      <alignment vertical="center"/>
    </xf>
    <xf numFmtId="0" fontId="4" fillId="0" borderId="3" xfId="0" applyFont="1" applyBorder="1" applyAlignment="1" applyProtection="1">
      <alignment horizontal="right" vertical="center"/>
    </xf>
    <xf numFmtId="178" fontId="27" fillId="4" borderId="3" xfId="0" applyNumberFormat="1" applyFont="1" applyFill="1" applyBorder="1" applyAlignment="1" applyProtection="1">
      <alignment horizontal="left" vertical="center"/>
    </xf>
    <xf numFmtId="0" fontId="4" fillId="2" borderId="3" xfId="0" applyFont="1" applyFill="1" applyBorder="1" applyAlignment="1" applyProtection="1">
      <alignment horizontal="center" vertical="center" wrapText="1"/>
    </xf>
    <xf numFmtId="178" fontId="27" fillId="4" borderId="3" xfId="0" applyNumberFormat="1" applyFont="1" applyFill="1" applyBorder="1" applyAlignment="1" applyProtection="1">
      <alignment horizontal="right" vertical="center" wrapText="1"/>
    </xf>
    <xf numFmtId="9" fontId="4" fillId="2" borderId="3" xfId="0" applyNumberFormat="1" applyFont="1" applyFill="1" applyBorder="1" applyProtection="1">
      <alignment vertical="center"/>
    </xf>
    <xf numFmtId="49" fontId="4" fillId="4" borderId="3" xfId="0" applyNumberFormat="1" applyFont="1" applyFill="1" applyBorder="1" applyProtection="1">
      <alignment vertical="center"/>
    </xf>
    <xf numFmtId="0" fontId="4" fillId="4" borderId="3" xfId="0" applyFont="1" applyFill="1" applyBorder="1" applyAlignment="1" applyProtection="1">
      <alignment horizontal="left" vertical="center"/>
    </xf>
    <xf numFmtId="0" fontId="4" fillId="4" borderId="3" xfId="0" applyFont="1" applyFill="1" applyBorder="1" applyAlignment="1" applyProtection="1">
      <alignment vertical="center" wrapText="1"/>
    </xf>
    <xf numFmtId="49" fontId="4" fillId="4" borderId="3" xfId="0" applyNumberFormat="1" applyFont="1" applyFill="1" applyBorder="1" applyAlignment="1" applyProtection="1">
      <alignment horizontal="right" vertical="center"/>
    </xf>
    <xf numFmtId="0" fontId="7" fillId="4" borderId="3" xfId="0" applyFont="1" applyFill="1" applyBorder="1" applyProtection="1">
      <alignment vertical="center"/>
    </xf>
    <xf numFmtId="0" fontId="7" fillId="4" borderId="3" xfId="0" applyFont="1" applyFill="1" applyBorder="1" applyAlignment="1" applyProtection="1">
      <alignment horizontal="left" vertical="center"/>
    </xf>
    <xf numFmtId="49" fontId="7" fillId="4" borderId="3" xfId="0" applyNumberFormat="1" applyFont="1" applyFill="1" applyBorder="1" applyProtection="1">
      <alignment vertical="center"/>
    </xf>
    <xf numFmtId="0" fontId="7" fillId="4" borderId="3" xfId="0" applyFont="1" applyFill="1" applyBorder="1" applyAlignment="1" applyProtection="1">
      <alignment vertical="center" wrapText="1"/>
    </xf>
    <xf numFmtId="0" fontId="7" fillId="4" borderId="3" xfId="0" applyFont="1" applyFill="1" applyBorder="1" applyAlignment="1" applyProtection="1">
      <alignment horizontal="left" vertical="center" wrapText="1"/>
    </xf>
    <xf numFmtId="0" fontId="7" fillId="4" borderId="3" xfId="0" applyFont="1" applyFill="1" applyBorder="1" applyAlignment="1" applyProtection="1">
      <alignment horizontal="center" vertical="center" wrapText="1"/>
    </xf>
    <xf numFmtId="178" fontId="22" fillId="4" borderId="3" xfId="0" applyNumberFormat="1" applyFont="1" applyFill="1" applyBorder="1" applyAlignment="1" applyProtection="1">
      <alignment horizontal="left" vertical="center" wrapText="1"/>
    </xf>
    <xf numFmtId="9" fontId="7" fillId="4" borderId="3" xfId="0" applyNumberFormat="1" applyFont="1" applyFill="1" applyBorder="1" applyProtection="1">
      <alignment vertical="center"/>
    </xf>
    <xf numFmtId="0" fontId="7" fillId="4" borderId="3" xfId="0" applyFont="1" applyFill="1" applyBorder="1" applyAlignment="1" applyProtection="1">
      <alignment horizontal="right" vertical="center"/>
    </xf>
    <xf numFmtId="0" fontId="8" fillId="5" borderId="3" xfId="0" applyFont="1" applyFill="1" applyBorder="1" applyProtection="1">
      <alignment vertical="center"/>
    </xf>
    <xf numFmtId="0" fontId="8" fillId="0" borderId="3" xfId="0" applyFont="1" applyBorder="1" applyProtection="1">
      <alignment vertical="center"/>
    </xf>
    <xf numFmtId="0" fontId="8" fillId="0" borderId="3" xfId="0" applyFont="1" applyBorder="1" applyAlignment="1" applyProtection="1">
      <alignment vertical="center" wrapText="1"/>
    </xf>
    <xf numFmtId="0" fontId="8" fillId="0" borderId="3" xfId="0" applyFont="1" applyBorder="1" applyAlignment="1" applyProtection="1">
      <alignment horizontal="left" vertical="center"/>
    </xf>
    <xf numFmtId="0" fontId="8" fillId="0" borderId="3" xfId="0" applyFont="1" applyBorder="1" applyAlignment="1" applyProtection="1">
      <alignment horizontal="center" vertical="center" wrapText="1"/>
    </xf>
    <xf numFmtId="9" fontId="4" fillId="0" borderId="3" xfId="0" applyNumberFormat="1" applyFont="1" applyBorder="1" applyAlignment="1" applyProtection="1">
      <alignment horizontal="right" vertical="center"/>
    </xf>
    <xf numFmtId="0" fontId="8" fillId="0" borderId="3" xfId="0" applyFont="1" applyBorder="1" applyAlignment="1" applyProtection="1">
      <alignment horizontal="right" vertical="center"/>
    </xf>
    <xf numFmtId="0" fontId="9" fillId="0" borderId="3" xfId="0" applyFont="1" applyBorder="1" applyAlignment="1" applyProtection="1">
      <alignment horizontal="left" vertical="center"/>
    </xf>
    <xf numFmtId="0" fontId="9" fillId="0" borderId="3" xfId="0" applyFont="1" applyBorder="1" applyProtection="1">
      <alignment vertical="center"/>
    </xf>
    <xf numFmtId="0" fontId="9" fillId="0" borderId="3" xfId="0" applyFont="1" applyBorder="1" applyAlignment="1" applyProtection="1">
      <alignment vertical="center" wrapText="1"/>
    </xf>
    <xf numFmtId="0" fontId="9" fillId="0" borderId="3" xfId="0" applyFont="1" applyBorder="1" applyAlignment="1" applyProtection="1">
      <alignment horizontal="center" vertical="center" wrapText="1"/>
    </xf>
    <xf numFmtId="178" fontId="22" fillId="0" borderId="3" xfId="0" applyNumberFormat="1" applyFont="1" applyBorder="1" applyAlignment="1" applyProtection="1">
      <alignment horizontal="left" vertical="center" wrapText="1"/>
    </xf>
    <xf numFmtId="0" fontId="9" fillId="0" borderId="3" xfId="0" applyFont="1" applyBorder="1" applyAlignment="1" applyProtection="1">
      <alignment horizontal="right" vertical="center"/>
    </xf>
    <xf numFmtId="0" fontId="8" fillId="0" borderId="3" xfId="0" applyFont="1" applyBorder="1" applyAlignment="1" applyProtection="1">
      <alignment horizontal="center" vertical="center"/>
    </xf>
    <xf numFmtId="178" fontId="27" fillId="0" borderId="3" xfId="0" applyNumberFormat="1" applyFont="1" applyBorder="1" applyAlignment="1" applyProtection="1">
      <alignment horizontal="center" vertical="center" wrapText="1"/>
    </xf>
    <xf numFmtId="0" fontId="8" fillId="4" borderId="3" xfId="0" applyFont="1" applyFill="1" applyBorder="1" applyAlignment="1" applyProtection="1">
      <alignment horizontal="right" vertical="center"/>
    </xf>
    <xf numFmtId="0" fontId="8" fillId="0" borderId="23" xfId="0" applyFont="1" applyBorder="1" applyProtection="1">
      <alignment vertical="center"/>
    </xf>
    <xf numFmtId="0" fontId="8" fillId="4" borderId="3" xfId="0" applyFont="1" applyFill="1" applyBorder="1" applyProtection="1">
      <alignment vertical="center"/>
    </xf>
    <xf numFmtId="0" fontId="4" fillId="0" borderId="24" xfId="0" applyFont="1" applyBorder="1" applyAlignment="1" applyProtection="1">
      <alignment horizontal="right" vertical="center"/>
    </xf>
    <xf numFmtId="178" fontId="27" fillId="0" borderId="3" xfId="0" applyNumberFormat="1" applyFont="1" applyBorder="1" applyAlignment="1" applyProtection="1">
      <alignment horizontal="left" vertical="center" wrapText="1"/>
    </xf>
    <xf numFmtId="0" fontId="4" fillId="4" borderId="23" xfId="0" applyFont="1" applyFill="1" applyBorder="1" applyProtection="1">
      <alignment vertical="center"/>
    </xf>
    <xf numFmtId="0" fontId="4" fillId="4" borderId="3" xfId="0" applyFont="1" applyFill="1" applyBorder="1" applyAlignment="1" applyProtection="1">
      <alignment horizontal="left" vertical="center" wrapText="1"/>
    </xf>
    <xf numFmtId="0" fontId="7" fillId="4" borderId="23" xfId="0" applyFont="1" applyFill="1" applyBorder="1" applyProtection="1">
      <alignment vertical="center"/>
    </xf>
    <xf numFmtId="0" fontId="7" fillId="4" borderId="3" xfId="0" applyFont="1" applyFill="1" applyBorder="1" applyAlignment="1" applyProtection="1">
      <alignment horizontal="left" vertical="center" wrapText="1"/>
    </xf>
    <xf numFmtId="0" fontId="7" fillId="4" borderId="3" xfId="0" applyFont="1" applyFill="1" applyBorder="1" applyAlignment="1" applyProtection="1">
      <alignment horizontal="left" vertical="center"/>
    </xf>
    <xf numFmtId="0" fontId="7" fillId="0" borderId="3" xfId="0" applyFont="1" applyBorder="1" applyAlignment="1" applyProtection="1">
      <alignment horizontal="left" vertical="center"/>
    </xf>
    <xf numFmtId="178" fontId="22" fillId="4" borderId="3" xfId="0" applyNumberFormat="1" applyFont="1" applyFill="1" applyBorder="1" applyAlignment="1" applyProtection="1">
      <alignment horizontal="left" vertical="center"/>
    </xf>
    <xf numFmtId="0" fontId="7" fillId="4" borderId="3" xfId="0" applyFont="1" applyFill="1" applyBorder="1" applyAlignment="1" applyProtection="1">
      <alignment horizontal="left" vertical="center" wrapText="1"/>
    </xf>
    <xf numFmtId="0" fontId="7" fillId="2" borderId="3" xfId="0" applyFont="1" applyFill="1" applyBorder="1" applyAlignment="1" applyProtection="1">
      <alignment horizontal="left" vertical="center"/>
    </xf>
    <xf numFmtId="0" fontId="7" fillId="2" borderId="3" xfId="0" applyFont="1" applyFill="1" applyBorder="1" applyAlignment="1" applyProtection="1">
      <alignment horizontal="left" vertical="center" wrapText="1"/>
    </xf>
    <xf numFmtId="0" fontId="7" fillId="0" borderId="3" xfId="0" applyFont="1" applyBorder="1" applyAlignment="1" applyProtection="1">
      <alignment horizontal="left" vertical="center" wrapText="1"/>
    </xf>
    <xf numFmtId="0" fontId="4" fillId="4" borderId="3" xfId="0" applyFont="1" applyFill="1" applyBorder="1" applyAlignment="1" applyProtection="1">
      <alignment horizontal="left" vertical="center"/>
    </xf>
    <xf numFmtId="0" fontId="4" fillId="4" borderId="3" xfId="0" applyFont="1" applyFill="1" applyBorder="1" applyAlignment="1" applyProtection="1">
      <alignment horizontal="left" vertical="center" wrapText="1"/>
    </xf>
    <xf numFmtId="0" fontId="4" fillId="2" borderId="3" xfId="0" applyFont="1" applyFill="1" applyBorder="1" applyAlignment="1" applyProtection="1">
      <alignment horizontal="left" vertical="center"/>
    </xf>
    <xf numFmtId="0" fontId="4" fillId="0" borderId="3" xfId="0" applyFont="1" applyBorder="1" applyAlignment="1" applyProtection="1">
      <alignment horizontal="left" vertical="center" wrapText="1"/>
    </xf>
    <xf numFmtId="178" fontId="27" fillId="0" borderId="3" xfId="0" applyNumberFormat="1" applyFont="1" applyBorder="1" applyAlignment="1" applyProtection="1">
      <alignment horizontal="right" vertical="center" wrapText="1"/>
    </xf>
    <xf numFmtId="178" fontId="22" fillId="2" borderId="3" xfId="0" applyNumberFormat="1" applyFont="1" applyFill="1" applyBorder="1" applyAlignment="1" applyProtection="1">
      <alignment horizontal="left" vertical="center" wrapText="1"/>
    </xf>
    <xf numFmtId="178" fontId="22" fillId="4" borderId="3" xfId="0" applyNumberFormat="1" applyFont="1" applyFill="1" applyBorder="1" applyAlignment="1" applyProtection="1">
      <alignment horizontal="right" vertical="center" wrapText="1"/>
    </xf>
    <xf numFmtId="178" fontId="27" fillId="2" borderId="3" xfId="0" applyNumberFormat="1" applyFont="1" applyFill="1" applyBorder="1" applyAlignment="1" applyProtection="1">
      <alignment horizontal="left" vertical="center"/>
    </xf>
    <xf numFmtId="0" fontId="8" fillId="2" borderId="3" xfId="0" applyFont="1" applyFill="1" applyBorder="1" applyProtection="1">
      <alignment vertical="center"/>
    </xf>
    <xf numFmtId="0" fontId="4" fillId="2" borderId="3" xfId="0" applyFont="1" applyFill="1" applyBorder="1" applyAlignment="1" applyProtection="1">
      <alignment horizontal="right" vertical="center"/>
    </xf>
    <xf numFmtId="0" fontId="8" fillId="2" borderId="23" xfId="0" applyFont="1" applyFill="1" applyBorder="1" applyProtection="1">
      <alignment vertical="center"/>
    </xf>
    <xf numFmtId="0" fontId="34" fillId="2" borderId="3" xfId="0" applyFont="1" applyFill="1" applyBorder="1" applyAlignment="1" applyProtection="1">
      <alignment horizontal="left" vertical="center" wrapText="1"/>
    </xf>
    <xf numFmtId="0" fontId="4" fillId="2" borderId="3" xfId="0" applyFont="1" applyFill="1" applyBorder="1" applyAlignment="1" applyProtection="1">
      <alignment horizontal="center" vertical="center"/>
    </xf>
    <xf numFmtId="178" fontId="27" fillId="2" borderId="3" xfId="0" applyNumberFormat="1" applyFont="1" applyFill="1" applyBorder="1" applyAlignment="1" applyProtection="1">
      <alignment horizontal="center" vertical="center" wrapText="1"/>
    </xf>
    <xf numFmtId="0" fontId="34" fillId="4" borderId="3" xfId="0" applyFont="1" applyFill="1" applyBorder="1" applyAlignment="1" applyProtection="1">
      <alignment horizontal="left" vertical="center" wrapText="1"/>
    </xf>
    <xf numFmtId="178" fontId="27" fillId="0" borderId="3" xfId="0" applyNumberFormat="1" applyFont="1" applyBorder="1" applyAlignment="1" applyProtection="1">
      <alignment horizontal="center" vertical="center" wrapText="1"/>
    </xf>
    <xf numFmtId="178" fontId="27" fillId="4" borderId="3" xfId="0" applyNumberFormat="1" applyFont="1" applyFill="1" applyBorder="1" applyAlignment="1" applyProtection="1">
      <alignment horizontal="center" vertical="center" wrapText="1"/>
    </xf>
    <xf numFmtId="0" fontId="4" fillId="0" borderId="42" xfId="0" applyFont="1" applyBorder="1" applyAlignment="1" applyProtection="1">
      <alignment vertical="center" wrapText="1"/>
    </xf>
    <xf numFmtId="0" fontId="4" fillId="0" borderId="42" xfId="0" applyFont="1" applyBorder="1" applyAlignment="1" applyProtection="1">
      <alignment horizontal="center" vertical="center" wrapText="1"/>
    </xf>
    <xf numFmtId="0" fontId="8" fillId="2" borderId="3" xfId="0" applyFont="1" applyFill="1" applyBorder="1" applyAlignment="1" applyProtection="1">
      <alignment horizontal="center" vertical="center"/>
    </xf>
    <xf numFmtId="176" fontId="3" fillId="0" borderId="3" xfId="0" applyNumberFormat="1" applyFont="1" applyBorder="1" applyAlignment="1" applyProtection="1">
      <alignment horizontal="left" vertical="center"/>
      <protection locked="0"/>
    </xf>
    <xf numFmtId="0" fontId="8" fillId="0" borderId="3" xfId="0" applyFont="1" applyBorder="1" applyAlignment="1" applyProtection="1">
      <alignment horizontal="center" vertical="center"/>
    </xf>
    <xf numFmtId="0" fontId="8" fillId="0" borderId="3" xfId="0" applyFont="1" applyBorder="1" applyAlignment="1" applyProtection="1">
      <alignment horizontal="left" vertical="center" wrapText="1"/>
    </xf>
    <xf numFmtId="0" fontId="8" fillId="0" borderId="3" xfId="0" applyFont="1" applyBorder="1" applyAlignment="1" applyProtection="1">
      <alignment horizontal="center" vertical="center" wrapText="1"/>
    </xf>
    <xf numFmtId="0" fontId="4" fillId="5" borderId="3" xfId="0" applyFont="1" applyFill="1" applyBorder="1" applyAlignment="1" applyProtection="1">
      <alignment horizontal="right" vertical="center"/>
    </xf>
    <xf numFmtId="178" fontId="27" fillId="0" borderId="23" xfId="0" applyNumberFormat="1" applyFont="1" applyBorder="1" applyAlignment="1" applyProtection="1">
      <alignment horizontal="left" vertical="center" wrapText="1"/>
    </xf>
    <xf numFmtId="0" fontId="8" fillId="0" borderId="3" xfId="0" applyFont="1" applyBorder="1" applyAlignment="1" applyProtection="1">
      <alignment horizontal="center" vertical="center" wrapText="1"/>
    </xf>
    <xf numFmtId="0" fontId="4" fillId="0" borderId="3" xfId="0" applyFont="1" applyBorder="1" applyAlignment="1" applyProtection="1">
      <alignment horizontal="center" vertical="center"/>
    </xf>
    <xf numFmtId="0" fontId="14" fillId="2" borderId="4" xfId="0" applyFont="1" applyFill="1" applyBorder="1" applyAlignment="1" applyProtection="1">
      <alignment horizontal="center" vertical="center" wrapText="1"/>
    </xf>
    <xf numFmtId="0" fontId="7" fillId="0" borderId="24" xfId="0" applyFont="1" applyBorder="1" applyProtection="1">
      <alignment vertical="center"/>
    </xf>
    <xf numFmtId="9" fontId="7" fillId="0" borderId="3" xfId="0" applyNumberFormat="1" applyFont="1" applyBorder="1" applyProtection="1">
      <alignment vertical="center"/>
    </xf>
    <xf numFmtId="0" fontId="7" fillId="0" borderId="3" xfId="0" applyFont="1" applyBorder="1" applyAlignment="1" applyProtection="1">
      <alignment horizontal="right" vertical="center"/>
    </xf>
    <xf numFmtId="178" fontId="22" fillId="0" borderId="23" xfId="0" applyNumberFormat="1" applyFont="1" applyBorder="1" applyAlignment="1" applyProtection="1">
      <alignment horizontal="left" vertical="center" wrapText="1"/>
    </xf>
    <xf numFmtId="0" fontId="7" fillId="0" borderId="3" xfId="0" applyFont="1" applyBorder="1" applyProtection="1">
      <alignment vertical="center"/>
    </xf>
    <xf numFmtId="0" fontId="7" fillId="0" borderId="3" xfId="0" applyFont="1" applyBorder="1" applyAlignment="1" applyProtection="1">
      <alignment vertical="center" wrapText="1"/>
    </xf>
    <xf numFmtId="0" fontId="4" fillId="0" borderId="24" xfId="0" applyFont="1" applyBorder="1" applyProtection="1">
      <alignment vertical="center"/>
    </xf>
    <xf numFmtId="0" fontId="3" fillId="13" borderId="0" xfId="0" applyFont="1" applyFill="1">
      <alignment vertical="center"/>
    </xf>
    <xf numFmtId="0" fontId="4" fillId="4" borderId="3" xfId="0" applyFont="1" applyFill="1" applyBorder="1" applyProtection="1">
      <alignment vertical="center"/>
    </xf>
    <xf numFmtId="0" fontId="4" fillId="4" borderId="3" xfId="0" applyFont="1" applyFill="1" applyBorder="1" applyAlignment="1" applyProtection="1">
      <alignment horizontal="center" wrapText="1"/>
    </xf>
    <xf numFmtId="178" fontId="27" fillId="4" borderId="23" xfId="0" applyNumberFormat="1" applyFont="1" applyFill="1" applyBorder="1" applyAlignment="1" applyProtection="1">
      <alignment horizontal="left" vertical="center" wrapText="1"/>
    </xf>
    <xf numFmtId="0" fontId="4" fillId="0" borderId="3" xfId="0" applyFont="1" applyBorder="1" applyAlignment="1" applyProtection="1">
      <alignment horizontal="center" wrapText="1"/>
    </xf>
    <xf numFmtId="10" fontId="27" fillId="4" borderId="3" xfId="0" applyNumberFormat="1" applyFont="1" applyFill="1" applyBorder="1" applyAlignment="1" applyProtection="1">
      <alignment horizontal="left" vertical="center" wrapText="1"/>
    </xf>
    <xf numFmtId="0" fontId="4" fillId="0" borderId="23" xfId="0" applyFont="1" applyBorder="1" applyProtection="1">
      <alignment vertical="center"/>
    </xf>
    <xf numFmtId="178" fontId="27" fillId="5" borderId="23" xfId="0" applyNumberFormat="1" applyFont="1" applyFill="1" applyBorder="1" applyAlignment="1" applyProtection="1">
      <alignment horizontal="left" vertical="center" wrapText="1"/>
    </xf>
    <xf numFmtId="0" fontId="4" fillId="5" borderId="23" xfId="0" applyFont="1" applyFill="1" applyBorder="1" applyProtection="1">
      <alignment vertical="center"/>
    </xf>
    <xf numFmtId="0" fontId="4" fillId="0" borderId="3" xfId="0" applyFont="1" applyBorder="1" applyAlignment="1" applyProtection="1">
      <alignment horizontal="center" wrapText="1"/>
    </xf>
    <xf numFmtId="0" fontId="4" fillId="0" borderId="3" xfId="0" applyFont="1" applyBorder="1" applyAlignment="1" applyProtection="1">
      <alignment horizontal="center" vertical="center" wrapText="1"/>
    </xf>
    <xf numFmtId="0" fontId="12" fillId="4" borderId="3" xfId="0" applyFont="1" applyFill="1" applyBorder="1" applyAlignment="1" applyProtection="1">
      <alignment horizontal="center" vertical="center"/>
    </xf>
    <xf numFmtId="9" fontId="4" fillId="5" borderId="3" xfId="0" applyNumberFormat="1" applyFont="1" applyFill="1" applyBorder="1" applyProtection="1">
      <alignment vertical="center"/>
    </xf>
    <xf numFmtId="0" fontId="4" fillId="5" borderId="3" xfId="0" applyFont="1" applyFill="1" applyBorder="1" applyProtection="1">
      <alignment vertical="center"/>
    </xf>
    <xf numFmtId="178" fontId="27" fillId="5" borderId="3" xfId="0" applyNumberFormat="1" applyFont="1" applyFill="1" applyBorder="1" applyAlignment="1" applyProtection="1">
      <alignment horizontal="left" vertical="center" wrapText="1"/>
    </xf>
    <xf numFmtId="0" fontId="7" fillId="2" borderId="3" xfId="0" applyFont="1" applyFill="1" applyBorder="1" applyProtection="1">
      <alignment vertical="center"/>
    </xf>
    <xf numFmtId="0" fontId="7" fillId="5" borderId="3" xfId="0" applyFont="1" applyFill="1" applyBorder="1" applyProtection="1">
      <alignment vertical="center"/>
    </xf>
    <xf numFmtId="0" fontId="4" fillId="4" borderId="3" xfId="0" applyFont="1" applyFill="1" applyBorder="1" applyAlignment="1" applyProtection="1">
      <alignment horizontal="center"/>
    </xf>
    <xf numFmtId="0" fontId="4" fillId="0" borderId="3" xfId="0" applyFont="1" applyBorder="1" applyAlignment="1" applyProtection="1">
      <alignment horizontal="center"/>
    </xf>
    <xf numFmtId="0" fontId="7" fillId="5" borderId="3" xfId="0" applyFont="1" applyFill="1" applyBorder="1" applyAlignment="1" applyProtection="1">
      <alignment vertical="center" wrapText="1"/>
    </xf>
    <xf numFmtId="0" fontId="7" fillId="5" borderId="3" xfId="0" applyFont="1" applyFill="1" applyBorder="1" applyAlignment="1" applyProtection="1">
      <alignment horizontal="center" vertical="center" wrapText="1"/>
    </xf>
    <xf numFmtId="0" fontId="7" fillId="5" borderId="3" xfId="0" applyFont="1" applyFill="1" applyBorder="1" applyAlignment="1" applyProtection="1">
      <alignment horizontal="right" vertical="center"/>
    </xf>
    <xf numFmtId="0" fontId="7" fillId="5" borderId="23" xfId="0" applyFont="1" applyFill="1" applyBorder="1" applyProtection="1">
      <alignment vertical="center"/>
    </xf>
    <xf numFmtId="0" fontId="4" fillId="4" borderId="3" xfId="0" applyFont="1" applyFill="1" applyBorder="1" applyAlignment="1" applyProtection="1">
      <alignment horizontal="center" vertical="center"/>
    </xf>
    <xf numFmtId="0" fontId="7" fillId="4" borderId="3" xfId="0" applyFont="1" applyFill="1" applyBorder="1" applyAlignment="1" applyProtection="1">
      <alignment horizontal="center" vertical="center"/>
    </xf>
    <xf numFmtId="0" fontId="7" fillId="4" borderId="3" xfId="0" applyFont="1" applyFill="1" applyBorder="1" applyAlignment="1" applyProtection="1">
      <alignment horizontal="center"/>
    </xf>
    <xf numFmtId="0" fontId="9" fillId="4" borderId="3" xfId="0" applyFont="1" applyFill="1" applyBorder="1" applyProtection="1">
      <alignment vertical="center"/>
    </xf>
    <xf numFmtId="0" fontId="4" fillId="4" borderId="3" xfId="0" applyFont="1" applyFill="1" applyBorder="1" applyAlignment="1" applyProtection="1">
      <alignment horizontal="center"/>
    </xf>
    <xf numFmtId="0" fontId="4" fillId="5" borderId="3" xfId="0" applyFont="1" applyFill="1" applyBorder="1" applyAlignment="1" applyProtection="1">
      <alignment vertical="center" wrapText="1"/>
    </xf>
    <xf numFmtId="0" fontId="4" fillId="5" borderId="3" xfId="0" applyFont="1" applyFill="1" applyBorder="1" applyAlignment="1" applyProtection="1">
      <alignment horizontal="center" vertical="center" wrapText="1"/>
    </xf>
    <xf numFmtId="0" fontId="7" fillId="2" borderId="3" xfId="0" applyFont="1" applyFill="1" applyBorder="1" applyAlignment="1" applyProtection="1">
      <alignment vertical="center" wrapText="1"/>
    </xf>
    <xf numFmtId="0" fontId="7" fillId="2" borderId="3" xfId="0" applyFont="1" applyFill="1" applyBorder="1" applyProtection="1">
      <alignment vertical="center"/>
    </xf>
    <xf numFmtId="0" fontId="7" fillId="0" borderId="3" xfId="0" applyFont="1" applyBorder="1" applyAlignment="1" applyProtection="1">
      <alignment horizontal="center" vertical="center" wrapText="1"/>
    </xf>
    <xf numFmtId="0" fontId="7" fillId="0" borderId="23" xfId="0" applyFont="1" applyBorder="1" applyProtection="1">
      <alignment vertical="center"/>
    </xf>
    <xf numFmtId="0" fontId="7" fillId="0" borderId="3" xfId="0" applyFont="1" applyBorder="1" applyProtection="1">
      <alignment vertical="center"/>
    </xf>
    <xf numFmtId="0" fontId="4" fillId="0" borderId="3" xfId="0" applyFont="1" applyBorder="1" applyProtection="1">
      <alignment vertical="center"/>
    </xf>
    <xf numFmtId="0" fontId="3" fillId="0" borderId="3" xfId="0" applyFont="1" applyBorder="1" applyAlignment="1" applyProtection="1">
      <alignment horizontal="center" vertical="center" wrapText="1"/>
    </xf>
    <xf numFmtId="0" fontId="3" fillId="0" borderId="3" xfId="0" applyFont="1" applyBorder="1" applyAlignment="1" applyProtection="1">
      <alignment horizontal="left" vertical="top" wrapText="1"/>
    </xf>
    <xf numFmtId="0" fontId="42" fillId="0" borderId="3" xfId="0" applyFont="1" applyBorder="1" applyAlignment="1" applyProtection="1">
      <alignment vertical="center" wrapText="1"/>
    </xf>
    <xf numFmtId="0" fontId="43" fillId="0" borderId="3" xfId="0" applyFont="1" applyBorder="1" applyAlignment="1" applyProtection="1">
      <alignment horizontal="center" vertical="center" wrapText="1"/>
    </xf>
    <xf numFmtId="0" fontId="43" fillId="0" borderId="3" xfId="0" applyFont="1" applyBorder="1" applyAlignment="1" applyProtection="1">
      <alignment horizontal="left" vertical="center"/>
    </xf>
    <xf numFmtId="0" fontId="43" fillId="0" borderId="3" xfId="0" applyFont="1" applyBorder="1" applyAlignment="1" applyProtection="1">
      <alignment horizontal="left" vertical="center" wrapText="1"/>
    </xf>
    <xf numFmtId="177" fontId="43" fillId="4" borderId="3" xfId="0" applyNumberFormat="1" applyFont="1" applyFill="1" applyBorder="1" applyAlignment="1" applyProtection="1">
      <alignment horizontal="left" vertical="center"/>
    </xf>
    <xf numFmtId="177" fontId="43" fillId="4" borderId="3" xfId="0" applyNumberFormat="1" applyFont="1" applyFill="1" applyBorder="1" applyAlignment="1" applyProtection="1">
      <alignment horizontal="center" vertical="center" wrapText="1"/>
    </xf>
    <xf numFmtId="177" fontId="43" fillId="4" borderId="3" xfId="0" applyNumberFormat="1" applyFont="1" applyFill="1" applyBorder="1" applyAlignment="1" applyProtection="1">
      <alignment horizontal="left" vertical="center" wrapText="1"/>
    </xf>
    <xf numFmtId="177" fontId="11" fillId="0" borderId="3" xfId="0" applyNumberFormat="1" applyFont="1" applyBorder="1" applyAlignment="1" applyProtection="1">
      <alignment horizontal="left" vertical="top" wrapText="1"/>
    </xf>
    <xf numFmtId="0" fontId="3" fillId="14" borderId="0" xfId="0" applyFont="1" applyFill="1">
      <alignment vertical="center"/>
    </xf>
    <xf numFmtId="177" fontId="3" fillId="0" borderId="3" xfId="0" applyNumberFormat="1" applyFont="1" applyBorder="1" applyAlignment="1" applyProtection="1">
      <alignment horizontal="left" vertical="top" wrapText="1"/>
    </xf>
    <xf numFmtId="177" fontId="11" fillId="0" borderId="3" xfId="0" applyNumberFormat="1" applyFont="1" applyBorder="1" applyAlignment="1" applyProtection="1">
      <alignment vertical="center" wrapText="1"/>
    </xf>
    <xf numFmtId="177" fontId="11" fillId="0" borderId="3" xfId="0" applyNumberFormat="1" applyFont="1" applyBorder="1" applyAlignment="1" applyProtection="1">
      <alignment horizontal="center" vertical="center" wrapText="1"/>
    </xf>
    <xf numFmtId="177" fontId="44" fillId="0" borderId="3" xfId="0" applyNumberFormat="1" applyFont="1" applyBorder="1" applyAlignment="1" applyProtection="1">
      <alignment horizontal="left" vertical="center"/>
    </xf>
    <xf numFmtId="177" fontId="44" fillId="0" borderId="3" xfId="0" applyNumberFormat="1" applyFont="1" applyBorder="1" applyAlignment="1" applyProtection="1">
      <alignment horizontal="left" vertical="center" wrapText="1"/>
    </xf>
    <xf numFmtId="177" fontId="44" fillId="0" borderId="3" xfId="0" applyNumberFormat="1" applyFont="1" applyBorder="1" applyAlignment="1" applyProtection="1">
      <alignment horizontal="left" vertical="top" wrapText="1"/>
    </xf>
    <xf numFmtId="177" fontId="44" fillId="0" borderId="3" xfId="0" applyNumberFormat="1" applyFont="1" applyBorder="1" applyAlignment="1" applyProtection="1">
      <alignment vertical="center" wrapText="1"/>
    </xf>
    <xf numFmtId="177" fontId="44" fillId="4" borderId="3" xfId="0" applyNumberFormat="1" applyFont="1" applyFill="1" applyBorder="1" applyAlignment="1" applyProtection="1">
      <alignment horizontal="left" vertical="center"/>
    </xf>
    <xf numFmtId="177" fontId="44" fillId="4" borderId="3" xfId="0" applyNumberFormat="1" applyFont="1" applyFill="1" applyBorder="1" applyAlignment="1" applyProtection="1">
      <alignment horizontal="left" vertical="center" wrapText="1"/>
    </xf>
    <xf numFmtId="177" fontId="43" fillId="4" borderId="3" xfId="0" applyNumberFormat="1" applyFont="1" applyFill="1" applyBorder="1" applyAlignment="1" applyProtection="1">
      <alignment horizontal="left" vertical="top" wrapText="1"/>
    </xf>
    <xf numFmtId="177" fontId="3" fillId="0" borderId="3" xfId="0" applyNumberFormat="1" applyFont="1" applyBorder="1" applyAlignment="1" applyProtection="1">
      <alignment horizontal="center" vertical="center" wrapText="1"/>
    </xf>
    <xf numFmtId="177" fontId="42" fillId="0" borderId="3" xfId="0" applyNumberFormat="1" applyFont="1" applyBorder="1" applyAlignment="1" applyProtection="1">
      <alignment vertical="center" wrapText="1"/>
      <protection locked="0"/>
    </xf>
    <xf numFmtId="176" fontId="3" fillId="2" borderId="3" xfId="0" applyNumberFormat="1" applyFont="1" applyFill="1" applyBorder="1" applyAlignment="1" applyProtection="1">
      <alignment horizontal="left" vertical="center"/>
      <protection locked="0"/>
    </xf>
    <xf numFmtId="0" fontId="12" fillId="0" borderId="3" xfId="0" applyFont="1" applyBorder="1" applyAlignment="1" applyProtection="1">
      <alignment horizontal="left" vertical="center"/>
    </xf>
    <xf numFmtId="0" fontId="34" fillId="0" borderId="3" xfId="0" applyFont="1" applyBorder="1" applyAlignment="1" applyProtection="1">
      <alignment horizontal="center" vertical="center"/>
    </xf>
    <xf numFmtId="0" fontId="12" fillId="0" borderId="3" xfId="0" applyFont="1" applyBorder="1" applyAlignment="1" applyProtection="1">
      <alignment horizontal="center" vertical="center"/>
    </xf>
    <xf numFmtId="0" fontId="45" fillId="0" borderId="3" xfId="0" applyFont="1" applyBorder="1" applyAlignment="1" applyProtection="1">
      <alignment horizontal="center" vertical="top" wrapText="1"/>
    </xf>
    <xf numFmtId="0" fontId="45" fillId="0" borderId="3" xfId="0" applyFont="1" applyBorder="1" applyAlignment="1" applyProtection="1">
      <alignment vertical="top" wrapText="1"/>
    </xf>
    <xf numFmtId="0" fontId="8" fillId="14" borderId="3" xfId="0" applyFont="1" applyFill="1" applyBorder="1" applyProtection="1">
      <alignment vertical="center"/>
    </xf>
    <xf numFmtId="0" fontId="4" fillId="0" borderId="3" xfId="0" applyFont="1" applyBorder="1" applyAlignment="1" applyProtection="1">
      <alignment horizontal="left" vertical="center"/>
    </xf>
    <xf numFmtId="0" fontId="14" fillId="13" borderId="3" xfId="0" applyFont="1" applyFill="1" applyBorder="1" applyAlignment="1" applyProtection="1">
      <alignment horizontal="center" vertical="center" wrapText="1"/>
    </xf>
    <xf numFmtId="0" fontId="14" fillId="13" borderId="3" xfId="0" applyFont="1" applyFill="1" applyBorder="1" applyAlignment="1" applyProtection="1">
      <alignment vertical="center" wrapText="1"/>
    </xf>
    <xf numFmtId="0" fontId="14" fillId="13" borderId="3" xfId="0" applyFont="1" applyFill="1" applyBorder="1" applyAlignment="1" applyProtection="1">
      <alignment horizontal="left" vertical="center" wrapText="1"/>
    </xf>
    <xf numFmtId="0" fontId="14" fillId="13" borderId="0" xfId="0" applyFont="1" applyFill="1" applyAlignment="1">
      <alignment horizontal="center" vertical="center" wrapText="1"/>
    </xf>
    <xf numFmtId="0" fontId="12" fillId="13" borderId="0" xfId="0" applyFont="1" applyFill="1" applyAlignment="1">
      <alignment vertical="center" wrapText="1"/>
    </xf>
    <xf numFmtId="0" fontId="7" fillId="4" borderId="3" xfId="0" applyFont="1" applyFill="1" applyBorder="1" applyAlignment="1" applyProtection="1">
      <alignment horizontal="center" wrapText="1"/>
    </xf>
    <xf numFmtId="0" fontId="4" fillId="4" borderId="3" xfId="0" applyFont="1" applyFill="1" applyBorder="1" applyAlignment="1" applyProtection="1">
      <alignment horizontal="left" vertical="center"/>
    </xf>
    <xf numFmtId="49" fontId="4" fillId="14" borderId="3" xfId="0" applyNumberFormat="1" applyFont="1" applyFill="1" applyBorder="1" applyProtection="1">
      <alignment vertical="center"/>
    </xf>
    <xf numFmtId="0" fontId="4" fillId="2" borderId="0" xfId="0" applyFont="1" applyFill="1" applyAlignment="1">
      <alignment vertical="center" wrapText="1"/>
    </xf>
    <xf numFmtId="0" fontId="12" fillId="15" borderId="0" xfId="0" applyFont="1" applyFill="1" applyAlignment="1">
      <alignment vertical="center" wrapText="1"/>
    </xf>
    <xf numFmtId="0" fontId="4" fillId="0" borderId="0" xfId="0" applyFont="1">
      <alignment vertical="center"/>
    </xf>
    <xf numFmtId="0" fontId="14" fillId="13" borderId="3" xfId="0" applyFont="1" applyFill="1" applyBorder="1" applyAlignment="1" applyProtection="1">
      <alignment horizontal="center" vertical="center"/>
    </xf>
    <xf numFmtId="0" fontId="4" fillId="15" borderId="3" xfId="0" applyFont="1" applyFill="1" applyBorder="1" applyAlignment="1" applyProtection="1">
      <alignment horizontal="left" vertical="center"/>
    </xf>
    <xf numFmtId="0" fontId="4" fillId="15" borderId="3" xfId="0" applyFont="1" applyFill="1" applyBorder="1" applyAlignment="1" applyProtection="1">
      <alignment vertical="center" wrapText="1"/>
    </xf>
    <xf numFmtId="0" fontId="12" fillId="15" borderId="3" xfId="0" applyFont="1" applyFill="1" applyBorder="1" applyAlignment="1" applyProtection="1">
      <alignment vertical="center" wrapText="1"/>
    </xf>
    <xf numFmtId="0" fontId="8" fillId="15" borderId="3" xfId="0" applyFont="1" applyFill="1" applyBorder="1" applyProtection="1">
      <alignment vertical="center"/>
    </xf>
    <xf numFmtId="0" fontId="8" fillId="15" borderId="3" xfId="0" applyFont="1" applyFill="1" applyBorder="1" applyAlignment="1" applyProtection="1">
      <alignment horizontal="center" vertical="center"/>
    </xf>
    <xf numFmtId="0" fontId="8" fillId="15" borderId="0" xfId="0" applyFont="1" applyFill="1" applyAlignment="1">
      <alignment horizontal="center" vertical="center"/>
    </xf>
    <xf numFmtId="0" fontId="12" fillId="15" borderId="25" xfId="0" applyFont="1" applyFill="1" applyBorder="1" applyAlignment="1" applyProtection="1">
      <alignment vertical="center" wrapText="1"/>
    </xf>
    <xf numFmtId="0" fontId="8" fillId="15" borderId="4" xfId="0" applyFont="1" applyFill="1" applyBorder="1" applyAlignment="1" applyProtection="1">
      <alignment horizontal="center" vertical="center"/>
    </xf>
    <xf numFmtId="0" fontId="4" fillId="4" borderId="3" xfId="0" applyFont="1" applyFill="1" applyBorder="1" applyProtection="1">
      <alignment vertical="center"/>
    </xf>
    <xf numFmtId="0" fontId="12" fillId="15" borderId="4" xfId="0" applyFont="1" applyFill="1" applyBorder="1" applyAlignment="1" applyProtection="1">
      <alignment horizontal="left" vertical="center" wrapText="1"/>
    </xf>
    <xf numFmtId="0" fontId="4" fillId="0" borderId="0" xfId="0" applyFont="1" applyAlignment="1">
      <alignment vertical="center" wrapText="1"/>
    </xf>
    <xf numFmtId="49" fontId="4" fillId="0" borderId="3" xfId="0" applyNumberFormat="1" applyFont="1" applyBorder="1" applyProtection="1">
      <alignment vertical="center"/>
    </xf>
    <xf numFmtId="0" fontId="4" fillId="5" borderId="3" xfId="0" applyFont="1" applyFill="1" applyBorder="1" applyProtection="1">
      <alignment vertical="center"/>
    </xf>
    <xf numFmtId="0" fontId="4" fillId="7" borderId="3" xfId="0" applyFont="1" applyFill="1" applyBorder="1" applyAlignment="1" applyProtection="1">
      <alignment vertical="center" wrapText="1"/>
    </xf>
    <xf numFmtId="0" fontId="4" fillId="7" borderId="4" xfId="0" applyFont="1" applyFill="1" applyBorder="1" applyAlignment="1" applyProtection="1">
      <alignment vertical="center" wrapText="1"/>
    </xf>
    <xf numFmtId="0" fontId="28" fillId="0" borderId="0" xfId="0" applyFont="1">
      <alignment vertical="center"/>
    </xf>
    <xf numFmtId="176" fontId="28" fillId="2" borderId="3" xfId="0" applyNumberFormat="1" applyFont="1" applyFill="1" applyBorder="1" applyAlignment="1" applyProtection="1">
      <alignment horizontal="left" vertical="center"/>
      <protection locked="0"/>
    </xf>
    <xf numFmtId="0" fontId="15" fillId="0" borderId="3" xfId="0" applyFont="1" applyBorder="1" applyAlignment="1" applyProtection="1">
      <alignment horizontal="left" vertical="center"/>
    </xf>
    <xf numFmtId="177" fontId="28" fillId="0" borderId="3" xfId="0" applyNumberFormat="1" applyFont="1" applyBorder="1" applyAlignment="1" applyProtection="1">
      <alignment horizontal="center" vertical="center" wrapText="1"/>
    </xf>
    <xf numFmtId="0" fontId="4" fillId="7" borderId="4" xfId="0" applyFont="1" applyFill="1" applyBorder="1" applyAlignment="1" applyProtection="1">
      <alignment horizontal="center" vertical="center" wrapText="1"/>
    </xf>
    <xf numFmtId="0" fontId="4" fillId="7" borderId="3" xfId="0" applyFont="1" applyFill="1" applyBorder="1" applyAlignment="1" applyProtection="1">
      <alignment horizontal="center" vertical="center" wrapText="1"/>
    </xf>
    <xf numFmtId="178" fontId="27" fillId="15" borderId="3" xfId="0" applyNumberFormat="1" applyFont="1" applyFill="1" applyBorder="1" applyAlignment="1" applyProtection="1">
      <alignment horizontal="left" vertical="center" wrapText="1"/>
    </xf>
    <xf numFmtId="178" fontId="27" fillId="0" borderId="3" xfId="0" applyNumberFormat="1" applyFont="1" applyBorder="1" applyAlignment="1" applyProtection="1">
      <alignment horizontal="left" vertical="center"/>
    </xf>
    <xf numFmtId="0" fontId="47" fillId="0" borderId="0" xfId="0" applyFont="1" applyAlignment="1">
      <alignment vertical="center" wrapText="1"/>
    </xf>
    <xf numFmtId="0" fontId="38" fillId="0" borderId="0" xfId="0" applyFont="1" applyAlignment="1">
      <alignment vertical="center" wrapText="1"/>
    </xf>
    <xf numFmtId="0" fontId="38" fillId="0" borderId="0" xfId="0" applyFont="1" applyAlignment="1">
      <alignment horizontal="center" vertical="center" wrapText="1"/>
    </xf>
    <xf numFmtId="0" fontId="47" fillId="0" borderId="0" xfId="0" applyFont="1" applyAlignment="1">
      <alignment horizontal="center" vertical="center" wrapText="1"/>
    </xf>
    <xf numFmtId="0" fontId="47" fillId="0" borderId="0" xfId="0" applyFont="1" applyAlignment="1">
      <alignment horizontal="left" vertical="center" wrapText="1"/>
    </xf>
    <xf numFmtId="0" fontId="38" fillId="0" borderId="4" xfId="0" applyFont="1" applyBorder="1" applyAlignment="1" applyProtection="1">
      <alignment vertical="center" wrapText="1"/>
    </xf>
    <xf numFmtId="0" fontId="38" fillId="0" borderId="10" xfId="0" applyFont="1" applyBorder="1" applyAlignment="1" applyProtection="1">
      <alignment vertical="center" wrapText="1"/>
    </xf>
    <xf numFmtId="0" fontId="38" fillId="0" borderId="3" xfId="0" applyFont="1" applyBorder="1" applyAlignment="1" applyProtection="1">
      <alignment vertical="center" wrapText="1"/>
    </xf>
    <xf numFmtId="0" fontId="38" fillId="4" borderId="0" xfId="0" applyFont="1" applyFill="1" applyAlignment="1">
      <alignment vertical="center" wrapText="1"/>
    </xf>
    <xf numFmtId="0" fontId="38" fillId="0" borderId="24" xfId="0" applyFont="1" applyBorder="1" applyAlignment="1" applyProtection="1">
      <alignment vertical="center" wrapText="1"/>
    </xf>
    <xf numFmtId="0" fontId="12" fillId="3" borderId="25" xfId="0" applyFont="1" applyFill="1" applyBorder="1" applyAlignment="1" applyProtection="1">
      <alignment horizontal="center" vertical="center" wrapText="1"/>
    </xf>
    <xf numFmtId="0" fontId="4" fillId="14" borderId="3" xfId="0" applyFont="1" applyFill="1" applyBorder="1" applyProtection="1">
      <alignment vertical="center"/>
    </xf>
    <xf numFmtId="0" fontId="4" fillId="5" borderId="3" xfId="0" applyFont="1" applyFill="1" applyBorder="1" applyProtection="1">
      <alignment vertical="center"/>
    </xf>
    <xf numFmtId="0" fontId="5" fillId="5" borderId="24" xfId="0" applyFont="1" applyFill="1" applyBorder="1" applyAlignment="1" applyProtection="1">
      <alignment horizontal="left" vertical="center"/>
    </xf>
    <xf numFmtId="0" fontId="47" fillId="4" borderId="0" xfId="0" applyFont="1" applyFill="1" applyAlignment="1">
      <alignment vertical="center" wrapText="1"/>
    </xf>
    <xf numFmtId="0" fontId="38" fillId="0" borderId="0" xfId="0" applyFont="1" applyAlignment="1">
      <alignment horizontal="left" vertical="center" wrapText="1"/>
    </xf>
    <xf numFmtId="0" fontId="8" fillId="0" borderId="0" xfId="0" applyFont="1">
      <alignment vertical="center"/>
    </xf>
    <xf numFmtId="0" fontId="38" fillId="0" borderId="10" xfId="0" applyFont="1" applyBorder="1" applyAlignment="1" applyProtection="1">
      <alignment horizontal="center" vertical="center" wrapText="1"/>
    </xf>
    <xf numFmtId="0" fontId="38" fillId="0" borderId="4" xfId="0" applyFont="1" applyBorder="1" applyAlignment="1" applyProtection="1">
      <alignment horizontal="center" vertical="center" wrapText="1"/>
    </xf>
    <xf numFmtId="0" fontId="38" fillId="0" borderId="4" xfId="0" applyFont="1" applyBorder="1" applyAlignment="1" applyProtection="1">
      <alignment horizontal="left" vertical="center" wrapText="1"/>
    </xf>
    <xf numFmtId="0" fontId="38" fillId="0" borderId="20" xfId="0" applyFont="1" applyBorder="1" applyAlignment="1" applyProtection="1">
      <alignment horizontal="center" vertical="center" wrapText="1"/>
    </xf>
    <xf numFmtId="0" fontId="38" fillId="0" borderId="24" xfId="0" applyFont="1" applyBorder="1" applyAlignment="1" applyProtection="1">
      <alignment horizontal="center" vertical="center" wrapText="1"/>
    </xf>
    <xf numFmtId="0" fontId="38" fillId="0" borderId="3" xfId="0" applyFont="1" applyBorder="1" applyAlignment="1" applyProtection="1">
      <alignment horizontal="center" vertical="center" wrapText="1"/>
    </xf>
    <xf numFmtId="0" fontId="38" fillId="0" borderId="3" xfId="0" applyFont="1" applyBorder="1" applyAlignment="1" applyProtection="1">
      <alignment horizontal="left" vertical="center" wrapText="1"/>
    </xf>
    <xf numFmtId="0" fontId="38" fillId="0" borderId="39" xfId="0" applyFont="1" applyBorder="1" applyAlignment="1" applyProtection="1">
      <alignment horizontal="center" vertical="center" wrapText="1"/>
    </xf>
    <xf numFmtId="0" fontId="4" fillId="0" borderId="0" xfId="0" applyFont="1" applyAlignment="1">
      <alignment vertical="center" wrapText="1"/>
    </xf>
    <xf numFmtId="0" fontId="4" fillId="4" borderId="0" xfId="0" applyFont="1" applyFill="1" applyAlignment="1">
      <alignment vertical="center" wrapText="1"/>
    </xf>
    <xf numFmtId="0" fontId="47" fillId="2" borderId="0" xfId="0" applyFont="1" applyFill="1" applyAlignment="1">
      <alignment vertical="center" wrapText="1"/>
    </xf>
    <xf numFmtId="0" fontId="38" fillId="2" borderId="0" xfId="0" applyFont="1" applyFill="1" applyAlignment="1">
      <alignment horizontal="center" vertical="center" wrapText="1"/>
    </xf>
    <xf numFmtId="0" fontId="47" fillId="2" borderId="0" xfId="0" applyFont="1" applyFill="1" applyAlignment="1">
      <alignment horizontal="left" vertical="center" wrapText="1"/>
    </xf>
    <xf numFmtId="0" fontId="48" fillId="0" borderId="3" xfId="0" applyFont="1" applyBorder="1" applyAlignment="1" applyProtection="1">
      <alignment vertical="center" wrapText="1"/>
    </xf>
    <xf numFmtId="0" fontId="47" fillId="2" borderId="3" xfId="0" applyFont="1" applyFill="1" applyBorder="1" applyAlignment="1" applyProtection="1">
      <alignment horizontal="center" vertical="center" wrapText="1"/>
    </xf>
    <xf numFmtId="0" fontId="47" fillId="2" borderId="3" xfId="0" applyFont="1" applyFill="1" applyBorder="1" applyAlignment="1" applyProtection="1">
      <alignment horizontal="left" vertical="center" wrapText="1"/>
    </xf>
    <xf numFmtId="0" fontId="47" fillId="2" borderId="39" xfId="0" applyFont="1" applyFill="1" applyBorder="1" applyAlignment="1" applyProtection="1">
      <alignment horizontal="center" vertical="center" wrapText="1"/>
    </xf>
    <xf numFmtId="0" fontId="47" fillId="2" borderId="0" xfId="0" applyFont="1" applyFill="1" applyAlignment="1">
      <alignment horizontal="center" vertical="center" wrapText="1"/>
    </xf>
    <xf numFmtId="0" fontId="38" fillId="2" borderId="0" xfId="0" applyFont="1" applyFill="1" applyAlignment="1">
      <alignment horizontal="left" vertical="center" wrapText="1"/>
    </xf>
    <xf numFmtId="0" fontId="8" fillId="15" borderId="3" xfId="0" applyFont="1" applyFill="1" applyBorder="1" applyAlignment="1" applyProtection="1">
      <alignment vertical="center" wrapText="1"/>
    </xf>
    <xf numFmtId="0" fontId="4" fillId="5" borderId="3" xfId="0" applyFont="1" applyFill="1" applyBorder="1" applyAlignment="1" applyProtection="1">
      <alignment horizontal="left" vertical="center"/>
    </xf>
    <xf numFmtId="0" fontId="4" fillId="5" borderId="3" xfId="0" applyFont="1" applyFill="1" applyBorder="1" applyAlignment="1" applyProtection="1">
      <alignment horizontal="center" vertical="center"/>
    </xf>
    <xf numFmtId="49" fontId="4" fillId="5" borderId="3" xfId="0" applyNumberFormat="1" applyFont="1" applyFill="1" applyBorder="1" applyProtection="1">
      <alignment vertical="center"/>
    </xf>
    <xf numFmtId="0" fontId="4" fillId="5" borderId="3" xfId="0" applyFont="1" applyFill="1" applyBorder="1" applyAlignment="1" applyProtection="1">
      <alignment vertical="center" wrapText="1"/>
    </xf>
    <xf numFmtId="0" fontId="3" fillId="4" borderId="3" xfId="0" applyFont="1" applyFill="1" applyBorder="1" applyAlignment="1" applyProtection="1">
      <alignment horizontal="left" vertical="center"/>
    </xf>
    <xf numFmtId="0" fontId="41" fillId="5" borderId="24" xfId="0" applyFont="1" applyFill="1" applyBorder="1" applyAlignment="1" applyProtection="1">
      <alignment vertical="center" wrapText="1"/>
    </xf>
    <xf numFmtId="49" fontId="4" fillId="5" borderId="24" xfId="0" applyNumberFormat="1" applyFont="1" applyFill="1" applyBorder="1" applyProtection="1">
      <alignment vertical="center"/>
    </xf>
    <xf numFmtId="0" fontId="4" fillId="5" borderId="24" xfId="0" quotePrefix="1" applyFont="1" applyFill="1" applyBorder="1" applyAlignment="1" applyProtection="1">
      <alignment horizontal="left" vertical="center"/>
    </xf>
    <xf numFmtId="0" fontId="4" fillId="5" borderId="24" xfId="0" applyFont="1" applyFill="1" applyBorder="1" applyProtection="1">
      <alignment vertical="center"/>
    </xf>
    <xf numFmtId="0" fontId="4" fillId="5" borderId="24" xfId="0" applyFont="1" applyFill="1" applyBorder="1" applyAlignment="1" applyProtection="1">
      <alignment vertical="center" wrapText="1"/>
    </xf>
    <xf numFmtId="0" fontId="7" fillId="2" borderId="0" xfId="0" applyFont="1" applyFill="1">
      <alignment vertical="center"/>
    </xf>
    <xf numFmtId="49" fontId="7" fillId="2" borderId="3" xfId="0" applyNumberFormat="1" applyFont="1" applyFill="1" applyBorder="1" applyProtection="1">
      <alignment vertical="center"/>
    </xf>
    <xf numFmtId="0" fontId="12" fillId="4" borderId="10" xfId="0" applyFont="1" applyFill="1" applyBorder="1" applyAlignment="1" applyProtection="1">
      <alignment horizontal="left" vertical="center" wrapText="1"/>
    </xf>
    <xf numFmtId="0" fontId="4" fillId="0" borderId="3" xfId="0" applyFont="1" applyBorder="1" applyAlignment="1" applyProtection="1">
      <alignment horizontal="center" wrapText="1"/>
    </xf>
    <xf numFmtId="0" fontId="4" fillId="0" borderId="3" xfId="0" applyFont="1" applyBorder="1" applyAlignment="1" applyProtection="1">
      <alignment horizontal="center"/>
    </xf>
    <xf numFmtId="0" fontId="14" fillId="13" borderId="3" xfId="0" applyFont="1" applyFill="1" applyBorder="1" applyAlignment="1" applyProtection="1">
      <alignment horizontal="left" vertical="center"/>
    </xf>
    <xf numFmtId="0" fontId="4" fillId="0" borderId="3" xfId="0" applyFont="1" applyBorder="1" applyProtection="1">
      <alignment vertical="center"/>
    </xf>
    <xf numFmtId="0" fontId="8" fillId="0" borderId="3" xfId="0" applyFont="1" applyBorder="1" applyProtection="1">
      <alignment vertical="center"/>
    </xf>
    <xf numFmtId="0" fontId="7" fillId="2" borderId="3" xfId="0" applyFont="1" applyFill="1" applyBorder="1" applyAlignment="1" applyProtection="1">
      <alignment horizontal="center" vertical="center" wrapText="1"/>
    </xf>
    <xf numFmtId="0" fontId="7" fillId="2" borderId="0" xfId="0" applyFont="1" applyFill="1" applyAlignment="1">
      <alignment horizontal="center" vertical="center"/>
    </xf>
    <xf numFmtId="0" fontId="12" fillId="13" borderId="3" xfId="0" applyFont="1" applyFill="1" applyBorder="1" applyAlignment="1" applyProtection="1">
      <alignment horizontal="center" vertical="center"/>
    </xf>
    <xf numFmtId="0" fontId="4" fillId="15" borderId="3" xfId="0" applyFont="1" applyFill="1" applyBorder="1" applyProtection="1">
      <alignment vertical="center"/>
    </xf>
    <xf numFmtId="0" fontId="4" fillId="5" borderId="24" xfId="0" applyFont="1" applyFill="1" applyBorder="1" applyAlignment="1" applyProtection="1">
      <alignment horizontal="center" vertical="center" wrapText="1"/>
    </xf>
    <xf numFmtId="49" fontId="14" fillId="13" borderId="3" xfId="0" applyNumberFormat="1" applyFont="1" applyFill="1" applyBorder="1" applyAlignment="1" applyProtection="1">
      <alignment horizontal="center" vertical="center" wrapText="1"/>
    </xf>
    <xf numFmtId="2" fontId="14" fillId="13" borderId="3" xfId="0" applyNumberFormat="1" applyFont="1" applyFill="1" applyBorder="1" applyAlignment="1" applyProtection="1">
      <alignment horizontal="center" vertical="center"/>
    </xf>
    <xf numFmtId="0" fontId="12" fillId="4" borderId="3" xfId="0" applyFont="1" applyFill="1" applyBorder="1" applyAlignment="1" applyProtection="1">
      <alignment horizontal="center" vertical="center" wrapText="1"/>
    </xf>
    <xf numFmtId="0" fontId="4" fillId="4" borderId="3" xfId="0" applyFont="1" applyFill="1" applyBorder="1" applyAlignment="1" applyProtection="1">
      <alignment horizontal="center" vertical="center" wrapText="1"/>
    </xf>
    <xf numFmtId="0" fontId="4" fillId="15" borderId="3" xfId="0" applyFont="1" applyFill="1" applyBorder="1" applyAlignment="1" applyProtection="1">
      <alignment horizontal="center" vertical="center"/>
    </xf>
    <xf numFmtId="0" fontId="3" fillId="0" borderId="15" xfId="0" applyFont="1" applyBorder="1" applyProtection="1">
      <alignment vertical="center"/>
    </xf>
    <xf numFmtId="0" fontId="12" fillId="16" borderId="3" xfId="0" applyFont="1" applyFill="1" applyBorder="1" applyAlignment="1" applyProtection="1">
      <alignment horizontal="left" vertical="center" wrapText="1"/>
    </xf>
    <xf numFmtId="49" fontId="4" fillId="15" borderId="3" xfId="0" applyNumberFormat="1" applyFont="1" applyFill="1" applyBorder="1" applyProtection="1">
      <alignment vertical="center"/>
    </xf>
    <xf numFmtId="0" fontId="7" fillId="15" borderId="3" xfId="0" applyFont="1" applyFill="1" applyBorder="1" applyAlignment="1" applyProtection="1">
      <alignment vertical="center" wrapText="1"/>
    </xf>
    <xf numFmtId="0" fontId="4" fillId="15" borderId="4" xfId="0" applyFont="1" applyFill="1" applyBorder="1" applyAlignment="1" applyProtection="1">
      <alignment vertical="center" wrapText="1"/>
    </xf>
    <xf numFmtId="0" fontId="4" fillId="15" borderId="3" xfId="0" applyFont="1" applyFill="1" applyBorder="1" applyAlignment="1" applyProtection="1">
      <alignment horizontal="left" vertical="center"/>
    </xf>
    <xf numFmtId="0" fontId="7" fillId="15" borderId="3" xfId="0" applyFont="1" applyFill="1" applyBorder="1" applyProtection="1">
      <alignment vertical="center"/>
    </xf>
    <xf numFmtId="49" fontId="14" fillId="13" borderId="3" xfId="0" applyNumberFormat="1" applyFont="1" applyFill="1" applyBorder="1" applyAlignment="1" applyProtection="1">
      <alignment horizontal="left" vertical="center" wrapText="1"/>
    </xf>
    <xf numFmtId="0" fontId="4" fillId="0" borderId="24" xfId="0" applyFont="1" applyBorder="1" applyProtection="1">
      <alignment vertical="center"/>
    </xf>
    <xf numFmtId="0" fontId="14" fillId="3" borderId="5" xfId="0" applyFont="1" applyFill="1" applyBorder="1" applyAlignment="1" applyProtection="1">
      <alignment horizontal="left" vertical="center" wrapText="1"/>
    </xf>
    <xf numFmtId="0" fontId="14" fillId="2" borderId="23" xfId="0" applyFont="1" applyFill="1" applyBorder="1" applyAlignment="1" applyProtection="1">
      <alignment horizontal="left" vertical="center" wrapText="1"/>
    </xf>
    <xf numFmtId="0" fontId="14" fillId="2" borderId="4" xfId="0" applyFont="1" applyFill="1" applyBorder="1" applyAlignment="1" applyProtection="1">
      <alignment horizontal="left" vertical="center" wrapText="1"/>
    </xf>
    <xf numFmtId="0" fontId="2" fillId="0" borderId="25" xfId="0" applyFont="1" applyBorder="1" applyProtection="1">
      <alignment vertical="center"/>
    </xf>
    <xf numFmtId="0" fontId="48" fillId="0" borderId="24" xfId="0" applyFont="1" applyBorder="1" applyAlignment="1" applyProtection="1">
      <alignment vertical="center" wrapText="1"/>
    </xf>
    <xf numFmtId="0" fontId="48" fillId="0" borderId="4" xfId="0" applyFont="1" applyBorder="1" applyAlignment="1" applyProtection="1">
      <alignment vertical="center" wrapText="1"/>
    </xf>
    <xf numFmtId="0" fontId="48" fillId="0" borderId="10" xfId="0" applyFont="1" applyBorder="1" applyAlignment="1" applyProtection="1">
      <alignment vertical="center" wrapText="1"/>
    </xf>
    <xf numFmtId="0" fontId="49" fillId="4" borderId="3" xfId="0" applyFont="1" applyFill="1" applyBorder="1" applyAlignment="1" applyProtection="1">
      <alignment vertical="center" wrapText="1"/>
    </xf>
    <xf numFmtId="0" fontId="49" fillId="4" borderId="24" xfId="0" applyFont="1" applyFill="1" applyBorder="1" applyAlignment="1" applyProtection="1">
      <alignment vertical="center" wrapText="1"/>
    </xf>
    <xf numFmtId="0" fontId="49" fillId="4" borderId="4" xfId="0" applyFont="1" applyFill="1" applyBorder="1" applyAlignment="1" applyProtection="1">
      <alignment vertical="center" wrapText="1"/>
    </xf>
    <xf numFmtId="0" fontId="49" fillId="4" borderId="10" xfId="0" applyFont="1" applyFill="1" applyBorder="1" applyAlignment="1" applyProtection="1">
      <alignment vertical="center" wrapText="1"/>
    </xf>
    <xf numFmtId="0" fontId="48" fillId="4" borderId="24" xfId="0" applyFont="1" applyFill="1" applyBorder="1" applyAlignment="1" applyProtection="1">
      <alignment vertical="center" wrapText="1"/>
    </xf>
    <xf numFmtId="0" fontId="48" fillId="4" borderId="10" xfId="0" applyFont="1" applyFill="1" applyBorder="1" applyAlignment="1" applyProtection="1">
      <alignment vertical="center" wrapText="1"/>
    </xf>
    <xf numFmtId="0" fontId="12" fillId="17" borderId="3" xfId="0" applyFont="1" applyFill="1" applyBorder="1" applyAlignment="1" applyProtection="1">
      <alignment horizontal="left" vertical="center" wrapText="1"/>
    </xf>
    <xf numFmtId="0" fontId="14" fillId="3" borderId="25" xfId="0" applyFont="1" applyFill="1" applyBorder="1" applyAlignment="1" applyProtection="1">
      <alignment vertical="center" wrapText="1"/>
    </xf>
    <xf numFmtId="0" fontId="50" fillId="0" borderId="0" xfId="0" applyFont="1" applyAlignment="1">
      <alignment vertical="center" wrapText="1"/>
    </xf>
    <xf numFmtId="0" fontId="50" fillId="4" borderId="0" xfId="0" applyFont="1" applyFill="1" applyAlignment="1">
      <alignment vertical="center" wrapText="1"/>
    </xf>
    <xf numFmtId="0" fontId="51" fillId="0" borderId="0" xfId="0" applyFont="1">
      <alignment vertical="center"/>
    </xf>
    <xf numFmtId="0" fontId="50" fillId="0" borderId="0" xfId="0" applyFont="1" applyAlignment="1">
      <alignment horizontal="center" vertical="center" wrapText="1"/>
    </xf>
    <xf numFmtId="0" fontId="50" fillId="0" borderId="0" xfId="0" applyFont="1" applyAlignment="1">
      <alignment horizontal="left" vertical="center" wrapText="1"/>
    </xf>
    <xf numFmtId="0" fontId="50" fillId="0" borderId="4" xfId="0" applyFont="1" applyBorder="1" applyAlignment="1" applyProtection="1">
      <alignment horizontal="left" vertical="center" wrapText="1"/>
    </xf>
    <xf numFmtId="0" fontId="50" fillId="0" borderId="10" xfId="0" applyFont="1" applyBorder="1" applyAlignment="1" applyProtection="1">
      <alignment horizontal="center" vertical="center" wrapText="1"/>
    </xf>
    <xf numFmtId="0" fontId="50" fillId="0" borderId="10" xfId="0" applyFont="1" applyBorder="1" applyAlignment="1" applyProtection="1">
      <alignment vertical="center" wrapText="1"/>
    </xf>
    <xf numFmtId="0" fontId="50" fillId="0" borderId="10" xfId="0" applyFont="1" applyBorder="1" applyAlignment="1" applyProtection="1">
      <alignment horizontal="left" vertical="center" wrapText="1"/>
    </xf>
    <xf numFmtId="0" fontId="50" fillId="0" borderId="43" xfId="0" applyFont="1" applyBorder="1" applyAlignment="1" applyProtection="1">
      <alignment horizontal="center" vertical="center" wrapText="1"/>
    </xf>
    <xf numFmtId="0" fontId="50" fillId="0" borderId="10" xfId="0" quotePrefix="1" applyFont="1" applyBorder="1" applyAlignment="1" applyProtection="1">
      <alignment horizontal="left" vertical="center" wrapText="1"/>
    </xf>
    <xf numFmtId="0" fontId="49" fillId="0" borderId="4" xfId="0" applyFont="1" applyBorder="1" applyAlignment="1" applyProtection="1">
      <alignment vertical="center" wrapText="1"/>
    </xf>
    <xf numFmtId="0" fontId="49" fillId="0" borderId="10" xfId="0" applyFont="1" applyBorder="1" applyAlignment="1" applyProtection="1">
      <alignment vertical="center" wrapText="1"/>
    </xf>
    <xf numFmtId="0" fontId="50" fillId="0" borderId="4" xfId="0" applyFont="1" applyBorder="1" applyAlignment="1" applyProtection="1">
      <alignment vertical="center" wrapText="1"/>
    </xf>
    <xf numFmtId="0" fontId="41" fillId="0" borderId="5" xfId="0" applyFont="1" applyBorder="1" applyAlignment="1" applyProtection="1">
      <alignment vertical="center" wrapText="1"/>
    </xf>
    <xf numFmtId="0" fontId="2" fillId="13" borderId="0" xfId="0" applyFont="1" applyFill="1">
      <alignment vertical="center"/>
    </xf>
    <xf numFmtId="0" fontId="14" fillId="13" borderId="3" xfId="0" applyFont="1" applyFill="1" applyBorder="1" applyAlignment="1" applyProtection="1">
      <alignment horizontal="center" vertical="center" wrapText="1"/>
    </xf>
    <xf numFmtId="0" fontId="14" fillId="13" borderId="3" xfId="0" applyFont="1" applyFill="1" applyBorder="1" applyAlignment="1" applyProtection="1">
      <alignment vertical="center" wrapText="1"/>
    </xf>
    <xf numFmtId="0" fontId="14" fillId="13" borderId="3" xfId="0" applyFont="1" applyFill="1" applyBorder="1" applyAlignment="1" applyProtection="1">
      <alignment horizontal="left" vertical="center" wrapText="1"/>
    </xf>
    <xf numFmtId="0" fontId="14" fillId="13" borderId="0" xfId="0" applyFont="1" applyFill="1" applyAlignment="1">
      <alignment horizontal="center" vertical="center" wrapText="1"/>
    </xf>
    <xf numFmtId="0" fontId="12" fillId="13" borderId="0" xfId="0" applyFont="1" applyFill="1" applyAlignment="1">
      <alignment vertical="center" wrapText="1"/>
    </xf>
    <xf numFmtId="0" fontId="12" fillId="13" borderId="3" xfId="0" applyFont="1" applyFill="1" applyBorder="1" applyAlignment="1" applyProtection="1">
      <alignment horizontal="center" vertical="center" wrapText="1"/>
    </xf>
    <xf numFmtId="0" fontId="14" fillId="13" borderId="25" xfId="0" applyFont="1" applyFill="1" applyBorder="1" applyAlignment="1" applyProtection="1">
      <alignment horizontal="left" vertical="center" wrapText="1"/>
    </xf>
    <xf numFmtId="0" fontId="14" fillId="13" borderId="25" xfId="0" applyFont="1" applyFill="1" applyBorder="1" applyAlignment="1" applyProtection="1">
      <alignment horizontal="center" vertical="center" wrapText="1"/>
    </xf>
    <xf numFmtId="0" fontId="12" fillId="13" borderId="0" xfId="0" applyFont="1" applyFill="1" applyAlignment="1">
      <alignment horizontal="left" vertical="center" wrapText="1"/>
    </xf>
    <xf numFmtId="0" fontId="12" fillId="13" borderId="0" xfId="0" applyFont="1" applyFill="1" applyAlignment="1">
      <alignment horizontal="center" vertical="center" wrapText="1"/>
    </xf>
    <xf numFmtId="0" fontId="12" fillId="13" borderId="3" xfId="0" applyFont="1" applyFill="1" applyBorder="1" applyAlignment="1" applyProtection="1">
      <alignment vertical="center" wrapText="1"/>
    </xf>
    <xf numFmtId="0" fontId="17" fillId="13" borderId="3" xfId="0" applyFont="1" applyFill="1" applyBorder="1" applyAlignment="1" applyProtection="1">
      <alignment vertical="center" wrapText="1"/>
    </xf>
    <xf numFmtId="0" fontId="12" fillId="13" borderId="0" xfId="0" applyFont="1" applyFill="1">
      <alignment vertical="center"/>
    </xf>
    <xf numFmtId="0" fontId="12" fillId="0" borderId="30" xfId="0" applyFont="1" applyBorder="1" applyAlignment="1" applyProtection="1">
      <alignment horizontal="left" vertical="center" wrapText="1"/>
    </xf>
    <xf numFmtId="0" fontId="12" fillId="0" borderId="30" xfId="0" applyFont="1" applyBorder="1" applyAlignment="1" applyProtection="1">
      <alignment horizontal="center" vertical="center" wrapText="1"/>
    </xf>
    <xf numFmtId="0" fontId="12" fillId="0" borderId="37" xfId="0" applyFont="1" applyBorder="1" applyAlignment="1" applyProtection="1">
      <alignment vertical="center" wrapText="1"/>
    </xf>
    <xf numFmtId="0" fontId="2" fillId="13" borderId="3" xfId="0" applyFont="1" applyFill="1" applyBorder="1" applyProtection="1">
      <alignment vertical="center"/>
    </xf>
    <xf numFmtId="0" fontId="12" fillId="13" borderId="3" xfId="0" applyFont="1" applyFill="1" applyBorder="1" applyProtection="1">
      <alignment vertical="center"/>
    </xf>
    <xf numFmtId="0" fontId="12" fillId="13" borderId="25" xfId="0" applyFont="1" applyFill="1" applyBorder="1" applyAlignment="1" applyProtection="1">
      <alignment horizontal="center" vertical="center" wrapText="1"/>
    </xf>
    <xf numFmtId="0" fontId="11" fillId="4" borderId="24" xfId="0" applyNumberFormat="1" applyFont="1" applyFill="1" applyBorder="1" applyAlignment="1" applyProtection="1">
      <alignment horizontal="left" vertical="center" wrapText="1"/>
    </xf>
    <xf numFmtId="0" fontId="41" fillId="0" borderId="30" xfId="0" applyFont="1" applyBorder="1" applyAlignment="1" applyProtection="1">
      <alignment vertical="center" wrapText="1"/>
    </xf>
    <xf numFmtId="0" fontId="41" fillId="0" borderId="30" xfId="0" applyFont="1" applyBorder="1" applyAlignment="1" applyProtection="1">
      <alignment horizontal="left" vertical="center" wrapText="1"/>
    </xf>
    <xf numFmtId="0" fontId="18" fillId="5" borderId="3" xfId="0" applyFont="1" applyFill="1" applyBorder="1" applyAlignment="1" applyProtection="1">
      <alignment horizontal="center" vertical="center" wrapText="1"/>
    </xf>
    <xf numFmtId="0" fontId="18" fillId="5" borderId="3" xfId="0" applyFont="1" applyFill="1" applyBorder="1" applyAlignment="1" applyProtection="1">
      <alignment horizontal="left" vertical="center" wrapText="1"/>
    </xf>
    <xf numFmtId="9" fontId="4" fillId="0" borderId="24" xfId="0" applyNumberFormat="1" applyFont="1" applyBorder="1" applyProtection="1">
      <alignment vertical="center"/>
    </xf>
    <xf numFmtId="0" fontId="11" fillId="4" borderId="24" xfId="0" applyNumberFormat="1" applyFont="1" applyFill="1" applyBorder="1" applyAlignment="1" applyProtection="1">
      <alignment horizontal="right" vertical="center" wrapText="1"/>
    </xf>
    <xf numFmtId="0" fontId="28" fillId="0" borderId="0" xfId="0" applyFont="1">
      <alignment vertical="center"/>
    </xf>
    <xf numFmtId="0" fontId="14" fillId="3" borderId="4" xfId="0" applyFont="1" applyFill="1" applyBorder="1" applyAlignment="1" applyProtection="1">
      <alignment horizontal="center" vertical="center" wrapText="1"/>
    </xf>
    <xf numFmtId="0" fontId="15" fillId="0" borderId="3" xfId="0" applyFont="1" applyBorder="1" applyAlignment="1" applyProtection="1">
      <alignment horizontal="left" vertical="top" wrapText="1"/>
    </xf>
    <xf numFmtId="0" fontId="12" fillId="0" borderId="0" xfId="0" applyFont="1" applyAlignment="1">
      <alignment horizontal="center" vertical="center" wrapText="1"/>
    </xf>
    <xf numFmtId="0" fontId="12" fillId="3" borderId="0" xfId="0" applyFont="1" applyFill="1" applyAlignment="1">
      <alignment horizontal="left" vertical="center" wrapText="1"/>
    </xf>
    <xf numFmtId="0" fontId="15" fillId="0" borderId="23" xfId="0" applyFont="1" applyBorder="1" applyAlignment="1" applyProtection="1">
      <alignment horizontal="left" vertical="top"/>
    </xf>
    <xf numFmtId="0" fontId="52" fillId="0" borderId="0" xfId="0" applyFont="1">
      <alignment vertical="center"/>
    </xf>
    <xf numFmtId="0" fontId="41" fillId="0" borderId="0" xfId="0" applyFont="1" applyAlignment="1">
      <alignment horizontal="center" vertical="center"/>
    </xf>
    <xf numFmtId="0" fontId="41" fillId="0" borderId="3" xfId="0" applyFont="1" applyBorder="1" applyAlignment="1" applyProtection="1">
      <alignment horizontal="left" vertical="center" wrapText="1"/>
    </xf>
    <xf numFmtId="49" fontId="4" fillId="0" borderId="24" xfId="0" applyNumberFormat="1" applyFont="1" applyBorder="1" applyProtection="1">
      <alignment vertical="center"/>
    </xf>
    <xf numFmtId="0" fontId="41" fillId="0" borderId="24" xfId="0" applyFont="1" applyBorder="1" applyAlignment="1" applyProtection="1">
      <alignment horizontal="center" vertical="center" wrapText="1"/>
    </xf>
    <xf numFmtId="0" fontId="14" fillId="0" borderId="4" xfId="0" applyFont="1" applyBorder="1" applyAlignment="1" applyProtection="1">
      <alignment horizontal="left" vertical="center" wrapText="1"/>
    </xf>
    <xf numFmtId="0" fontId="52" fillId="3" borderId="3" xfId="0" applyFont="1" applyFill="1" applyBorder="1" applyAlignment="1" applyProtection="1">
      <alignment horizontal="center" vertical="center" wrapText="1"/>
    </xf>
    <xf numFmtId="0" fontId="52" fillId="3" borderId="24" xfId="0" applyFont="1" applyFill="1" applyBorder="1" applyAlignment="1" applyProtection="1">
      <alignment horizontal="center" vertical="center" wrapText="1"/>
    </xf>
    <xf numFmtId="0" fontId="52" fillId="3" borderId="24" xfId="0" applyFont="1" applyFill="1" applyBorder="1" applyAlignment="1" applyProtection="1">
      <alignment horizontal="left" vertical="center" wrapText="1"/>
    </xf>
    <xf numFmtId="0" fontId="41" fillId="3" borderId="24" xfId="0" applyFont="1" applyFill="1" applyBorder="1" applyAlignment="1" applyProtection="1">
      <alignment horizontal="center" vertical="center" wrapText="1"/>
    </xf>
    <xf numFmtId="0" fontId="52" fillId="3" borderId="0" xfId="0" applyFont="1" applyFill="1" applyAlignment="1">
      <alignment horizontal="center" vertical="center" wrapText="1"/>
    </xf>
    <xf numFmtId="0" fontId="41" fillId="3" borderId="0" xfId="0" applyFont="1" applyFill="1" applyAlignment="1">
      <alignment vertical="center" wrapText="1"/>
    </xf>
    <xf numFmtId="0" fontId="41" fillId="2" borderId="0" xfId="0" applyFont="1" applyFill="1" applyAlignment="1">
      <alignment vertical="center" wrapText="1"/>
    </xf>
    <xf numFmtId="0" fontId="41" fillId="2" borderId="0" xfId="0" applyFont="1" applyFill="1" applyAlignment="1">
      <alignment horizontal="center" vertical="center" wrapText="1"/>
    </xf>
    <xf numFmtId="0" fontId="41" fillId="2" borderId="0" xfId="0" applyFont="1" applyFill="1" applyAlignment="1">
      <alignment horizontal="left" vertical="center" wrapText="1"/>
    </xf>
    <xf numFmtId="0" fontId="41" fillId="2" borderId="10" xfId="0" applyFont="1" applyFill="1" applyBorder="1" applyAlignment="1" applyProtection="1">
      <alignment horizontal="left" vertical="center" wrapText="1"/>
    </xf>
    <xf numFmtId="0" fontId="4" fillId="2" borderId="10" xfId="0" applyFont="1" applyFill="1" applyBorder="1" applyProtection="1">
      <alignment vertical="center"/>
    </xf>
    <xf numFmtId="0" fontId="41" fillId="2" borderId="10" xfId="0" applyFont="1" applyFill="1" applyBorder="1" applyAlignment="1" applyProtection="1">
      <alignment vertical="center" wrapText="1"/>
    </xf>
    <xf numFmtId="0" fontId="41" fillId="2" borderId="10" xfId="0" quotePrefix="1" applyFont="1" applyFill="1" applyBorder="1" applyAlignment="1" applyProtection="1">
      <alignment horizontal="left" vertical="center" wrapText="1"/>
    </xf>
    <xf numFmtId="0" fontId="41" fillId="0" borderId="0" xfId="0" applyFont="1" applyAlignment="1">
      <alignment horizontal="left" vertical="center" wrapText="1"/>
    </xf>
    <xf numFmtId="0" fontId="41" fillId="0" borderId="0" xfId="0" applyFont="1" applyAlignment="1">
      <alignment vertical="center" wrapText="1"/>
    </xf>
    <xf numFmtId="0" fontId="41" fillId="0" borderId="0" xfId="0" applyFont="1" applyAlignment="1">
      <alignment horizontal="center" vertical="center" wrapText="1"/>
    </xf>
    <xf numFmtId="0" fontId="41" fillId="0" borderId="4" xfId="0" applyFont="1" applyBorder="1" applyAlignment="1" applyProtection="1">
      <alignment horizontal="left" vertical="center" wrapText="1"/>
    </xf>
    <xf numFmtId="0" fontId="41" fillId="0" borderId="10" xfId="0" applyFont="1" applyBorder="1" applyAlignment="1" applyProtection="1">
      <alignment horizontal="left" vertical="center" wrapText="1"/>
    </xf>
    <xf numFmtId="0" fontId="41" fillId="0" borderId="10" xfId="0" applyFont="1" applyBorder="1" applyAlignment="1" applyProtection="1">
      <alignment horizontal="center" vertical="center" wrapText="1"/>
    </xf>
    <xf numFmtId="0" fontId="41" fillId="0" borderId="10" xfId="0" applyFont="1" applyBorder="1" applyAlignment="1" applyProtection="1">
      <alignment vertical="center" wrapText="1"/>
    </xf>
    <xf numFmtId="0" fontId="52" fillId="3" borderId="10" xfId="0" applyFont="1" applyFill="1" applyBorder="1" applyAlignment="1" applyProtection="1">
      <alignment horizontal="left" vertical="center" wrapText="1"/>
    </xf>
    <xf numFmtId="0" fontId="52" fillId="3" borderId="10" xfId="0" applyFont="1" applyFill="1" applyBorder="1" applyAlignment="1" applyProtection="1">
      <alignment horizontal="center" vertical="center" wrapText="1"/>
    </xf>
    <xf numFmtId="0" fontId="4" fillId="2" borderId="10" xfId="0" applyFont="1" applyFill="1" applyBorder="1" applyAlignment="1" applyProtection="1">
      <alignment horizontal="center" vertical="center"/>
    </xf>
    <xf numFmtId="0" fontId="4" fillId="2" borderId="10" xfId="0" quotePrefix="1" applyFont="1" applyFill="1" applyBorder="1" applyAlignment="1" applyProtection="1">
      <alignment horizontal="left" vertical="center"/>
    </xf>
    <xf numFmtId="0" fontId="4" fillId="0" borderId="0" xfId="0" applyFont="1">
      <alignment vertical="center"/>
    </xf>
    <xf numFmtId="0" fontId="41" fillId="2" borderId="4" xfId="0" applyFont="1" applyFill="1" applyBorder="1" applyAlignment="1" applyProtection="1">
      <alignment horizontal="left" vertical="center" wrapText="1"/>
    </xf>
    <xf numFmtId="0" fontId="41" fillId="2" borderId="10" xfId="0" applyFont="1" applyFill="1" applyBorder="1" applyAlignment="1" applyProtection="1">
      <alignment horizontal="center" vertical="center" wrapText="1"/>
    </xf>
    <xf numFmtId="0" fontId="41" fillId="0" borderId="3" xfId="0" applyFont="1" applyBorder="1" applyAlignment="1" applyProtection="1">
      <alignment vertical="center" wrapText="1"/>
    </xf>
    <xf numFmtId="0" fontId="41" fillId="0" borderId="24" xfId="0" applyFont="1" applyBorder="1" applyAlignment="1" applyProtection="1">
      <alignment horizontal="left" vertical="center" wrapText="1"/>
    </xf>
    <xf numFmtId="0" fontId="41" fillId="2" borderId="24" xfId="0" applyFont="1" applyFill="1" applyBorder="1" applyAlignment="1" applyProtection="1">
      <alignment horizontal="left" vertical="center" wrapText="1"/>
    </xf>
    <xf numFmtId="0" fontId="41" fillId="2" borderId="24" xfId="0" applyFont="1" applyFill="1" applyBorder="1" applyAlignment="1" applyProtection="1">
      <alignment vertical="center" wrapText="1"/>
    </xf>
    <xf numFmtId="0" fontId="41" fillId="0" borderId="4" xfId="0" applyFont="1" applyBorder="1" applyAlignment="1" applyProtection="1">
      <alignment vertical="center" wrapText="1"/>
    </xf>
    <xf numFmtId="0" fontId="41" fillId="2" borderId="4" xfId="0" applyFont="1" applyFill="1" applyBorder="1" applyAlignment="1" applyProtection="1">
      <alignment vertical="center" wrapText="1"/>
    </xf>
    <xf numFmtId="0" fontId="3" fillId="0" borderId="24" xfId="0" applyFont="1" applyBorder="1" applyAlignment="1" applyProtection="1">
      <alignment horizontal="left" vertical="center" wrapText="1"/>
    </xf>
    <xf numFmtId="0" fontId="41" fillId="2" borderId="30" xfId="0" applyFont="1" applyFill="1" applyBorder="1" applyAlignment="1" applyProtection="1">
      <alignment vertical="center" wrapText="1"/>
    </xf>
    <xf numFmtId="0" fontId="41" fillId="2" borderId="26" xfId="0" applyFont="1" applyFill="1" applyBorder="1" applyAlignment="1" applyProtection="1">
      <alignment vertical="center" wrapText="1"/>
    </xf>
    <xf numFmtId="0" fontId="15" fillId="5" borderId="3" xfId="0" applyFont="1" applyFill="1" applyBorder="1" applyAlignment="1" applyProtection="1">
      <alignment horizontal="center" vertical="center" wrapText="1"/>
    </xf>
    <xf numFmtId="0" fontId="38" fillId="0" borderId="24" xfId="0" applyFont="1" applyBorder="1" applyAlignment="1" applyProtection="1">
      <alignment vertical="center" wrapText="1"/>
    </xf>
    <xf numFmtId="0" fontId="38" fillId="0" borderId="3" xfId="0" applyFont="1" applyBorder="1" applyAlignment="1" applyProtection="1">
      <alignment vertical="center" wrapText="1"/>
    </xf>
    <xf numFmtId="0" fontId="15" fillId="5" borderId="24" xfId="0" applyFont="1" applyFill="1" applyBorder="1" applyAlignment="1" applyProtection="1">
      <alignment vertical="center" wrapText="1"/>
    </xf>
    <xf numFmtId="20" fontId="3" fillId="0" borderId="24" xfId="0" applyNumberFormat="1" applyFont="1" applyBorder="1" applyAlignment="1" applyProtection="1">
      <alignment horizontal="left" vertical="center" wrapText="1"/>
    </xf>
    <xf numFmtId="0" fontId="41" fillId="2" borderId="3" xfId="0" applyFont="1" applyFill="1" applyBorder="1" applyAlignment="1" applyProtection="1">
      <alignment horizontal="left" vertical="center" wrapText="1"/>
    </xf>
    <xf numFmtId="0" fontId="41" fillId="2" borderId="30" xfId="0" applyFont="1" applyFill="1" applyBorder="1" applyAlignment="1" applyProtection="1">
      <alignment horizontal="left" vertical="center" wrapText="1"/>
    </xf>
    <xf numFmtId="0" fontId="41" fillId="2" borderId="5" xfId="0" applyFont="1" applyFill="1" applyBorder="1" applyAlignment="1" applyProtection="1">
      <alignment horizontal="left" vertical="center" wrapText="1"/>
    </xf>
    <xf numFmtId="0" fontId="14" fillId="3" borderId="4" xfId="0" applyFont="1" applyFill="1" applyBorder="1" applyAlignment="1" applyProtection="1">
      <alignment vertical="center" wrapText="1"/>
    </xf>
    <xf numFmtId="0" fontId="14" fillId="5" borderId="5" xfId="0" applyFont="1" applyFill="1" applyBorder="1" applyAlignment="1" applyProtection="1">
      <alignment horizontal="left" vertical="center" wrapText="1"/>
    </xf>
    <xf numFmtId="0" fontId="14" fillId="5" borderId="5" xfId="0" applyFont="1" applyFill="1" applyBorder="1" applyAlignment="1" applyProtection="1">
      <alignment horizontal="center" vertical="center" wrapText="1"/>
    </xf>
    <xf numFmtId="0" fontId="12" fillId="5" borderId="5" xfId="0" applyFont="1" applyFill="1" applyBorder="1" applyAlignment="1" applyProtection="1">
      <alignment horizontal="center" vertical="center" wrapText="1"/>
    </xf>
    <xf numFmtId="0" fontId="17" fillId="5" borderId="5" xfId="0" applyFont="1" applyFill="1" applyBorder="1" applyAlignment="1" applyProtection="1">
      <alignment vertical="center" wrapText="1"/>
    </xf>
    <xf numFmtId="0" fontId="12" fillId="2" borderId="26" xfId="0" applyFont="1" applyFill="1" applyBorder="1" applyAlignment="1" applyProtection="1">
      <alignment vertical="center" wrapText="1"/>
    </xf>
    <xf numFmtId="0" fontId="14" fillId="0" borderId="3" xfId="0" applyFont="1" applyBorder="1" applyAlignment="1" applyProtection="1">
      <alignment horizontal="right" vertical="center" wrapText="1"/>
    </xf>
    <xf numFmtId="0" fontId="12" fillId="0" borderId="3" xfId="0" applyFont="1" applyBorder="1" applyAlignment="1" applyProtection="1">
      <alignment horizontal="right" vertical="center" wrapText="1"/>
    </xf>
    <xf numFmtId="0" fontId="41" fillId="0" borderId="3" xfId="0" applyFont="1" applyBorder="1" applyAlignment="1" applyProtection="1">
      <alignment vertical="center" wrapText="1"/>
    </xf>
    <xf numFmtId="0" fontId="41" fillId="0" borderId="3" xfId="0" applyFont="1" applyBorder="1" applyAlignment="1" applyProtection="1">
      <alignment horizontal="left" vertical="center" wrapText="1"/>
    </xf>
    <xf numFmtId="0" fontId="41" fillId="2" borderId="3" xfId="0" applyFont="1" applyFill="1" applyBorder="1" applyAlignment="1" applyProtection="1">
      <alignment vertical="center" wrapText="1"/>
    </xf>
    <xf numFmtId="0" fontId="34" fillId="0" borderId="3" xfId="0" applyFont="1" applyBorder="1" applyAlignment="1" applyProtection="1">
      <alignment horizontal="left" vertical="center" wrapText="1"/>
    </xf>
    <xf numFmtId="0" fontId="12" fillId="2" borderId="4" xfId="0" applyFont="1" applyFill="1" applyBorder="1" applyAlignment="1" applyProtection="1">
      <alignment horizontal="left" vertical="center" wrapText="1"/>
    </xf>
    <xf numFmtId="0" fontId="41" fillId="2" borderId="3" xfId="0" applyFont="1" applyFill="1" applyBorder="1" applyAlignment="1" applyProtection="1">
      <alignment horizontal="left" vertical="center" wrapText="1"/>
    </xf>
    <xf numFmtId="0" fontId="15" fillId="0" borderId="3" xfId="0" applyFont="1" applyBorder="1" applyAlignment="1" applyProtection="1">
      <alignment vertical="center" wrapText="1"/>
    </xf>
    <xf numFmtId="0" fontId="12" fillId="4" borderId="3" xfId="0" applyFont="1" applyFill="1" applyBorder="1" applyAlignment="1" applyProtection="1">
      <alignment horizontal="center" vertical="center" wrapText="1"/>
    </xf>
    <xf numFmtId="0" fontId="12" fillId="0" borderId="25" xfId="0" applyFont="1" applyBorder="1" applyAlignment="1" applyProtection="1">
      <alignment vertical="center" wrapText="1"/>
    </xf>
    <xf numFmtId="0" fontId="4" fillId="0" borderId="24" xfId="0" applyFont="1" applyBorder="1" applyAlignment="1" applyProtection="1">
      <alignment vertical="center" wrapText="1"/>
    </xf>
    <xf numFmtId="0" fontId="12" fillId="0" borderId="4" xfId="0" applyFont="1" applyBorder="1" applyAlignment="1" applyProtection="1">
      <alignment horizontal="center" vertical="center" wrapText="1"/>
    </xf>
    <xf numFmtId="0" fontId="17" fillId="3" borderId="24" xfId="0" applyFont="1" applyFill="1" applyBorder="1" applyAlignment="1" applyProtection="1">
      <alignment vertical="center" wrapText="1"/>
    </xf>
    <xf numFmtId="0" fontId="4" fillId="5" borderId="3" xfId="0" applyFont="1" applyFill="1" applyBorder="1" applyAlignment="1" applyProtection="1">
      <alignment vertical="center" wrapText="1"/>
    </xf>
    <xf numFmtId="0" fontId="4" fillId="0" borderId="0" xfId="0" applyFont="1" applyAlignment="1">
      <alignment horizontal="center" vertical="center"/>
    </xf>
    <xf numFmtId="0" fontId="4" fillId="5" borderId="4" xfId="0" applyFont="1" applyFill="1" applyBorder="1" applyProtection="1">
      <alignment vertical="center"/>
    </xf>
    <xf numFmtId="0" fontId="41" fillId="0" borderId="24" xfId="0" applyFont="1" applyBorder="1" applyAlignment="1" applyProtection="1">
      <alignment vertical="center" wrapText="1"/>
    </xf>
    <xf numFmtId="0" fontId="12" fillId="5" borderId="3" xfId="0" applyFont="1" applyFill="1" applyBorder="1" applyAlignment="1" applyProtection="1">
      <alignment horizontal="left" vertical="center" wrapText="1"/>
    </xf>
    <xf numFmtId="0" fontId="4" fillId="5" borderId="10" xfId="0" applyFont="1" applyFill="1" applyBorder="1" applyAlignment="1" applyProtection="1">
      <alignment horizontal="left" vertical="center"/>
    </xf>
    <xf numFmtId="0" fontId="41" fillId="5" borderId="10" xfId="0" applyFont="1" applyFill="1" applyBorder="1" applyAlignment="1" applyProtection="1">
      <alignment vertical="center" wrapText="1"/>
    </xf>
    <xf numFmtId="0" fontId="12" fillId="0" borderId="24" xfId="0" applyFont="1" applyBorder="1" applyAlignment="1" applyProtection="1">
      <alignment vertical="center" wrapText="1"/>
    </xf>
    <xf numFmtId="49" fontId="4" fillId="5" borderId="10" xfId="0" applyNumberFormat="1" applyFont="1" applyFill="1" applyBorder="1" applyProtection="1">
      <alignment vertical="center"/>
    </xf>
    <xf numFmtId="0" fontId="4" fillId="5" borderId="10" xfId="0" quotePrefix="1" applyFont="1" applyFill="1" applyBorder="1" applyAlignment="1" applyProtection="1">
      <alignment horizontal="left" vertical="center"/>
    </xf>
    <xf numFmtId="0" fontId="4" fillId="5" borderId="10" xfId="0" applyFont="1" applyFill="1" applyBorder="1" applyProtection="1">
      <alignment vertical="center"/>
    </xf>
    <xf numFmtId="0" fontId="4" fillId="5" borderId="10" xfId="0" applyFont="1" applyFill="1" applyBorder="1" applyAlignment="1" applyProtection="1">
      <alignment vertical="center" wrapText="1"/>
    </xf>
    <xf numFmtId="0" fontId="4" fillId="5" borderId="10" xfId="0" applyFont="1" applyFill="1" applyBorder="1" applyAlignment="1" applyProtection="1">
      <alignment horizontal="center" vertical="center" wrapText="1"/>
    </xf>
    <xf numFmtId="0" fontId="4" fillId="0" borderId="10" xfId="0" applyFont="1" applyBorder="1" applyProtection="1">
      <alignment vertical="center"/>
    </xf>
    <xf numFmtId="0" fontId="12" fillId="4" borderId="3" xfId="0" applyFont="1" applyFill="1" applyBorder="1" applyAlignment="1" applyProtection="1">
      <alignment vertical="center" wrapText="1"/>
    </xf>
    <xf numFmtId="0" fontId="11" fillId="4" borderId="10" xfId="0" applyNumberFormat="1" applyFont="1" applyFill="1" applyBorder="1" applyAlignment="1" applyProtection="1">
      <alignment horizontal="left" vertical="center" wrapText="1"/>
    </xf>
    <xf numFmtId="9" fontId="4" fillId="0" borderId="10" xfId="0" applyNumberFormat="1" applyFont="1" applyBorder="1" applyProtection="1">
      <alignment vertical="center"/>
    </xf>
    <xf numFmtId="0" fontId="11" fillId="4" borderId="10" xfId="0" applyNumberFormat="1" applyFont="1" applyFill="1" applyBorder="1" applyAlignment="1" applyProtection="1">
      <alignment horizontal="right" vertical="center" wrapText="1"/>
    </xf>
    <xf numFmtId="0" fontId="4" fillId="0" borderId="10" xfId="0" applyFont="1" applyBorder="1" applyAlignment="1" applyProtection="1">
      <alignment vertical="center" wrapText="1"/>
    </xf>
    <xf numFmtId="0" fontId="3" fillId="0" borderId="0" xfId="0" applyFont="1">
      <alignment vertical="center"/>
    </xf>
    <xf numFmtId="0" fontId="4" fillId="4" borderId="3" xfId="0" applyFont="1" applyFill="1" applyBorder="1" applyProtection="1">
      <alignment vertical="center"/>
    </xf>
    <xf numFmtId="0" fontId="4" fillId="0" borderId="3" xfId="0" applyFont="1" applyBorder="1" applyAlignment="1" applyProtection="1">
      <alignment horizontal="left" vertical="center"/>
    </xf>
    <xf numFmtId="0" fontId="12" fillId="0" borderId="3" xfId="0" applyFont="1" applyBorder="1" applyAlignment="1" applyProtection="1">
      <alignment vertical="center" wrapText="1"/>
    </xf>
    <xf numFmtId="0" fontId="4" fillId="0" borderId="3" xfId="0" applyFont="1" applyBorder="1" applyProtection="1">
      <alignment vertical="center"/>
    </xf>
    <xf numFmtId="0" fontId="4" fillId="15" borderId="3" xfId="0" applyFont="1" applyFill="1" applyBorder="1" applyAlignment="1" applyProtection="1">
      <alignment vertical="center" wrapText="1"/>
    </xf>
    <xf numFmtId="0" fontId="4" fillId="0" borderId="3" xfId="0" applyFont="1" applyBorder="1" applyAlignment="1" applyProtection="1">
      <alignment horizontal="center" vertical="center" wrapText="1"/>
    </xf>
    <xf numFmtId="178" fontId="27" fillId="4" borderId="3" xfId="0" applyNumberFormat="1" applyFont="1" applyFill="1" applyBorder="1" applyAlignment="1" applyProtection="1">
      <alignment horizontal="left" vertical="center" wrapText="1"/>
    </xf>
    <xf numFmtId="9" fontId="4" fillId="0" borderId="3" xfId="0" applyNumberFormat="1" applyFont="1" applyBorder="1" applyProtection="1">
      <alignment vertical="center"/>
    </xf>
    <xf numFmtId="0" fontId="12" fillId="0" borderId="0" xfId="0" applyFont="1" applyAlignment="1">
      <alignment vertical="center" wrapText="1"/>
    </xf>
    <xf numFmtId="0" fontId="13" fillId="0" borderId="3" xfId="0" applyFont="1" applyBorder="1" applyAlignment="1" applyProtection="1">
      <alignment vertical="center" wrapText="1"/>
    </xf>
    <xf numFmtId="176" fontId="41" fillId="0" borderId="24" xfId="0" applyNumberFormat="1" applyFont="1" applyBorder="1" applyAlignment="1" applyProtection="1">
      <alignment horizontal="center" vertical="center" wrapText="1"/>
    </xf>
    <xf numFmtId="0" fontId="41" fillId="0" borderId="15" xfId="0" applyFont="1" applyBorder="1" applyAlignment="1" applyProtection="1">
      <alignment horizontal="center" vertical="center" wrapText="1"/>
    </xf>
    <xf numFmtId="0" fontId="41" fillId="0" borderId="3" xfId="0" applyFont="1" applyBorder="1" applyAlignment="1" applyProtection="1">
      <alignment horizontal="center" vertical="center" wrapText="1"/>
    </xf>
    <xf numFmtId="0" fontId="52" fillId="0" borderId="0" xfId="0" applyFont="1" applyAlignment="1">
      <alignment horizontal="center" vertical="center" wrapText="1"/>
    </xf>
    <xf numFmtId="0" fontId="41" fillId="2" borderId="3" xfId="0" applyFont="1" applyFill="1" applyBorder="1" applyAlignment="1" applyProtection="1">
      <alignment vertical="center" wrapText="1"/>
    </xf>
    <xf numFmtId="0" fontId="4" fillId="2" borderId="0" xfId="0" applyFont="1" applyFill="1">
      <alignment vertical="center"/>
    </xf>
    <xf numFmtId="0" fontId="4" fillId="0" borderId="0" xfId="0" applyFont="1" applyAlignment="1">
      <alignment vertical="center" wrapText="1"/>
    </xf>
    <xf numFmtId="0" fontId="12" fillId="0" borderId="4" xfId="0" applyFont="1" applyBorder="1" applyAlignment="1" applyProtection="1">
      <alignment vertical="center" wrapText="1"/>
    </xf>
    <xf numFmtId="0" fontId="12" fillId="0" borderId="3" xfId="0" applyFont="1" applyBorder="1" applyAlignment="1" applyProtection="1">
      <alignment vertical="center" wrapText="1"/>
    </xf>
    <xf numFmtId="0" fontId="15" fillId="0" borderId="4" xfId="0" applyFont="1" applyBorder="1" applyAlignment="1" applyProtection="1">
      <alignment horizontal="left" vertical="center" wrapText="1"/>
    </xf>
    <xf numFmtId="0" fontId="12" fillId="0" borderId="10" xfId="0" applyFont="1" applyBorder="1" applyAlignment="1" applyProtection="1">
      <alignment vertical="center" wrapText="1"/>
    </xf>
    <xf numFmtId="0" fontId="12" fillId="2" borderId="3" xfId="0" applyFont="1" applyFill="1" applyBorder="1" applyAlignment="1" applyProtection="1">
      <alignment vertical="center" wrapText="1"/>
    </xf>
    <xf numFmtId="0" fontId="15" fillId="0" borderId="3" xfId="0" applyFont="1" applyBorder="1" applyAlignment="1" applyProtection="1">
      <alignment horizontal="left" vertical="center" wrapText="1"/>
    </xf>
    <xf numFmtId="0" fontId="12" fillId="0" borderId="25" xfId="0" applyFont="1" applyBorder="1" applyAlignment="1" applyProtection="1">
      <alignment horizontal="left" vertical="center" wrapText="1"/>
    </xf>
    <xf numFmtId="1" fontId="15" fillId="0" borderId="3" xfId="0" applyNumberFormat="1" applyFont="1" applyBorder="1" applyAlignment="1" applyProtection="1">
      <alignment horizontal="center" vertical="center" shrinkToFit="1"/>
    </xf>
    <xf numFmtId="0" fontId="15" fillId="0" borderId="23" xfId="0" applyFont="1" applyBorder="1" applyAlignment="1" applyProtection="1">
      <alignment horizontal="center" vertical="center"/>
    </xf>
    <xf numFmtId="1" fontId="15" fillId="0" borderId="3" xfId="0" applyNumberFormat="1" applyFont="1" applyBorder="1" applyAlignment="1" applyProtection="1">
      <alignment horizontal="center" vertical="top" shrinkToFit="1"/>
    </xf>
    <xf numFmtId="0" fontId="15" fillId="0" borderId="3" xfId="0" applyFont="1" applyBorder="1" applyAlignment="1" applyProtection="1">
      <alignment horizontal="center" vertical="top" wrapText="1"/>
    </xf>
    <xf numFmtId="2" fontId="15" fillId="0" borderId="3" xfId="0" applyNumberFormat="1" applyFont="1" applyBorder="1" applyAlignment="1" applyProtection="1">
      <alignment horizontal="center" vertical="center" shrinkToFit="1"/>
    </xf>
    <xf numFmtId="1" fontId="15" fillId="0" borderId="23" xfId="0" applyNumberFormat="1" applyFont="1" applyBorder="1" applyAlignment="1" applyProtection="1">
      <alignment horizontal="center" vertical="top" shrinkToFit="1"/>
    </xf>
    <xf numFmtId="0" fontId="15" fillId="0" borderId="3" xfId="0" applyFont="1" applyBorder="1" applyAlignment="1" applyProtection="1">
      <alignment horizontal="center" vertical="center"/>
    </xf>
    <xf numFmtId="1" fontId="15" fillId="0" borderId="3" xfId="0" applyNumberFormat="1" applyFont="1" applyBorder="1" applyAlignment="1" applyProtection="1">
      <alignment horizontal="center" shrinkToFit="1"/>
    </xf>
    <xf numFmtId="1" fontId="41" fillId="0" borderId="24" xfId="0" applyNumberFormat="1" applyFont="1" applyBorder="1" applyAlignment="1" applyProtection="1">
      <alignment horizontal="center" vertical="center"/>
    </xf>
    <xf numFmtId="0" fontId="14" fillId="4" borderId="0" xfId="0" applyFont="1" applyFill="1">
      <alignment vertical="center"/>
    </xf>
    <xf numFmtId="0" fontId="14" fillId="0" borderId="0" xfId="0" applyFont="1" applyAlignment="1">
      <alignment horizontal="center" vertical="center" wrapText="1"/>
    </xf>
    <xf numFmtId="0" fontId="14" fillId="0" borderId="0" xfId="0" applyFont="1">
      <alignment vertical="center"/>
    </xf>
    <xf numFmtId="0" fontId="12" fillId="0" borderId="0" xfId="0" applyFont="1" applyAlignment="1">
      <alignment horizontal="center" vertical="center"/>
    </xf>
    <xf numFmtId="49" fontId="4" fillId="0" borderId="3" xfId="0" applyNumberFormat="1" applyFont="1" applyBorder="1" applyProtection="1">
      <alignment vertical="center"/>
    </xf>
    <xf numFmtId="1" fontId="12" fillId="0" borderId="3" xfId="0" applyNumberFormat="1" applyFont="1" applyBorder="1" applyAlignment="1" applyProtection="1">
      <alignment horizontal="center" vertical="center" shrinkToFit="1"/>
    </xf>
    <xf numFmtId="0" fontId="12" fillId="0" borderId="3" xfId="0" applyFont="1" applyBorder="1" applyAlignment="1" applyProtection="1">
      <alignment horizontal="center" vertical="center" wrapText="1"/>
    </xf>
    <xf numFmtId="2" fontId="12" fillId="0" borderId="3" xfId="0" applyNumberFormat="1" applyFont="1" applyBorder="1" applyAlignment="1" applyProtection="1">
      <alignment horizontal="center" vertical="center" shrinkToFit="1"/>
    </xf>
    <xf numFmtId="0" fontId="12" fillId="0" borderId="23" xfId="0" applyFont="1" applyBorder="1" applyAlignment="1" applyProtection="1">
      <alignment horizontal="center" vertical="center"/>
    </xf>
    <xf numFmtId="0" fontId="12" fillId="0" borderId="4" xfId="0" applyFont="1" applyBorder="1" applyAlignment="1" applyProtection="1">
      <alignment horizontal="left" vertical="center" wrapText="1"/>
    </xf>
    <xf numFmtId="0" fontId="12" fillId="0" borderId="3" xfId="0" applyFont="1" applyBorder="1" applyAlignment="1" applyProtection="1">
      <alignment horizontal="left" vertical="center" wrapText="1"/>
    </xf>
    <xf numFmtId="0" fontId="4" fillId="4" borderId="3" xfId="0" applyFont="1" applyFill="1" applyBorder="1" applyAlignment="1" applyProtection="1">
      <alignment horizontal="left" vertical="center" wrapText="1"/>
    </xf>
    <xf numFmtId="0" fontId="8" fillId="4" borderId="3" xfId="0" applyFont="1" applyFill="1" applyBorder="1" applyAlignment="1" applyProtection="1">
      <alignment vertical="center" wrapText="1"/>
    </xf>
    <xf numFmtId="0" fontId="8" fillId="0" borderId="3" xfId="0" applyFont="1" applyBorder="1" applyAlignment="1" applyProtection="1">
      <alignment vertical="center" wrapText="1"/>
    </xf>
    <xf numFmtId="0" fontId="4" fillId="0" borderId="3" xfId="0" applyFont="1" applyBorder="1" applyAlignment="1" applyProtection="1">
      <alignment horizontal="left" vertical="center" wrapText="1"/>
    </xf>
    <xf numFmtId="0" fontId="8" fillId="0" borderId="3" xfId="0" applyFont="1" applyBorder="1" applyAlignment="1" applyProtection="1">
      <alignment vertical="center" wrapText="1"/>
    </xf>
    <xf numFmtId="0" fontId="8" fillId="0" borderId="3" xfId="0" applyFont="1" applyBorder="1" applyAlignment="1" applyProtection="1">
      <alignment vertical="center" wrapText="1"/>
    </xf>
    <xf numFmtId="0" fontId="8" fillId="4" borderId="3" xfId="0" applyFont="1" applyFill="1" applyBorder="1" applyAlignment="1" applyProtection="1">
      <alignment vertical="center" wrapText="1"/>
    </xf>
    <xf numFmtId="0" fontId="4" fillId="4" borderId="3" xfId="0" applyFont="1" applyFill="1" applyBorder="1" applyAlignment="1" applyProtection="1">
      <alignment horizontal="left" vertical="center" wrapText="1"/>
    </xf>
    <xf numFmtId="0" fontId="8" fillId="4" borderId="3" xfId="0" applyFont="1" applyFill="1" applyBorder="1" applyAlignment="1" applyProtection="1">
      <alignment vertical="center" wrapText="1"/>
    </xf>
    <xf numFmtId="0" fontId="8" fillId="0" borderId="3" xfId="0" applyFont="1" applyBorder="1" applyAlignment="1" applyProtection="1">
      <alignment vertical="center" wrapText="1"/>
    </xf>
    <xf numFmtId="0" fontId="8" fillId="0" borderId="3" xfId="0" applyFont="1" applyBorder="1" applyAlignment="1" applyProtection="1">
      <alignment vertical="center" wrapText="1"/>
    </xf>
    <xf numFmtId="0" fontId="8" fillId="0" borderId="3" xfId="0" applyFont="1" applyBorder="1" applyAlignment="1" applyProtection="1">
      <alignment vertical="center" wrapText="1"/>
    </xf>
    <xf numFmtId="0" fontId="8" fillId="4" borderId="3" xfId="0" applyFont="1" applyFill="1" applyBorder="1" applyAlignment="1" applyProtection="1">
      <alignment vertical="center" wrapText="1"/>
    </xf>
    <xf numFmtId="0" fontId="8" fillId="0" borderId="3" xfId="0" applyFont="1" applyBorder="1" applyAlignment="1" applyProtection="1">
      <alignment vertical="center" wrapText="1"/>
    </xf>
    <xf numFmtId="0" fontId="4" fillId="0" borderId="3" xfId="0" applyFont="1" applyBorder="1" applyAlignment="1" applyProtection="1">
      <alignment horizontal="center" vertical="center" wrapText="1"/>
    </xf>
    <xf numFmtId="0" fontId="4" fillId="0" borderId="3" xfId="0" applyFont="1" applyBorder="1" applyAlignment="1" applyProtection="1">
      <alignment horizontal="center" vertical="center" wrapText="1"/>
    </xf>
    <xf numFmtId="0" fontId="4" fillId="0" borderId="3" xfId="0" applyFont="1" applyBorder="1" applyAlignment="1" applyProtection="1">
      <alignment horizontal="center" vertical="center" wrapText="1"/>
    </xf>
    <xf numFmtId="0" fontId="4" fillId="4" borderId="3" xfId="0" applyFont="1" applyFill="1" applyBorder="1" applyAlignment="1" applyProtection="1">
      <alignment vertical="center" wrapText="1"/>
    </xf>
    <xf numFmtId="0" fontId="4" fillId="4" borderId="4" xfId="0" applyFont="1" applyFill="1" applyBorder="1" applyAlignment="1" applyProtection="1">
      <alignment vertical="center" wrapText="1"/>
    </xf>
    <xf numFmtId="0" fontId="4" fillId="4" borderId="4" xfId="0" applyFont="1" applyFill="1" applyBorder="1" applyAlignment="1" applyProtection="1">
      <alignment vertical="center" wrapText="1"/>
    </xf>
    <xf numFmtId="0" fontId="4" fillId="0" borderId="3" xfId="0" applyFont="1" applyBorder="1" applyAlignment="1" applyProtection="1">
      <alignment vertical="center" wrapText="1"/>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center" vertical="center"/>
    </xf>
    <xf numFmtId="176" fontId="41" fillId="0" borderId="24" xfId="0" applyNumberFormat="1" applyFont="1" applyBorder="1" applyAlignment="1" applyProtection="1">
      <alignment horizontal="center" vertical="center"/>
    </xf>
    <xf numFmtId="0" fontId="41" fillId="0" borderId="15" xfId="0" applyFont="1" applyBorder="1" applyAlignment="1" applyProtection="1">
      <alignment horizontal="center" vertical="center"/>
    </xf>
    <xf numFmtId="0" fontId="41" fillId="0" borderId="3" xfId="0" applyFont="1" applyBorder="1" applyAlignment="1" applyProtection="1">
      <alignment horizontal="center" vertical="center"/>
    </xf>
    <xf numFmtId="0" fontId="52" fillId="4" borderId="0" xfId="0" applyFont="1" applyFill="1">
      <alignment vertical="center"/>
    </xf>
    <xf numFmtId="49" fontId="4" fillId="4" borderId="3" xfId="0" applyNumberFormat="1" applyFont="1" applyFill="1" applyBorder="1" applyProtection="1">
      <alignment vertical="center"/>
    </xf>
    <xf numFmtId="1" fontId="15" fillId="0" borderId="3" xfId="0" applyNumberFormat="1" applyFont="1" applyBorder="1" applyAlignment="1" applyProtection="1">
      <alignment horizontal="left" shrinkToFit="1"/>
    </xf>
    <xf numFmtId="178" fontId="27" fillId="4" borderId="3" xfId="0" applyNumberFormat="1" applyFont="1" applyFill="1" applyBorder="1" applyAlignment="1" applyProtection="1">
      <alignment horizontal="right" vertical="center" wrapText="1"/>
    </xf>
    <xf numFmtId="0" fontId="4" fillId="0" borderId="3" xfId="0" applyFont="1" applyBorder="1" applyAlignment="1" applyProtection="1">
      <alignment vertical="center" wrapText="1"/>
    </xf>
    <xf numFmtId="0" fontId="15" fillId="0" borderId="3" xfId="0" applyFont="1" applyBorder="1" applyAlignment="1" applyProtection="1">
      <alignment horizontal="left" wrapText="1"/>
    </xf>
    <xf numFmtId="0" fontId="4" fillId="0" borderId="0" xfId="0" applyFont="1" applyAlignment="1">
      <alignment horizontal="center" vertical="center"/>
    </xf>
    <xf numFmtId="0" fontId="3" fillId="0" borderId="3" xfId="0" applyFont="1" applyBorder="1" applyProtection="1">
      <alignment vertical="center"/>
    </xf>
    <xf numFmtId="0" fontId="17" fillId="3" borderId="4" xfId="0" applyFont="1" applyFill="1" applyBorder="1" applyAlignment="1" applyProtection="1">
      <alignment vertical="center" wrapText="1"/>
    </xf>
    <xf numFmtId="0" fontId="41" fillId="5" borderId="24" xfId="0" applyFont="1" applyFill="1" applyBorder="1" applyProtection="1">
      <alignment vertical="center"/>
    </xf>
    <xf numFmtId="0" fontId="4" fillId="5" borderId="5" xfId="0" applyFont="1" applyFill="1" applyBorder="1" applyProtection="1">
      <alignment vertical="center"/>
    </xf>
    <xf numFmtId="0" fontId="4" fillId="5" borderId="30" xfId="0" applyFont="1" applyFill="1" applyBorder="1" applyAlignment="1" applyProtection="1">
      <alignment horizontal="left" vertical="center"/>
    </xf>
    <xf numFmtId="0" fontId="41" fillId="5" borderId="30" xfId="0" applyFont="1" applyFill="1" applyBorder="1" applyAlignment="1" applyProtection="1">
      <alignment vertical="center" wrapText="1"/>
    </xf>
    <xf numFmtId="49" fontId="4" fillId="5" borderId="30" xfId="0" applyNumberFormat="1" applyFont="1" applyFill="1" applyBorder="1" applyProtection="1">
      <alignment vertical="center"/>
    </xf>
    <xf numFmtId="0" fontId="12" fillId="5" borderId="25" xfId="0" applyFont="1" applyFill="1" applyBorder="1" applyAlignment="1" applyProtection="1">
      <alignment horizontal="left" vertical="center" wrapText="1"/>
    </xf>
    <xf numFmtId="1" fontId="35" fillId="0" borderId="25" xfId="0" applyNumberFormat="1" applyFont="1" applyBorder="1" applyAlignment="1" applyProtection="1">
      <alignment horizontal="right" vertical="top" shrinkToFit="1"/>
    </xf>
    <xf numFmtId="0" fontId="14" fillId="0" borderId="25" xfId="0" applyFont="1" applyBorder="1" applyAlignment="1" applyProtection="1">
      <alignment horizontal="center" vertical="center" wrapText="1"/>
    </xf>
    <xf numFmtId="0" fontId="3" fillId="0" borderId="3" xfId="0" applyFont="1" applyBorder="1" applyProtection="1">
      <alignment vertical="center"/>
    </xf>
    <xf numFmtId="0" fontId="11" fillId="0" borderId="25" xfId="0" applyFont="1" applyBorder="1" applyAlignment="1" applyProtection="1">
      <alignment vertical="center" wrapText="1"/>
    </xf>
    <xf numFmtId="0" fontId="18" fillId="5" borderId="3" xfId="0" applyFont="1" applyFill="1" applyBorder="1" applyAlignment="1" applyProtection="1">
      <alignment vertical="center" wrapText="1"/>
    </xf>
    <xf numFmtId="0" fontId="14" fillId="8" borderId="3" xfId="0" applyFont="1" applyFill="1" applyBorder="1" applyAlignment="1" applyProtection="1">
      <alignment vertical="center" wrapText="1"/>
    </xf>
    <xf numFmtId="0" fontId="4" fillId="5" borderId="30" xfId="0" quotePrefix="1" applyFont="1" applyFill="1" applyBorder="1" applyAlignment="1" applyProtection="1">
      <alignment horizontal="left" vertical="center"/>
    </xf>
    <xf numFmtId="0" fontId="4" fillId="5" borderId="30" xfId="0" applyFont="1" applyFill="1" applyBorder="1" applyProtection="1">
      <alignment vertical="center"/>
    </xf>
    <xf numFmtId="0" fontId="4" fillId="5" borderId="30" xfId="0" applyFont="1" applyFill="1" applyBorder="1" applyAlignment="1" applyProtection="1">
      <alignment vertical="center" wrapText="1"/>
    </xf>
    <xf numFmtId="0" fontId="4" fillId="0" borderId="30" xfId="0" applyFont="1" applyBorder="1" applyAlignment="1" applyProtection="1">
      <alignment horizontal="center" vertical="center" wrapText="1"/>
    </xf>
    <xf numFmtId="0" fontId="12" fillId="4" borderId="3" xfId="0" applyFont="1" applyFill="1" applyBorder="1" applyAlignment="1" applyProtection="1">
      <alignment horizontal="right" vertical="center" wrapText="1"/>
    </xf>
    <xf numFmtId="0" fontId="4" fillId="5" borderId="3" xfId="0" applyFont="1" applyFill="1" applyBorder="1" applyAlignment="1" applyProtection="1">
      <alignment horizontal="left" vertical="center"/>
    </xf>
    <xf numFmtId="0" fontId="4" fillId="5" borderId="24" xfId="0" applyFont="1" applyFill="1" applyBorder="1" applyAlignment="1" applyProtection="1">
      <alignment horizontal="left" vertical="center"/>
    </xf>
    <xf numFmtId="0" fontId="4" fillId="5" borderId="26" xfId="0" applyFont="1" applyFill="1" applyBorder="1" applyProtection="1">
      <alignment vertical="center"/>
    </xf>
    <xf numFmtId="0" fontId="4" fillId="5" borderId="24" xfId="0" applyFont="1" applyFill="1" applyBorder="1" applyAlignment="1" applyProtection="1">
      <alignment horizontal="left" vertical="center" wrapText="1"/>
    </xf>
    <xf numFmtId="0" fontId="4" fillId="0" borderId="0" xfId="0" applyFont="1" applyAlignment="1">
      <alignment horizontal="right" vertical="center"/>
    </xf>
    <xf numFmtId="0" fontId="4" fillId="5" borderId="4" xfId="0" applyFont="1" applyFill="1" applyBorder="1" applyAlignment="1" applyProtection="1">
      <alignment horizontal="left" vertical="center"/>
    </xf>
    <xf numFmtId="0" fontId="4" fillId="5" borderId="10" xfId="0" applyFont="1" applyFill="1" applyBorder="1" applyAlignment="1" applyProtection="1">
      <alignment horizontal="left" vertical="center" wrapText="1"/>
    </xf>
    <xf numFmtId="0" fontId="4" fillId="5" borderId="3" xfId="0" applyFont="1" applyFill="1" applyBorder="1" applyAlignment="1" applyProtection="1">
      <alignment vertical="center" wrapText="1"/>
    </xf>
    <xf numFmtId="49" fontId="4" fillId="5" borderId="4" xfId="0" applyNumberFormat="1" applyFont="1" applyFill="1" applyBorder="1" applyProtection="1">
      <alignment vertical="center"/>
    </xf>
    <xf numFmtId="0" fontId="8" fillId="5" borderId="10" xfId="0" quotePrefix="1" applyFont="1" applyFill="1" applyBorder="1" applyAlignment="1" applyProtection="1">
      <alignment horizontal="left" vertical="center" wrapText="1"/>
    </xf>
    <xf numFmtId="0" fontId="11" fillId="5" borderId="24" xfId="0" applyNumberFormat="1" applyFont="1" applyFill="1" applyBorder="1" applyAlignment="1" applyProtection="1">
      <alignment horizontal="left" vertical="center"/>
    </xf>
    <xf numFmtId="0" fontId="4" fillId="0" borderId="26" xfId="0" applyFont="1" applyBorder="1" applyAlignment="1" applyProtection="1">
      <alignment vertical="center" wrapText="1"/>
    </xf>
    <xf numFmtId="0" fontId="8" fillId="0" borderId="10" xfId="0" applyFont="1" applyBorder="1" applyAlignment="1" applyProtection="1">
      <alignment horizontal="center" vertical="center"/>
    </xf>
    <xf numFmtId="0" fontId="8" fillId="0" borderId="24" xfId="0" applyFont="1" applyBorder="1" applyProtection="1">
      <alignment vertical="center"/>
    </xf>
    <xf numFmtId="0" fontId="11" fillId="0" borderId="24" xfId="0" applyNumberFormat="1" applyFont="1" applyBorder="1" applyAlignment="1" applyProtection="1">
      <alignment horizontal="left" vertical="center" wrapText="1"/>
    </xf>
    <xf numFmtId="0" fontId="4" fillId="0" borderId="24" xfId="0" applyFont="1" applyBorder="1" applyAlignment="1" applyProtection="1">
      <alignment horizontal="right" vertical="center"/>
    </xf>
    <xf numFmtId="0" fontId="11" fillId="0" borderId="15" xfId="0" applyNumberFormat="1" applyFont="1" applyBorder="1" applyAlignment="1" applyProtection="1">
      <alignment horizontal="left" vertical="center" wrapText="1"/>
    </xf>
    <xf numFmtId="0" fontId="4" fillId="0" borderId="3" xfId="0" applyFont="1" applyBorder="1" applyProtection="1">
      <alignment vertical="center"/>
    </xf>
    <xf numFmtId="0" fontId="11" fillId="5" borderId="10" xfId="0" applyNumberFormat="1" applyFont="1" applyFill="1" applyBorder="1" applyAlignment="1" applyProtection="1">
      <alignment horizontal="left" vertical="center"/>
    </xf>
    <xf numFmtId="0" fontId="8" fillId="0" borderId="10" xfId="0" applyFont="1" applyBorder="1" applyProtection="1">
      <alignment vertical="center"/>
    </xf>
    <xf numFmtId="0" fontId="11" fillId="0" borderId="10" xfId="0" applyNumberFormat="1" applyFont="1" applyBorder="1" applyAlignment="1" applyProtection="1">
      <alignment horizontal="left" vertical="center" wrapText="1"/>
    </xf>
    <xf numFmtId="0" fontId="4" fillId="0" borderId="10" xfId="0" applyFont="1" applyBorder="1" applyAlignment="1" applyProtection="1">
      <alignment horizontal="right" vertical="center"/>
    </xf>
    <xf numFmtId="0" fontId="11" fillId="0" borderId="29" xfId="0" applyNumberFormat="1" applyFont="1" applyBorder="1" applyAlignment="1" applyProtection="1">
      <alignment horizontal="left" vertical="center" wrapText="1"/>
    </xf>
    <xf numFmtId="0" fontId="4" fillId="0" borderId="4" xfId="0" applyFont="1" applyBorder="1" applyProtection="1">
      <alignment vertical="center"/>
    </xf>
    <xf numFmtId="0" fontId="41" fillId="5" borderId="25" xfId="0" applyFont="1" applyFill="1" applyBorder="1" applyAlignment="1" applyProtection="1">
      <alignment vertical="center" wrapText="1"/>
    </xf>
    <xf numFmtId="0" fontId="41" fillId="5" borderId="26" xfId="0" applyFont="1" applyFill="1" applyBorder="1" applyAlignment="1" applyProtection="1">
      <alignment vertical="center" wrapText="1"/>
    </xf>
    <xf numFmtId="0" fontId="4" fillId="4" borderId="26" xfId="0" applyFont="1" applyFill="1" applyBorder="1" applyAlignment="1" applyProtection="1">
      <alignment horizontal="center" vertical="center"/>
    </xf>
    <xf numFmtId="0" fontId="4" fillId="4" borderId="24" xfId="0" applyFont="1" applyFill="1" applyBorder="1" applyAlignment="1" applyProtection="1">
      <alignment horizontal="center" wrapText="1"/>
    </xf>
    <xf numFmtId="0" fontId="4" fillId="4" borderId="24" xfId="0" applyFont="1" applyFill="1" applyBorder="1" applyProtection="1">
      <alignment vertical="center"/>
    </xf>
    <xf numFmtId="0" fontId="8" fillId="4" borderId="24" xfId="0" applyFont="1" applyFill="1" applyBorder="1" applyProtection="1">
      <alignment vertical="center"/>
    </xf>
    <xf numFmtId="9" fontId="4" fillId="4" borderId="24" xfId="0" applyNumberFormat="1" applyFont="1" applyFill="1" applyBorder="1" applyProtection="1">
      <alignment vertical="center"/>
    </xf>
    <xf numFmtId="0" fontId="4" fillId="4" borderId="24" xfId="0" applyFont="1" applyFill="1" applyBorder="1" applyAlignment="1" applyProtection="1">
      <alignment horizontal="right" vertical="center"/>
    </xf>
    <xf numFmtId="0" fontId="11" fillId="4" borderId="15" xfId="0" applyNumberFormat="1" applyFont="1" applyFill="1" applyBorder="1" applyAlignment="1" applyProtection="1">
      <alignment horizontal="left" vertical="center" wrapText="1"/>
    </xf>
    <xf numFmtId="0" fontId="4" fillId="4" borderId="3" xfId="0" applyFont="1" applyFill="1" applyBorder="1" applyProtection="1">
      <alignment vertical="center"/>
    </xf>
    <xf numFmtId="0" fontId="4" fillId="4" borderId="0" xfId="0" applyFont="1" applyFill="1" applyAlignment="1">
      <alignment horizontal="center" vertical="center"/>
    </xf>
    <xf numFmtId="0" fontId="4" fillId="4" borderId="10" xfId="0" applyFont="1" applyFill="1" applyBorder="1" applyAlignment="1" applyProtection="1">
      <alignment horizontal="center" wrapText="1"/>
    </xf>
    <xf numFmtId="0" fontId="4" fillId="4" borderId="10" xfId="0" applyFont="1" applyFill="1" applyBorder="1" applyProtection="1">
      <alignment vertical="center"/>
    </xf>
    <xf numFmtId="0" fontId="8" fillId="4" borderId="10" xfId="0" applyFont="1" applyFill="1" applyBorder="1" applyProtection="1">
      <alignment vertical="center"/>
    </xf>
    <xf numFmtId="9" fontId="4" fillId="4" borderId="10" xfId="0" applyNumberFormat="1" applyFont="1" applyFill="1" applyBorder="1" applyProtection="1">
      <alignment vertical="center"/>
    </xf>
    <xf numFmtId="0" fontId="4" fillId="4" borderId="10" xfId="0" applyFont="1" applyFill="1" applyBorder="1" applyAlignment="1" applyProtection="1">
      <alignment horizontal="right" vertical="center"/>
    </xf>
    <xf numFmtId="0" fontId="11" fillId="4" borderId="29" xfId="0" applyNumberFormat="1" applyFont="1" applyFill="1" applyBorder="1" applyAlignment="1" applyProtection="1">
      <alignment horizontal="left" vertical="center" wrapText="1"/>
    </xf>
    <xf numFmtId="0" fontId="4" fillId="4" borderId="4" xfId="0" applyFont="1" applyFill="1" applyBorder="1" applyProtection="1">
      <alignment vertical="center"/>
    </xf>
    <xf numFmtId="0" fontId="4" fillId="4" borderId="10" xfId="0" applyFont="1" applyFill="1" applyBorder="1" applyAlignment="1" applyProtection="1">
      <alignment vertical="center" wrapText="1"/>
    </xf>
    <xf numFmtId="0" fontId="41" fillId="5" borderId="5" xfId="0" applyFont="1" applyFill="1" applyBorder="1" applyAlignment="1" applyProtection="1">
      <alignment vertical="center" wrapText="1"/>
    </xf>
    <xf numFmtId="0" fontId="41" fillId="5" borderId="3" xfId="0" applyFont="1" applyFill="1" applyBorder="1" applyAlignment="1" applyProtection="1">
      <alignment horizontal="left" vertical="center" wrapText="1"/>
    </xf>
    <xf numFmtId="0" fontId="4" fillId="4" borderId="25" xfId="0" applyFont="1" applyFill="1" applyBorder="1" applyAlignment="1" applyProtection="1">
      <alignment horizontal="center" vertical="center"/>
    </xf>
    <xf numFmtId="176" fontId="3" fillId="5" borderId="10" xfId="0" applyNumberFormat="1" applyFont="1" applyFill="1" applyBorder="1" applyAlignment="1" applyProtection="1">
      <alignment horizontal="left" vertical="center"/>
    </xf>
    <xf numFmtId="0" fontId="12" fillId="0" borderId="30" xfId="0" applyFont="1" applyBorder="1" applyAlignment="1" applyProtection="1">
      <alignment vertical="center" wrapText="1"/>
    </xf>
    <xf numFmtId="0" fontId="12" fillId="0" borderId="24" xfId="0" applyFont="1" applyBorder="1" applyAlignment="1" applyProtection="1">
      <alignment vertical="center" wrapText="1"/>
    </xf>
    <xf numFmtId="0" fontId="12" fillId="0" borderId="0" xfId="0" applyFont="1" applyAlignment="1">
      <alignment horizontal="center" vertical="center" wrapText="1"/>
    </xf>
    <xf numFmtId="0" fontId="12" fillId="0" borderId="23" xfId="0" applyFont="1" applyBorder="1" applyAlignment="1" applyProtection="1">
      <alignment horizontal="left" vertical="center" wrapText="1"/>
    </xf>
    <xf numFmtId="0" fontId="12" fillId="0" borderId="23" xfId="0" applyFont="1" applyBorder="1" applyAlignment="1" applyProtection="1">
      <alignment vertical="center" wrapText="1"/>
    </xf>
    <xf numFmtId="0" fontId="4" fillId="0" borderId="24" xfId="0" applyFont="1" applyBorder="1" applyAlignment="1" applyProtection="1">
      <alignment vertical="center" wrapText="1"/>
    </xf>
    <xf numFmtId="0" fontId="4" fillId="0" borderId="10" xfId="0" applyFont="1" applyBorder="1" applyAlignment="1" applyProtection="1">
      <alignment vertical="center" wrapText="1"/>
    </xf>
    <xf numFmtId="0" fontId="14" fillId="0" borderId="3" xfId="0" applyFont="1" applyBorder="1" applyAlignment="1" applyProtection="1">
      <alignment horizontal="left" vertical="center" wrapText="1"/>
    </xf>
    <xf numFmtId="0" fontId="4" fillId="5" borderId="0" xfId="0" applyFont="1" applyFill="1" applyAlignment="1">
      <alignment vertical="center" wrapText="1"/>
    </xf>
    <xf numFmtId="0" fontId="38" fillId="0" borderId="4" xfId="0" applyFont="1" applyBorder="1" applyAlignment="1" applyProtection="1">
      <alignment vertical="center" wrapText="1"/>
    </xf>
    <xf numFmtId="0" fontId="38" fillId="0" borderId="3" xfId="0" applyFont="1" applyBorder="1" applyAlignment="1" applyProtection="1">
      <alignment vertical="center" wrapText="1"/>
    </xf>
    <xf numFmtId="0" fontId="34" fillId="0" borderId="3" xfId="0" applyFont="1" applyBorder="1" applyAlignment="1" applyProtection="1">
      <alignment horizontal="left" vertical="center" wrapText="1"/>
    </xf>
    <xf numFmtId="0" fontId="12" fillId="0" borderId="25" xfId="0" applyFont="1" applyBorder="1" applyAlignment="1" applyProtection="1">
      <alignment vertical="center" wrapText="1"/>
    </xf>
    <xf numFmtId="0" fontId="15" fillId="0" borderId="3" xfId="0" applyFont="1" applyBorder="1" applyAlignment="1" applyProtection="1">
      <alignment vertical="center" wrapText="1"/>
    </xf>
    <xf numFmtId="0" fontId="12" fillId="0" borderId="4" xfId="0" applyFont="1" applyBorder="1" applyAlignment="1" applyProtection="1">
      <alignment horizontal="center" vertical="center" wrapText="1"/>
    </xf>
    <xf numFmtId="0" fontId="12" fillId="0" borderId="3" xfId="0" applyFont="1" applyBorder="1" applyAlignment="1" applyProtection="1">
      <alignment horizontal="left" vertical="center" wrapText="1"/>
    </xf>
    <xf numFmtId="0" fontId="12" fillId="4" borderId="25" xfId="0" applyFont="1" applyFill="1" applyBorder="1" applyAlignment="1" applyProtection="1">
      <alignment horizontal="left" vertical="center" wrapText="1"/>
    </xf>
    <xf numFmtId="0" fontId="12" fillId="4" borderId="25" xfId="0" applyFont="1" applyFill="1" applyBorder="1" applyAlignment="1" applyProtection="1">
      <alignment vertical="center" wrapText="1"/>
    </xf>
    <xf numFmtId="0" fontId="12" fillId="4" borderId="3" xfId="0" applyFont="1" applyFill="1" applyBorder="1" applyAlignment="1" applyProtection="1">
      <alignment horizontal="left" vertical="center" wrapText="1"/>
    </xf>
    <xf numFmtId="0" fontId="12" fillId="4" borderId="3" xfId="0" applyFont="1" applyFill="1" applyBorder="1" applyAlignment="1" applyProtection="1">
      <alignment vertical="center" wrapText="1"/>
    </xf>
    <xf numFmtId="0" fontId="12" fillId="4" borderId="4" xfId="0" applyFont="1" applyFill="1" applyBorder="1" applyAlignment="1" applyProtection="1">
      <alignment horizontal="left" vertical="center" wrapText="1"/>
    </xf>
    <xf numFmtId="0" fontId="12" fillId="4" borderId="4" xfId="0" applyFont="1" applyFill="1" applyBorder="1" applyAlignment="1" applyProtection="1">
      <alignment vertical="center" wrapText="1"/>
    </xf>
    <xf numFmtId="0" fontId="13" fillId="0" borderId="10" xfId="0" applyFont="1" applyBorder="1" applyAlignment="1" applyProtection="1">
      <alignment vertical="center" wrapText="1"/>
    </xf>
    <xf numFmtId="0" fontId="8" fillId="0" borderId="4" xfId="0" applyFont="1" applyBorder="1" applyAlignment="1" applyProtection="1">
      <alignment vertical="center" wrapText="1"/>
    </xf>
    <xf numFmtId="0" fontId="8" fillId="0" borderId="24" xfId="0" applyFont="1" applyBorder="1" applyAlignment="1" applyProtection="1">
      <alignment vertical="center" wrapText="1"/>
    </xf>
    <xf numFmtId="0" fontId="13" fillId="0" borderId="10" xfId="0" applyFont="1" applyBorder="1" applyAlignment="1" applyProtection="1">
      <alignment vertical="center" wrapText="1"/>
    </xf>
    <xf numFmtId="0" fontId="12" fillId="0" borderId="5" xfId="0" applyFont="1" applyBorder="1" applyAlignment="1" applyProtection="1">
      <alignment vertical="center" wrapText="1"/>
    </xf>
    <xf numFmtId="0" fontId="15" fillId="0" borderId="3" xfId="0" applyFont="1" applyBorder="1" applyAlignment="1" applyProtection="1">
      <alignment horizontal="center" vertical="center" wrapText="1"/>
    </xf>
    <xf numFmtId="0" fontId="4" fillId="0" borderId="0" xfId="0" applyFont="1" applyAlignment="1">
      <alignment vertical="center" wrapText="1"/>
    </xf>
    <xf numFmtId="0" fontId="12" fillId="0" borderId="4" xfId="0" applyFont="1" applyBorder="1" applyAlignment="1" applyProtection="1">
      <alignment vertical="center" wrapText="1"/>
    </xf>
    <xf numFmtId="0" fontId="12" fillId="0" borderId="3" xfId="0" applyFont="1" applyBorder="1" applyAlignment="1" applyProtection="1">
      <alignment vertical="center" wrapText="1"/>
    </xf>
    <xf numFmtId="0" fontId="15" fillId="0" borderId="10" xfId="0" applyFont="1" applyBorder="1" applyAlignment="1" applyProtection="1">
      <alignment vertical="center" wrapText="1"/>
    </xf>
    <xf numFmtId="0" fontId="12" fillId="0" borderId="10" xfId="0" applyFont="1" applyBorder="1" applyAlignment="1" applyProtection="1">
      <alignment vertical="center" wrapText="1"/>
    </xf>
    <xf numFmtId="0" fontId="12" fillId="2" borderId="3" xfId="0" applyFont="1" applyFill="1" applyBorder="1" applyAlignment="1" applyProtection="1">
      <alignment vertical="center" wrapText="1"/>
    </xf>
    <xf numFmtId="0" fontId="15" fillId="0" borderId="3" xfId="0" applyFont="1" applyBorder="1" applyAlignment="1" applyProtection="1">
      <alignment horizontal="left" vertical="center" wrapText="1"/>
    </xf>
    <xf numFmtId="0" fontId="12" fillId="0" borderId="25" xfId="0" applyFont="1" applyBorder="1" applyAlignment="1" applyProtection="1">
      <alignment horizontal="left" vertical="center" wrapText="1"/>
    </xf>
    <xf numFmtId="0" fontId="12" fillId="2" borderId="3" xfId="0" applyFont="1" applyFill="1" applyBorder="1" applyAlignment="1" applyProtection="1">
      <alignment horizontal="left" vertical="center" wrapText="1"/>
    </xf>
    <xf numFmtId="0" fontId="14" fillId="2" borderId="3" xfId="0" applyFont="1" applyFill="1" applyBorder="1" applyAlignment="1" applyProtection="1">
      <alignment vertical="center" wrapText="1"/>
    </xf>
    <xf numFmtId="0" fontId="12" fillId="0" borderId="11" xfId="0" applyFont="1" applyBorder="1" applyAlignment="1" applyProtection="1">
      <alignment horizontal="left" vertical="center" wrapText="1"/>
    </xf>
    <xf numFmtId="0" fontId="12" fillId="0" borderId="12" xfId="0" applyFont="1" applyBorder="1" applyAlignment="1" applyProtection="1">
      <alignment horizontal="left" vertical="center" wrapText="1"/>
    </xf>
    <xf numFmtId="0" fontId="12" fillId="0" borderId="4" xfId="0" applyFont="1" applyBorder="1" applyAlignment="1" applyProtection="1">
      <alignment horizontal="left" vertical="center" wrapText="1"/>
    </xf>
    <xf numFmtId="0" fontId="12" fillId="0" borderId="3" xfId="0" applyFont="1" applyBorder="1" applyAlignment="1" applyProtection="1">
      <alignment horizontal="left" vertical="center" wrapText="1"/>
    </xf>
    <xf numFmtId="0" fontId="4" fillId="0" borderId="3" xfId="0" applyFont="1" applyBorder="1" applyAlignment="1" applyProtection="1">
      <alignment horizontal="left" vertical="center" wrapText="1"/>
    </xf>
    <xf numFmtId="0" fontId="8" fillId="4" borderId="3" xfId="0" applyFont="1" applyFill="1" applyBorder="1" applyAlignment="1" applyProtection="1">
      <alignment vertical="center" wrapText="1"/>
    </xf>
    <xf numFmtId="0" fontId="8" fillId="0" borderId="3" xfId="0" applyFont="1" applyBorder="1" applyAlignment="1" applyProtection="1">
      <alignment vertical="center" wrapText="1"/>
    </xf>
    <xf numFmtId="176" fontId="3" fillId="0" borderId="3" xfId="0" applyNumberFormat="1" applyFont="1" applyBorder="1" applyAlignment="1" applyProtection="1">
      <alignment horizontal="left" vertical="center" wrapText="1"/>
      <protection locked="0"/>
    </xf>
    <xf numFmtId="0" fontId="4" fillId="0" borderId="3" xfId="0" applyFont="1" applyBorder="1" applyAlignment="1" applyProtection="1">
      <alignment horizontal="center" vertical="center" wrapText="1"/>
    </xf>
    <xf numFmtId="0" fontId="4" fillId="4" borderId="3" xfId="0" applyFont="1" applyFill="1" applyBorder="1" applyAlignment="1" applyProtection="1">
      <alignment vertical="center" wrapText="1"/>
    </xf>
    <xf numFmtId="0" fontId="4" fillId="4" borderId="4" xfId="0" applyFont="1" applyFill="1" applyBorder="1" applyAlignment="1" applyProtection="1">
      <alignment vertical="center" wrapText="1"/>
    </xf>
    <xf numFmtId="0" fontId="4" fillId="0" borderId="3" xfId="0" applyFont="1" applyBorder="1" applyAlignment="1" applyProtection="1">
      <alignment vertical="center" wrapText="1"/>
    </xf>
    <xf numFmtId="0" fontId="12" fillId="0" borderId="3" xfId="0" applyFont="1" applyBorder="1" applyAlignment="1" applyProtection="1">
      <alignment horizontal="center" vertical="center" wrapText="1"/>
    </xf>
    <xf numFmtId="0" fontId="14" fillId="0" borderId="3" xfId="0" applyFont="1" applyBorder="1" applyAlignment="1" applyProtection="1">
      <alignment horizontal="center" vertical="center"/>
    </xf>
    <xf numFmtId="0" fontId="14" fillId="4" borderId="25" xfId="0" applyFont="1" applyFill="1" applyBorder="1" applyAlignment="1" applyProtection="1">
      <alignment horizontal="center" vertical="center"/>
    </xf>
    <xf numFmtId="49" fontId="13" fillId="0" borderId="25" xfId="0" applyNumberFormat="1" applyFont="1" applyBorder="1" applyAlignment="1" applyProtection="1">
      <alignment horizontal="left" vertical="center" wrapText="1"/>
    </xf>
    <xf numFmtId="0" fontId="13" fillId="0" borderId="25" xfId="0" applyFont="1" applyBorder="1" applyAlignment="1" applyProtection="1">
      <alignment horizontal="center" vertical="center" wrapText="1"/>
    </xf>
    <xf numFmtId="0" fontId="12" fillId="0" borderId="25" xfId="0" applyFont="1" applyBorder="1" applyProtection="1">
      <alignment vertical="center"/>
    </xf>
    <xf numFmtId="0" fontId="2" fillId="0" borderId="3" xfId="0" applyFont="1" applyBorder="1" applyProtection="1">
      <alignment vertical="center"/>
    </xf>
    <xf numFmtId="2" fontId="12" fillId="0" borderId="3" xfId="0" applyNumberFormat="1" applyFont="1" applyBorder="1" applyAlignment="1" applyProtection="1">
      <alignment horizontal="center" vertical="center"/>
    </xf>
    <xf numFmtId="0" fontId="53" fillId="0" borderId="3" xfId="0" applyFont="1" applyBorder="1" applyAlignment="1" applyProtection="1">
      <alignment vertical="center" wrapText="1"/>
    </xf>
    <xf numFmtId="0" fontId="54" fillId="0" borderId="3" xfId="0" applyFont="1" applyBorder="1" applyAlignment="1" applyProtection="1">
      <alignment vertical="center" wrapText="1"/>
    </xf>
    <xf numFmtId="0" fontId="55" fillId="0" borderId="3" xfId="0" applyFont="1" applyBorder="1" applyAlignment="1" applyProtection="1">
      <alignment vertical="center" wrapText="1"/>
    </xf>
    <xf numFmtId="0" fontId="56" fillId="0" borderId="3" xfId="0" applyFont="1" applyBorder="1" applyAlignment="1" applyProtection="1">
      <alignment vertical="center" wrapText="1"/>
    </xf>
    <xf numFmtId="0" fontId="57" fillId="0" borderId="3" xfId="0" applyFont="1" applyBorder="1" applyAlignment="1" applyProtection="1">
      <alignment vertical="center" wrapText="1"/>
    </xf>
    <xf numFmtId="0" fontId="58" fillId="0" borderId="3" xfId="0" applyFont="1" applyBorder="1" applyAlignment="1" applyProtection="1">
      <alignment vertical="center" wrapText="1"/>
    </xf>
    <xf numFmtId="0" fontId="59" fillId="0" borderId="3" xfId="0" applyFont="1" applyBorder="1" applyAlignment="1" applyProtection="1">
      <alignment vertical="center" wrapText="1"/>
    </xf>
    <xf numFmtId="0" fontId="60" fillId="0" borderId="3" xfId="0" applyFont="1" applyBorder="1" applyAlignment="1" applyProtection="1">
      <alignment vertical="center" wrapText="1"/>
    </xf>
    <xf numFmtId="0" fontId="61" fillId="0" borderId="3" xfId="0" applyFont="1" applyBorder="1" applyAlignment="1" applyProtection="1">
      <alignment vertical="center" wrapText="1"/>
    </xf>
    <xf numFmtId="0" fontId="62" fillId="0" borderId="3" xfId="0" applyFont="1" applyBorder="1" applyAlignment="1" applyProtection="1">
      <alignment vertical="center" wrapText="1"/>
    </xf>
    <xf numFmtId="0" fontId="63" fillId="0" borderId="3" xfId="0" applyFont="1" applyBorder="1" applyAlignment="1" applyProtection="1">
      <alignment vertical="center" wrapText="1"/>
    </xf>
    <xf numFmtId="0" fontId="64" fillId="0" borderId="3" xfId="0" applyFont="1" applyBorder="1" applyAlignment="1" applyProtection="1">
      <alignment vertical="center" wrapText="1"/>
    </xf>
    <xf numFmtId="0" fontId="65" fillId="0" borderId="3" xfId="0" applyFont="1" applyBorder="1" applyAlignment="1" applyProtection="1">
      <alignment vertical="center" wrapText="1"/>
    </xf>
    <xf numFmtId="0" fontId="66" fillId="0" borderId="25" xfId="0" applyFont="1" applyBorder="1" applyAlignment="1" applyProtection="1">
      <alignment vertical="center" wrapText="1"/>
    </xf>
    <xf numFmtId="0" fontId="85" fillId="0" borderId="10" xfId="0" applyFont="1" applyBorder="1" applyAlignment="1" applyProtection="1">
      <alignment vertical="center" wrapText="1"/>
    </xf>
    <xf numFmtId="0" fontId="86" fillId="0" borderId="10" xfId="0" applyFont="1" applyBorder="1" applyAlignment="1" applyProtection="1">
      <alignment vertical="center" wrapText="1"/>
    </xf>
    <xf numFmtId="0" fontId="87" fillId="0" borderId="10" xfId="0" applyFont="1" applyBorder="1" applyAlignment="1" applyProtection="1">
      <alignment vertical="center" wrapText="1"/>
    </xf>
    <xf numFmtId="0" fontId="88" fillId="0" borderId="10" xfId="0" applyFont="1" applyBorder="1" applyAlignment="1" applyProtection="1">
      <alignment vertical="center" wrapText="1"/>
    </xf>
    <xf numFmtId="0" fontId="89" fillId="0" borderId="10" xfId="0" applyFont="1" applyBorder="1" applyAlignment="1" applyProtection="1">
      <alignment vertical="center" wrapText="1"/>
    </xf>
    <xf numFmtId="0" fontId="90" fillId="0" borderId="10" xfId="0" applyFont="1" applyBorder="1" applyAlignment="1" applyProtection="1">
      <alignment vertical="center" wrapText="1"/>
    </xf>
    <xf numFmtId="0" fontId="91" fillId="0" borderId="10" xfId="0" applyFont="1" applyBorder="1" applyAlignment="1" applyProtection="1">
      <alignment vertical="center" wrapText="1"/>
    </xf>
    <xf numFmtId="0" fontId="92" fillId="0" borderId="10" xfId="0" applyFont="1" applyBorder="1" applyAlignment="1" applyProtection="1">
      <alignment vertical="center" wrapText="1"/>
    </xf>
    <xf numFmtId="0" fontId="93" fillId="0" borderId="10" xfId="0" applyFont="1" applyBorder="1" applyAlignment="1" applyProtection="1">
      <alignment vertical="center" wrapText="1"/>
    </xf>
    <xf numFmtId="0" fontId="94" fillId="0" borderId="10" xfId="0" applyFont="1" applyBorder="1" applyAlignment="1" applyProtection="1">
      <alignment vertical="center" wrapText="1"/>
    </xf>
    <xf numFmtId="0" fontId="95" fillId="0" borderId="10" xfId="0" applyFont="1" applyBorder="1" applyAlignment="1" applyProtection="1">
      <alignment vertical="center" wrapText="1"/>
    </xf>
    <xf numFmtId="0" fontId="96" fillId="0" borderId="10" xfId="0" applyFont="1" applyBorder="1" applyAlignment="1" applyProtection="1">
      <alignment vertical="center" wrapText="1"/>
    </xf>
    <xf numFmtId="0" fontId="97" fillId="0" borderId="10" xfId="0" applyFont="1" applyBorder="1" applyAlignment="1" applyProtection="1">
      <alignment vertical="center" wrapText="1"/>
    </xf>
    <xf numFmtId="0" fontId="98" fillId="0" borderId="10" xfId="0" applyFont="1" applyBorder="1" applyAlignment="1" applyProtection="1">
      <alignment vertical="center" wrapText="1"/>
    </xf>
    <xf numFmtId="0" fontId="99" fillId="0" borderId="10" xfId="0" applyFont="1" applyBorder="1" applyAlignment="1" applyProtection="1">
      <alignment vertical="center" wrapText="1"/>
    </xf>
    <xf numFmtId="0" fontId="100" fillId="0" borderId="10" xfId="0" applyFont="1" applyBorder="1" applyAlignment="1" applyProtection="1">
      <alignment vertical="center" wrapText="1"/>
    </xf>
    <xf numFmtId="0" fontId="101" fillId="0" borderId="10" xfId="0" applyFont="1" applyBorder="1" applyAlignment="1" applyProtection="1">
      <alignment vertical="center" wrapText="1"/>
    </xf>
    <xf numFmtId="0" fontId="102" fillId="0" borderId="10" xfId="0" applyFont="1" applyBorder="1" applyAlignment="1" applyProtection="1">
      <alignment vertical="center" wrapText="1"/>
    </xf>
    <xf numFmtId="0" fontId="103" fillId="0" borderId="10" xfId="0" applyFont="1" applyBorder="1" applyAlignment="1" applyProtection="1">
      <alignment vertical="center" wrapText="1"/>
    </xf>
    <xf numFmtId="0" fontId="104" fillId="0" borderId="10" xfId="0" applyFont="1" applyBorder="1" applyAlignment="1" applyProtection="1">
      <alignment vertical="center" wrapText="1"/>
    </xf>
    <xf numFmtId="0" fontId="105" fillId="0" borderId="10" xfId="0" applyFont="1" applyBorder="1" applyAlignment="1" applyProtection="1">
      <alignment vertical="center" wrapText="1"/>
    </xf>
    <xf numFmtId="0" fontId="106" fillId="0" borderId="10" xfId="0" applyFont="1" applyBorder="1" applyAlignment="1" applyProtection="1">
      <alignment vertical="center" wrapText="1"/>
    </xf>
    <xf numFmtId="0" fontId="107" fillId="0" borderId="10" xfId="0" applyFont="1" applyBorder="1" applyAlignment="1" applyProtection="1">
      <alignment vertical="center" wrapText="1"/>
    </xf>
    <xf numFmtId="0" fontId="108" fillId="0" borderId="10" xfId="0" applyFont="1" applyBorder="1" applyAlignment="1" applyProtection="1">
      <alignment vertical="center" wrapText="1"/>
    </xf>
    <xf numFmtId="0" fontId="109" fillId="0" borderId="10" xfId="0" applyFont="1" applyBorder="1" applyAlignment="1" applyProtection="1">
      <alignment vertical="center" wrapText="1"/>
    </xf>
    <xf numFmtId="0" fontId="110" fillId="0" borderId="10" xfId="0" applyFont="1" applyBorder="1" applyAlignment="1" applyProtection="1">
      <alignment vertical="center" wrapText="1"/>
    </xf>
    <xf numFmtId="0" fontId="111" fillId="0" borderId="10" xfId="0" applyFont="1" applyBorder="1" applyAlignment="1" applyProtection="1">
      <alignment vertical="center" wrapText="1"/>
    </xf>
    <xf numFmtId="0" fontId="112" fillId="0" borderId="10" xfId="0" applyFont="1" applyBorder="1" applyAlignment="1" applyProtection="1">
      <alignment vertical="center" wrapText="1"/>
    </xf>
    <xf numFmtId="0" fontId="113" fillId="0" borderId="10" xfId="0" applyFont="1" applyBorder="1" applyAlignment="1" applyProtection="1">
      <alignment vertical="center" wrapText="1"/>
    </xf>
    <xf numFmtId="0" fontId="114" fillId="0" borderId="10" xfId="0" applyFont="1" applyBorder="1" applyAlignment="1" applyProtection="1">
      <alignment vertical="center" wrapText="1"/>
    </xf>
    <xf numFmtId="0" fontId="115" fillId="0" borderId="10" xfId="0" applyFont="1" applyBorder="1" applyAlignment="1" applyProtection="1">
      <alignment vertical="center" wrapText="1"/>
    </xf>
    <xf numFmtId="0" fontId="116" fillId="0" borderId="10" xfId="0" applyFont="1" applyBorder="1" applyAlignment="1" applyProtection="1">
      <alignment vertical="center" wrapText="1"/>
    </xf>
    <xf numFmtId="0" fontId="117" fillId="0" borderId="10" xfId="0" applyFont="1" applyBorder="1" applyAlignment="1" applyProtection="1">
      <alignment vertical="center" wrapText="1"/>
    </xf>
    <xf numFmtId="0" fontId="118" fillId="0" borderId="10" xfId="0" applyFont="1" applyBorder="1" applyAlignment="1" applyProtection="1">
      <alignment vertical="center" wrapText="1"/>
    </xf>
    <xf numFmtId="0" fontId="119" fillId="0" borderId="10" xfId="0" applyFont="1" applyBorder="1" applyAlignment="1" applyProtection="1">
      <alignment vertical="center" wrapText="1"/>
    </xf>
    <xf numFmtId="0" fontId="120" fillId="0" borderId="10" xfId="0" applyFont="1" applyBorder="1" applyAlignment="1" applyProtection="1">
      <alignment vertical="center" wrapText="1"/>
    </xf>
    <xf numFmtId="0" fontId="121" fillId="0" borderId="10" xfId="0" applyFont="1" applyBorder="1" applyAlignment="1" applyProtection="1">
      <alignment vertical="center" wrapText="1"/>
    </xf>
    <xf numFmtId="0" fontId="122" fillId="0" borderId="10" xfId="0" applyFont="1" applyBorder="1" applyAlignment="1" applyProtection="1">
      <alignment vertical="center" wrapText="1"/>
    </xf>
    <xf numFmtId="0" fontId="123" fillId="0" borderId="10" xfId="0" applyFont="1" applyBorder="1" applyAlignment="1" applyProtection="1">
      <alignment vertical="center" wrapText="1"/>
    </xf>
    <xf numFmtId="0" fontId="124" fillId="0" borderId="10" xfId="0" applyFont="1" applyBorder="1" applyAlignment="1" applyProtection="1">
      <alignment vertical="center" wrapText="1"/>
    </xf>
    <xf numFmtId="0" fontId="125" fillId="0" borderId="10" xfId="0" applyFont="1" applyBorder="1" applyAlignment="1" applyProtection="1">
      <alignment vertical="center" wrapText="1"/>
    </xf>
    <xf numFmtId="0" fontId="126" fillId="0" borderId="10" xfId="0" applyFont="1" applyBorder="1" applyAlignment="1" applyProtection="1">
      <alignment vertical="center" wrapText="1"/>
    </xf>
    <xf numFmtId="0" fontId="127" fillId="0" borderId="10" xfId="0" applyFont="1" applyBorder="1" applyAlignment="1" applyProtection="1">
      <alignment vertical="center" wrapText="1"/>
    </xf>
    <xf numFmtId="0" fontId="128" fillId="0" borderId="10" xfId="0" applyFont="1" applyBorder="1" applyAlignment="1" applyProtection="1">
      <alignment vertical="center" wrapText="1"/>
    </xf>
    <xf numFmtId="0" fontId="129" fillId="0" borderId="10" xfId="0" applyFont="1" applyBorder="1" applyAlignment="1" applyProtection="1">
      <alignment vertical="center" wrapText="1"/>
    </xf>
    <xf numFmtId="0" fontId="130" fillId="0" borderId="10" xfId="0" applyFont="1" applyBorder="1" applyAlignment="1" applyProtection="1">
      <alignment vertical="center" wrapText="1"/>
    </xf>
    <xf numFmtId="0" fontId="131" fillId="0" borderId="4" xfId="0" applyFont="1" applyBorder="1" applyAlignment="1" applyProtection="1">
      <alignment horizontal="left" vertical="center" wrapText="1"/>
    </xf>
    <xf numFmtId="0" fontId="132" fillId="0" borderId="3" xfId="0" applyFont="1" applyBorder="1" applyAlignment="1" applyProtection="1">
      <alignment horizontal="left" vertical="center" wrapText="1"/>
    </xf>
    <xf numFmtId="0" fontId="133" fillId="0" borderId="0" xfId="0" applyFont="1" applyAlignment="1">
      <alignment vertical="center" wrapText="1"/>
    </xf>
    <xf numFmtId="0" fontId="134" fillId="0" borderId="3" xfId="0" applyFont="1" applyBorder="1" applyAlignment="1" applyProtection="1">
      <alignment horizontal="left" vertical="center" wrapText="1"/>
    </xf>
    <xf numFmtId="0" fontId="135" fillId="0" borderId="3" xfId="0" applyFont="1" applyBorder="1" applyAlignment="1" applyProtection="1">
      <alignment horizontal="left" vertical="center" wrapText="1"/>
    </xf>
    <xf numFmtId="0" fontId="136" fillId="0" borderId="3" xfId="0" applyFont="1" applyBorder="1" applyAlignment="1" applyProtection="1">
      <alignment horizontal="left" vertical="center" wrapText="1"/>
    </xf>
    <xf numFmtId="0" fontId="137" fillId="0" borderId="4" xfId="0" applyFont="1" applyBorder="1" applyAlignment="1" applyProtection="1">
      <alignment vertical="center" wrapText="1"/>
    </xf>
    <xf numFmtId="0" fontId="138" fillId="0" borderId="3" xfId="0" applyFont="1" applyBorder="1" applyAlignment="1" applyProtection="1">
      <alignment vertical="center" wrapText="1"/>
    </xf>
    <xf numFmtId="0" fontId="139" fillId="0" borderId="3" xfId="0" applyFont="1" applyBorder="1" applyAlignment="1" applyProtection="1">
      <alignment vertical="center" wrapText="1"/>
    </xf>
    <xf numFmtId="0" fontId="140" fillId="0" borderId="3" xfId="0" applyFont="1" applyBorder="1" applyAlignment="1" applyProtection="1">
      <alignment vertical="center" wrapText="1"/>
    </xf>
    <xf numFmtId="0" fontId="141" fillId="0" borderId="3" xfId="0" applyFont="1" applyBorder="1" applyAlignment="1" applyProtection="1">
      <alignment vertical="center" wrapText="1"/>
    </xf>
    <xf numFmtId="0" fontId="142" fillId="0" borderId="3" xfId="0" applyFont="1" applyBorder="1" applyAlignment="1" applyProtection="1">
      <alignment vertical="center" wrapText="1"/>
    </xf>
    <xf numFmtId="0" fontId="143" fillId="0" borderId="3" xfId="0" applyFont="1" applyBorder="1" applyAlignment="1" applyProtection="1">
      <alignment vertical="center" wrapText="1"/>
    </xf>
    <xf numFmtId="0" fontId="144" fillId="0" borderId="3" xfId="0" applyFont="1" applyBorder="1" applyAlignment="1" applyProtection="1">
      <alignment vertical="center" wrapText="1"/>
    </xf>
    <xf numFmtId="0" fontId="145" fillId="0" borderId="3" xfId="0" applyFont="1" applyBorder="1" applyAlignment="1" applyProtection="1">
      <alignment vertical="center" wrapText="1"/>
    </xf>
    <xf numFmtId="0" fontId="146" fillId="0" borderId="3" xfId="0" applyFont="1" applyBorder="1" applyAlignment="1" applyProtection="1">
      <alignment vertical="center" wrapText="1"/>
    </xf>
    <xf numFmtId="0" fontId="147" fillId="0" borderId="4" xfId="0" applyFont="1" applyBorder="1" applyAlignment="1" applyProtection="1">
      <alignment vertical="center" wrapText="1"/>
    </xf>
    <xf numFmtId="0" fontId="148" fillId="0" borderId="3" xfId="0" applyFont="1" applyBorder="1" applyAlignment="1" applyProtection="1">
      <alignment vertical="center" wrapText="1"/>
    </xf>
    <xf numFmtId="0" fontId="149" fillId="0" borderId="3" xfId="0" applyFont="1" applyBorder="1" applyAlignment="1" applyProtection="1">
      <alignment vertical="center" wrapText="1"/>
    </xf>
    <xf numFmtId="0" fontId="150" fillId="0" borderId="3" xfId="0" applyFont="1" applyBorder="1" applyAlignment="1" applyProtection="1">
      <alignment vertical="center" wrapText="1"/>
    </xf>
    <xf numFmtId="0" fontId="151" fillId="0" borderId="3" xfId="0" applyFont="1" applyBorder="1" applyAlignment="1" applyProtection="1">
      <alignment vertical="center" wrapText="1"/>
    </xf>
    <xf numFmtId="0" fontId="152" fillId="0" borderId="3" xfId="0" applyFont="1" applyBorder="1" applyAlignment="1" applyProtection="1">
      <alignment vertical="center" wrapText="1"/>
    </xf>
    <xf numFmtId="0" fontId="153" fillId="0" borderId="3" xfId="0" applyFont="1" applyBorder="1" applyAlignment="1" applyProtection="1">
      <alignment vertical="center" wrapText="1"/>
    </xf>
    <xf numFmtId="0" fontId="154" fillId="0" borderId="3" xfId="0" applyFont="1" applyBorder="1" applyAlignment="1" applyProtection="1">
      <alignment vertical="center" wrapText="1"/>
    </xf>
    <xf numFmtId="0" fontId="155" fillId="0" borderId="3" xfId="0" applyFont="1" applyBorder="1" applyAlignment="1" applyProtection="1">
      <alignment vertical="center" wrapText="1"/>
    </xf>
    <xf numFmtId="0" fontId="156" fillId="0" borderId="3" xfId="0" applyFont="1" applyBorder="1" applyAlignment="1" applyProtection="1">
      <alignment vertical="center" wrapText="1"/>
    </xf>
    <xf numFmtId="0" fontId="157" fillId="0" borderId="3" xfId="0" applyFont="1" applyBorder="1" applyAlignment="1" applyProtection="1">
      <alignment vertical="center" wrapText="1"/>
    </xf>
    <xf numFmtId="0" fontId="158" fillId="2" borderId="3" xfId="0" applyFont="1" applyFill="1" applyBorder="1" applyAlignment="1" applyProtection="1">
      <alignment vertical="center" wrapText="1"/>
    </xf>
    <xf numFmtId="0" fontId="159" fillId="0" borderId="4" xfId="0" applyFont="1" applyBorder="1" applyAlignment="1" applyProtection="1">
      <alignment horizontal="left" vertical="center" wrapText="1"/>
    </xf>
    <xf numFmtId="0" fontId="160" fillId="0" borderId="4" xfId="0" applyFont="1" applyBorder="1" applyAlignment="1" applyProtection="1">
      <alignment horizontal="left" vertical="center" wrapText="1"/>
    </xf>
    <xf numFmtId="0" fontId="161" fillId="0" borderId="3" xfId="0" applyFont="1" applyBorder="1" applyAlignment="1" applyProtection="1">
      <alignment horizontal="left" vertical="center" wrapText="1"/>
    </xf>
    <xf numFmtId="0" fontId="162" fillId="0" borderId="3" xfId="0" applyFont="1" applyBorder="1" applyAlignment="1" applyProtection="1">
      <alignment horizontal="left" vertical="center" wrapText="1"/>
    </xf>
    <xf numFmtId="0" fontId="163" fillId="0" borderId="3" xfId="0" applyFont="1" applyBorder="1" applyAlignment="1" applyProtection="1">
      <alignment horizontal="left" vertical="center" wrapText="1"/>
    </xf>
    <xf numFmtId="0" fontId="164" fillId="0" borderId="3" xfId="0" applyFont="1" applyBorder="1" applyAlignment="1" applyProtection="1">
      <alignment horizontal="left" vertical="center" wrapText="1"/>
    </xf>
    <xf numFmtId="0" fontId="165" fillId="0" borderId="3" xfId="0" applyFont="1" applyBorder="1" applyAlignment="1" applyProtection="1">
      <alignment horizontal="left" vertical="center" wrapText="1"/>
    </xf>
    <xf numFmtId="0" fontId="166" fillId="0" borderId="3" xfId="0" applyFont="1" applyBorder="1" applyAlignment="1" applyProtection="1">
      <alignment horizontal="left" vertical="center" wrapText="1"/>
    </xf>
    <xf numFmtId="0" fontId="167" fillId="0" borderId="3" xfId="0" applyFont="1" applyBorder="1" applyAlignment="1" applyProtection="1">
      <alignment horizontal="left" vertical="center" wrapText="1"/>
    </xf>
    <xf numFmtId="0" fontId="168" fillId="0" borderId="3" xfId="0" applyFont="1" applyBorder="1" applyAlignment="1" applyProtection="1">
      <alignment horizontal="left" vertical="center" wrapText="1"/>
    </xf>
    <xf numFmtId="0" fontId="169" fillId="0" borderId="3" xfId="0" applyFont="1" applyBorder="1" applyAlignment="1" applyProtection="1">
      <alignment horizontal="left" vertical="center" wrapText="1"/>
    </xf>
    <xf numFmtId="0" fontId="170" fillId="0" borderId="3" xfId="0" applyFont="1" applyBorder="1" applyAlignment="1" applyProtection="1">
      <alignment vertical="center" wrapText="1"/>
    </xf>
    <xf numFmtId="0" fontId="171" fillId="0" borderId="3" xfId="0" applyFont="1" applyBorder="1" applyAlignment="1" applyProtection="1">
      <alignment vertical="center" wrapText="1"/>
    </xf>
    <xf numFmtId="0" fontId="172" fillId="0" borderId="3" xfId="0" applyFont="1" applyBorder="1" applyAlignment="1" applyProtection="1">
      <alignment vertical="center" wrapText="1"/>
    </xf>
    <xf numFmtId="0" fontId="173" fillId="0" borderId="3" xfId="0" applyFont="1" applyBorder="1" applyAlignment="1" applyProtection="1">
      <alignment vertical="center" wrapText="1"/>
    </xf>
    <xf numFmtId="0" fontId="174" fillId="0" borderId="3" xfId="0" applyFont="1" applyBorder="1" applyAlignment="1" applyProtection="1">
      <alignment vertical="center" wrapText="1"/>
    </xf>
    <xf numFmtId="0" fontId="175" fillId="0" borderId="3" xfId="0" applyFont="1" applyBorder="1" applyAlignment="1" applyProtection="1">
      <alignment vertical="center" wrapText="1"/>
    </xf>
    <xf numFmtId="0" fontId="176" fillId="0" borderId="3" xfId="0" applyFont="1" applyBorder="1" applyAlignment="1" applyProtection="1">
      <alignment vertical="center" wrapText="1"/>
    </xf>
    <xf numFmtId="0" fontId="177" fillId="0" borderId="3" xfId="0" applyFont="1" applyBorder="1" applyAlignment="1" applyProtection="1">
      <alignment vertical="center" wrapText="1"/>
    </xf>
    <xf numFmtId="0" fontId="178" fillId="0" borderId="3" xfId="0" applyFont="1" applyBorder="1" applyAlignment="1" applyProtection="1">
      <alignment vertical="center" wrapText="1"/>
    </xf>
    <xf numFmtId="0" fontId="179" fillId="0" borderId="3" xfId="0" applyFont="1" applyBorder="1" applyAlignment="1" applyProtection="1">
      <alignment horizontal="left" vertical="center" wrapText="1"/>
    </xf>
    <xf numFmtId="0" fontId="180" fillId="0" borderId="3" xfId="0" applyFont="1" applyBorder="1" applyAlignment="1" applyProtection="1">
      <alignment horizontal="left" vertical="center" wrapText="1"/>
    </xf>
    <xf numFmtId="0" fontId="181" fillId="0" borderId="3" xfId="0" applyFont="1" applyBorder="1" applyAlignment="1" applyProtection="1">
      <alignment vertical="center" wrapText="1"/>
    </xf>
    <xf numFmtId="0" fontId="182" fillId="0" borderId="3" xfId="0" applyFont="1" applyBorder="1" applyAlignment="1" applyProtection="1">
      <alignment vertical="center" wrapText="1"/>
    </xf>
    <xf numFmtId="0" fontId="183" fillId="0" borderId="4" xfId="0" applyFont="1" applyBorder="1" applyAlignment="1" applyProtection="1">
      <alignment horizontal="left" vertical="center" wrapText="1"/>
    </xf>
    <xf numFmtId="0" fontId="184" fillId="0" borderId="4" xfId="0" applyFont="1" applyBorder="1" applyAlignment="1" applyProtection="1">
      <alignment horizontal="left" vertical="center" wrapText="1"/>
    </xf>
    <xf numFmtId="0" fontId="185" fillId="0" borderId="4" xfId="0" applyFont="1" applyBorder="1" applyAlignment="1" applyProtection="1">
      <alignment horizontal="left" vertical="center" wrapText="1"/>
    </xf>
    <xf numFmtId="0" fontId="186" fillId="0" borderId="4" xfId="0" applyFont="1" applyBorder="1" applyAlignment="1" applyProtection="1">
      <alignment horizontal="left" vertical="center" wrapText="1"/>
    </xf>
    <xf numFmtId="0" fontId="187" fillId="0" borderId="4" xfId="0" applyFont="1" applyBorder="1" applyAlignment="1" applyProtection="1">
      <alignment horizontal="left" vertical="center" wrapText="1"/>
    </xf>
    <xf numFmtId="0" fontId="188" fillId="0" borderId="4" xfId="0" applyFont="1" applyBorder="1" applyAlignment="1" applyProtection="1">
      <alignment horizontal="left" vertical="center" wrapText="1"/>
    </xf>
    <xf numFmtId="0" fontId="189" fillId="0" borderId="4" xfId="0" applyFont="1" applyBorder="1" applyAlignment="1" applyProtection="1">
      <alignment horizontal="left" vertical="center" wrapText="1"/>
    </xf>
    <xf numFmtId="0" fontId="190" fillId="0" borderId="4" xfId="0" applyFont="1" applyBorder="1" applyAlignment="1" applyProtection="1">
      <alignment horizontal="left" vertical="center" wrapText="1"/>
    </xf>
    <xf numFmtId="0" fontId="191" fillId="0" borderId="3" xfId="0" applyFont="1" applyBorder="1" applyAlignment="1" applyProtection="1">
      <alignment horizontal="left" vertical="center" wrapText="1"/>
    </xf>
    <xf numFmtId="0" fontId="192" fillId="0" borderId="3" xfId="0" applyFont="1" applyBorder="1" applyAlignment="1" applyProtection="1">
      <alignment horizontal="left" vertical="center" wrapText="1"/>
    </xf>
    <xf numFmtId="0" fontId="193" fillId="0" borderId="3" xfId="0" applyFont="1" applyBorder="1" applyAlignment="1" applyProtection="1">
      <alignment horizontal="left" vertical="center" wrapText="1"/>
    </xf>
    <xf numFmtId="0" fontId="194" fillId="0" borderId="3" xfId="0" applyFont="1" applyBorder="1" applyAlignment="1" applyProtection="1">
      <alignment horizontal="left" vertical="center" wrapText="1"/>
    </xf>
    <xf numFmtId="0" fontId="195" fillId="0" borderId="4" xfId="0" applyFont="1" applyBorder="1" applyAlignment="1" applyProtection="1">
      <alignment horizontal="left" vertical="center" wrapText="1"/>
    </xf>
    <xf numFmtId="0" fontId="196" fillId="0" borderId="3" xfId="0" applyFont="1" applyBorder="1" applyAlignment="1" applyProtection="1">
      <alignment horizontal="left" vertical="center" wrapText="1"/>
    </xf>
    <xf numFmtId="0" fontId="197" fillId="0" borderId="3" xfId="0" applyFont="1" applyBorder="1" applyAlignment="1" applyProtection="1">
      <alignment horizontal="left" vertical="center" wrapText="1"/>
    </xf>
    <xf numFmtId="0" fontId="198" fillId="0" borderId="3" xfId="0" applyFont="1" applyBorder="1" applyAlignment="1" applyProtection="1">
      <alignment horizontal="left" vertical="center" wrapText="1"/>
    </xf>
    <xf numFmtId="0" fontId="199" fillId="0" borderId="3" xfId="0" applyFont="1" applyBorder="1" applyAlignment="1" applyProtection="1">
      <alignment horizontal="left" vertical="center" wrapText="1"/>
    </xf>
    <xf numFmtId="0" fontId="200" fillId="0" borderId="3" xfId="0" applyFont="1" applyBorder="1" applyAlignment="1" applyProtection="1">
      <alignment horizontal="left" vertical="center" wrapText="1"/>
    </xf>
    <xf numFmtId="0" fontId="201" fillId="0" borderId="3" xfId="0" applyFont="1" applyBorder="1" applyAlignment="1" applyProtection="1">
      <alignment horizontal="left" vertical="center" wrapText="1"/>
    </xf>
    <xf numFmtId="0" fontId="202" fillId="0" borderId="3" xfId="0" applyFont="1" applyBorder="1" applyAlignment="1" applyProtection="1">
      <alignment horizontal="left" vertical="center" wrapText="1"/>
    </xf>
    <xf numFmtId="0" fontId="203" fillId="0" borderId="4" xfId="0" applyFont="1" applyBorder="1" applyAlignment="1" applyProtection="1">
      <alignment horizontal="left" vertical="center" wrapText="1"/>
    </xf>
    <xf numFmtId="0" fontId="204" fillId="0" borderId="3" xfId="0" applyFont="1" applyBorder="1" applyAlignment="1" applyProtection="1">
      <alignment horizontal="left" vertical="center" wrapText="1"/>
    </xf>
    <xf numFmtId="0" fontId="205" fillId="0" borderId="3" xfId="0" applyFont="1" applyBorder="1" applyAlignment="1" applyProtection="1">
      <alignment horizontal="left" vertical="center" wrapText="1"/>
    </xf>
    <xf numFmtId="0" fontId="206" fillId="0" borderId="3" xfId="0" applyFont="1" applyBorder="1" applyAlignment="1" applyProtection="1">
      <alignment horizontal="left" vertical="center" wrapText="1"/>
    </xf>
    <xf numFmtId="0" fontId="207" fillId="0" borderId="4" xfId="0" applyFont="1" applyBorder="1" applyAlignment="1" applyProtection="1">
      <alignment horizontal="left" vertical="center" wrapText="1"/>
    </xf>
    <xf numFmtId="0" fontId="208" fillId="0" borderId="3" xfId="0" applyFont="1" applyBorder="1" applyAlignment="1" applyProtection="1">
      <alignment horizontal="left" vertical="center" wrapText="1"/>
    </xf>
    <xf numFmtId="0" fontId="209" fillId="0" borderId="3" xfId="0" applyFont="1" applyBorder="1" applyAlignment="1" applyProtection="1">
      <alignment horizontal="left" vertical="center" wrapText="1"/>
    </xf>
    <xf numFmtId="0" fontId="210" fillId="0" borderId="3" xfId="0" applyFont="1" applyBorder="1" applyAlignment="1" applyProtection="1">
      <alignment horizontal="left" vertical="center" wrapText="1"/>
    </xf>
    <xf numFmtId="0" fontId="211" fillId="0" borderId="3" xfId="0" applyFont="1" applyBorder="1" applyAlignment="1" applyProtection="1">
      <alignment horizontal="left" vertical="center" wrapText="1"/>
    </xf>
    <xf numFmtId="0" fontId="212" fillId="0" borderId="4" xfId="0" applyFont="1" applyBorder="1" applyAlignment="1" applyProtection="1">
      <alignment horizontal="left" vertical="center" wrapText="1"/>
    </xf>
    <xf numFmtId="0" fontId="213" fillId="0" borderId="11" xfId="0" applyFont="1" applyBorder="1" applyAlignment="1" applyProtection="1">
      <alignment horizontal="left" vertical="center" wrapText="1"/>
    </xf>
    <xf numFmtId="0" fontId="214" fillId="0" borderId="0" xfId="0" applyFont="1" applyAlignment="1">
      <alignment horizontal="center" vertical="center" wrapText="1"/>
    </xf>
    <xf numFmtId="0" fontId="215" fillId="0" borderId="4" xfId="0" applyFont="1" applyBorder="1" applyAlignment="1" applyProtection="1">
      <alignment horizontal="left" vertical="center" wrapText="1"/>
    </xf>
    <xf numFmtId="0" fontId="216" fillId="0" borderId="4" xfId="0" applyFont="1" applyBorder="1" applyAlignment="1" applyProtection="1">
      <alignment horizontal="left" vertical="center" wrapText="1"/>
    </xf>
    <xf numFmtId="0" fontId="217" fillId="0" borderId="4" xfId="0" applyFont="1" applyBorder="1" applyAlignment="1" applyProtection="1">
      <alignment horizontal="left" vertical="center" wrapText="1"/>
    </xf>
    <xf numFmtId="0" fontId="218" fillId="0" borderId="4" xfId="0" applyFont="1" applyBorder="1" applyAlignment="1" applyProtection="1">
      <alignment horizontal="left" vertical="center" wrapText="1"/>
    </xf>
    <xf numFmtId="0" fontId="219" fillId="0" borderId="4" xfId="0" applyFont="1" applyBorder="1" applyAlignment="1" applyProtection="1">
      <alignment horizontal="left" vertical="center" wrapText="1"/>
    </xf>
    <xf numFmtId="0" fontId="220" fillId="0" borderId="4" xfId="0" applyFont="1" applyBorder="1" applyAlignment="1" applyProtection="1">
      <alignment horizontal="left" vertical="center" wrapText="1"/>
    </xf>
    <xf numFmtId="0" fontId="221" fillId="0" borderId="4" xfId="0" applyFont="1" applyBorder="1" applyAlignment="1" applyProtection="1">
      <alignment horizontal="left" vertical="center" wrapText="1"/>
    </xf>
    <xf numFmtId="0" fontId="222" fillId="0" borderId="4" xfId="0" applyFont="1" applyBorder="1" applyAlignment="1" applyProtection="1">
      <alignment vertical="center" wrapText="1"/>
    </xf>
    <xf numFmtId="0" fontId="223" fillId="0" borderId="3" xfId="0" applyFont="1" applyBorder="1" applyAlignment="1" applyProtection="1">
      <alignment vertical="center" wrapText="1"/>
    </xf>
    <xf numFmtId="0" fontId="224" fillId="0" borderId="3" xfId="0" applyFont="1" applyBorder="1" applyAlignment="1" applyProtection="1">
      <alignment vertical="center" wrapText="1"/>
    </xf>
    <xf numFmtId="0" fontId="225" fillId="0" borderId="3" xfId="0" applyFont="1" applyBorder="1" applyAlignment="1" applyProtection="1">
      <alignment vertical="center" wrapText="1"/>
    </xf>
    <xf numFmtId="0" fontId="226" fillId="0" borderId="3" xfId="0" applyFont="1" applyBorder="1" applyAlignment="1" applyProtection="1">
      <alignment vertical="center" wrapText="1"/>
    </xf>
    <xf numFmtId="0" fontId="227" fillId="0" borderId="3" xfId="0" applyFont="1" applyBorder="1" applyAlignment="1" applyProtection="1">
      <alignment vertical="center" wrapText="1"/>
    </xf>
    <xf numFmtId="0" fontId="228" fillId="0" borderId="3" xfId="0" applyFont="1" applyBorder="1" applyAlignment="1" applyProtection="1">
      <alignment vertical="center" wrapText="1"/>
    </xf>
    <xf numFmtId="0" fontId="229" fillId="0" borderId="3" xfId="0" applyFont="1" applyBorder="1" applyAlignment="1" applyProtection="1">
      <alignment vertical="center" wrapText="1"/>
    </xf>
    <xf numFmtId="0" fontId="230" fillId="0" borderId="3" xfId="0" applyFont="1" applyBorder="1" applyAlignment="1" applyProtection="1">
      <alignment vertical="center" wrapText="1"/>
    </xf>
    <xf numFmtId="0" fontId="231" fillId="2" borderId="3" xfId="0" applyFont="1" applyFill="1" applyBorder="1" applyAlignment="1" applyProtection="1">
      <alignment vertical="center" wrapText="1"/>
    </xf>
    <xf numFmtId="0" fontId="232" fillId="2" borderId="4" xfId="0" applyFont="1" applyFill="1" applyBorder="1" applyAlignment="1" applyProtection="1">
      <alignment vertical="center" wrapText="1"/>
    </xf>
    <xf numFmtId="0" fontId="233" fillId="2" borderId="3" xfId="0" applyFont="1" applyFill="1" applyBorder="1" applyAlignment="1" applyProtection="1">
      <alignment vertical="center" wrapText="1"/>
    </xf>
    <xf numFmtId="0" fontId="234" fillId="2" borderId="3" xfId="0" applyFont="1" applyFill="1" applyBorder="1" applyAlignment="1" applyProtection="1">
      <alignment vertical="center" wrapText="1"/>
    </xf>
    <xf numFmtId="0" fontId="235" fillId="2" borderId="3" xfId="0" applyFont="1" applyFill="1" applyBorder="1" applyAlignment="1" applyProtection="1">
      <alignment vertical="center" wrapText="1"/>
    </xf>
    <xf numFmtId="0" fontId="236" fillId="2" borderId="3" xfId="0" applyFont="1" applyFill="1" applyBorder="1" applyAlignment="1" applyProtection="1">
      <alignment vertical="center" wrapText="1"/>
    </xf>
    <xf numFmtId="0" fontId="237" fillId="2" borderId="3" xfId="0" applyFont="1" applyFill="1" applyBorder="1" applyAlignment="1" applyProtection="1">
      <alignment vertical="center" wrapText="1"/>
    </xf>
    <xf numFmtId="0" fontId="238" fillId="2" borderId="3" xfId="0" applyFont="1" applyFill="1" applyBorder="1" applyAlignment="1" applyProtection="1">
      <alignment vertical="center" wrapText="1"/>
    </xf>
    <xf numFmtId="0" fontId="239" fillId="2" borderId="3" xfId="0" applyFont="1" applyFill="1" applyBorder="1" applyAlignment="1" applyProtection="1">
      <alignment vertical="center" wrapText="1"/>
    </xf>
    <xf numFmtId="0" fontId="240" fillId="2" borderId="3" xfId="0" applyFont="1" applyFill="1" applyBorder="1" applyAlignment="1" applyProtection="1">
      <alignment vertical="center" wrapText="1"/>
    </xf>
    <xf numFmtId="0" fontId="241" fillId="2" borderId="3" xfId="0" applyFont="1" applyFill="1" applyBorder="1" applyAlignment="1" applyProtection="1">
      <alignment vertical="center" wrapText="1"/>
    </xf>
    <xf numFmtId="0" fontId="242" fillId="2" borderId="3" xfId="0" applyFont="1" applyFill="1" applyBorder="1" applyAlignment="1" applyProtection="1">
      <alignment vertical="center" wrapText="1"/>
    </xf>
    <xf numFmtId="0" fontId="243" fillId="2" borderId="3" xfId="0" applyFont="1" applyFill="1" applyBorder="1" applyAlignment="1" applyProtection="1">
      <alignment vertical="center" wrapText="1"/>
    </xf>
    <xf numFmtId="0" fontId="244" fillId="0" borderId="4" xfId="0" applyFont="1" applyBorder="1" applyAlignment="1" applyProtection="1">
      <alignment horizontal="left" vertical="center" wrapText="1"/>
    </xf>
    <xf numFmtId="0" fontId="245" fillId="0" borderId="4" xfId="0" applyFont="1" applyBorder="1" applyAlignment="1" applyProtection="1">
      <alignment horizontal="left" vertical="center" wrapText="1"/>
    </xf>
    <xf numFmtId="0" fontId="246" fillId="0" borderId="3" xfId="0" applyFont="1" applyBorder="1" applyAlignment="1" applyProtection="1">
      <alignment horizontal="left" vertical="center" wrapText="1"/>
    </xf>
    <xf numFmtId="0" fontId="247" fillId="0" borderId="3" xfId="0" applyFont="1" applyBorder="1" applyAlignment="1" applyProtection="1">
      <alignment horizontal="left" vertical="center" wrapText="1"/>
    </xf>
    <xf numFmtId="0" fontId="248" fillId="5" borderId="3" xfId="0" applyFont="1" applyFill="1" applyBorder="1" applyAlignment="1" applyProtection="1">
      <alignment vertical="center" wrapText="1"/>
    </xf>
    <xf numFmtId="0" fontId="249" fillId="0" borderId="23" xfId="0" applyFont="1" applyBorder="1" applyAlignment="1" applyProtection="1">
      <alignment vertical="center" wrapText="1"/>
    </xf>
    <xf numFmtId="0" fontId="250" fillId="0" borderId="24" xfId="0" applyFont="1" applyBorder="1" applyAlignment="1" applyProtection="1">
      <alignment vertical="center" wrapText="1"/>
    </xf>
    <xf numFmtId="0" fontId="251" fillId="0" borderId="9" xfId="0" applyFont="1" applyBorder="1" applyAlignment="1" applyProtection="1">
      <alignment vertical="center" wrapText="1"/>
    </xf>
    <xf numFmtId="0" fontId="252" fillId="0" borderId="10" xfId="0" applyFont="1" applyBorder="1" applyAlignment="1" applyProtection="1">
      <alignment vertical="center" wrapText="1"/>
    </xf>
    <xf numFmtId="0" fontId="253" fillId="0" borderId="9" xfId="0" applyFont="1" applyBorder="1" applyAlignment="1" applyProtection="1">
      <alignment vertical="center" wrapText="1"/>
    </xf>
    <xf numFmtId="0" fontId="254" fillId="0" borderId="10" xfId="0" applyFont="1" applyBorder="1" applyAlignment="1" applyProtection="1">
      <alignment vertical="center" wrapText="1"/>
    </xf>
    <xf numFmtId="0" fontId="255" fillId="0" borderId="9" xfId="0" applyFont="1" applyBorder="1" applyAlignment="1" applyProtection="1">
      <alignment vertical="center" wrapText="1"/>
    </xf>
    <xf numFmtId="0" fontId="256" fillId="0" borderId="10" xfId="0" applyFont="1" applyBorder="1" applyAlignment="1" applyProtection="1">
      <alignment vertical="center" wrapText="1"/>
    </xf>
    <xf numFmtId="0" fontId="257" fillId="0" borderId="9" xfId="0" applyFont="1" applyBorder="1" applyAlignment="1" applyProtection="1">
      <alignment vertical="center" wrapText="1"/>
    </xf>
    <xf numFmtId="0" fontId="258" fillId="0" borderId="10" xfId="0" applyFont="1" applyBorder="1" applyAlignment="1" applyProtection="1">
      <alignment vertical="center" wrapText="1"/>
    </xf>
    <xf numFmtId="0" fontId="259" fillId="0" borderId="9" xfId="0" applyFont="1" applyBorder="1" applyAlignment="1" applyProtection="1">
      <alignment vertical="center" wrapText="1"/>
    </xf>
    <xf numFmtId="0" fontId="260" fillId="0" borderId="10" xfId="0" applyFont="1" applyBorder="1" applyAlignment="1" applyProtection="1">
      <alignment vertical="center" wrapText="1"/>
    </xf>
    <xf numFmtId="0" fontId="261" fillId="0" borderId="10" xfId="0" applyFont="1" applyBorder="1" applyAlignment="1" applyProtection="1">
      <alignment vertical="center" wrapText="1"/>
    </xf>
    <xf numFmtId="0" fontId="262" fillId="0" borderId="9" xfId="0" applyFont="1" applyBorder="1" applyAlignment="1" applyProtection="1">
      <alignment vertical="center" wrapText="1"/>
    </xf>
    <xf numFmtId="0" fontId="263" fillId="0" borderId="10" xfId="0" applyFont="1" applyBorder="1" applyAlignment="1" applyProtection="1">
      <alignment vertical="center" wrapText="1"/>
    </xf>
    <xf numFmtId="0" fontId="264" fillId="0" borderId="9" xfId="0" applyFont="1" applyBorder="1" applyAlignment="1" applyProtection="1">
      <alignment vertical="center" wrapText="1"/>
    </xf>
    <xf numFmtId="0" fontId="265" fillId="0" borderId="10" xfId="0" applyFont="1" applyBorder="1" applyAlignment="1" applyProtection="1">
      <alignment vertical="center" wrapText="1"/>
    </xf>
    <xf numFmtId="0" fontId="266" fillId="0" borderId="9" xfId="0" applyFont="1" applyBorder="1" applyAlignment="1" applyProtection="1">
      <alignment vertical="center" wrapText="1"/>
    </xf>
    <xf numFmtId="0" fontId="267" fillId="0" borderId="9" xfId="0" applyFont="1" applyBorder="1" applyAlignment="1" applyProtection="1">
      <alignment vertical="center" wrapText="1"/>
    </xf>
    <xf numFmtId="0" fontId="268" fillId="0" borderId="10" xfId="0" applyFont="1" applyBorder="1" applyAlignment="1" applyProtection="1">
      <alignment vertical="center" wrapText="1"/>
    </xf>
    <xf numFmtId="0" fontId="269" fillId="0" borderId="3" xfId="0" applyFont="1" applyBorder="1" applyAlignment="1" applyProtection="1">
      <alignment horizontal="left" vertical="center" wrapText="1"/>
    </xf>
    <xf numFmtId="0" fontId="270" fillId="0" borderId="4" xfId="0" applyFont="1" applyBorder="1" applyAlignment="1" applyProtection="1">
      <alignment horizontal="left" vertical="center" wrapText="1"/>
    </xf>
    <xf numFmtId="0" fontId="271" fillId="0" borderId="3" xfId="0" applyFont="1" applyBorder="1" applyAlignment="1" applyProtection="1">
      <alignment vertical="center" wrapText="1"/>
    </xf>
    <xf numFmtId="0" fontId="272" fillId="0" borderId="4" xfId="0" applyFont="1" applyBorder="1" applyAlignment="1" applyProtection="1">
      <alignment vertical="center" wrapText="1"/>
    </xf>
    <xf numFmtId="0" fontId="273" fillId="0" borderId="3" xfId="0" applyFont="1" applyBorder="1" applyAlignment="1" applyProtection="1">
      <alignment vertical="center" wrapText="1"/>
    </xf>
    <xf numFmtId="0" fontId="274" fillId="0" borderId="4" xfId="0" applyFont="1" applyBorder="1" applyAlignment="1" applyProtection="1">
      <alignment vertical="center" wrapText="1"/>
    </xf>
    <xf numFmtId="0" fontId="275" fillId="0" borderId="4" xfId="0" applyFont="1" applyBorder="1" applyAlignment="1" applyProtection="1">
      <alignment horizontal="left" vertical="center" wrapText="1"/>
    </xf>
    <xf numFmtId="0" fontId="276" fillId="0" borderId="3" xfId="0" applyFont="1" applyBorder="1" applyAlignment="1" applyProtection="1">
      <alignment horizontal="left" vertical="center" wrapText="1"/>
    </xf>
    <xf numFmtId="0" fontId="277" fillId="0" borderId="3" xfId="0" applyFont="1" applyBorder="1" applyAlignment="1" applyProtection="1">
      <alignment horizontal="left" vertical="center" wrapText="1"/>
    </xf>
    <xf numFmtId="0" fontId="278" fillId="0" borderId="3" xfId="0" applyFont="1" applyBorder="1" applyAlignment="1" applyProtection="1">
      <alignment horizontal="left" vertical="center" wrapText="1"/>
    </xf>
    <xf numFmtId="0" fontId="279" fillId="0" borderId="3" xfId="0" applyFont="1" applyBorder="1" applyAlignment="1" applyProtection="1">
      <alignment horizontal="left" vertical="center" wrapText="1"/>
    </xf>
    <xf numFmtId="0" fontId="280" fillId="0" borderId="4" xfId="0" applyFont="1" applyBorder="1" applyAlignment="1" applyProtection="1">
      <alignment horizontal="left" vertical="center" wrapText="1"/>
    </xf>
    <xf numFmtId="0" fontId="281" fillId="0" borderId="11" xfId="0" applyFont="1" applyBorder="1" applyAlignment="1" applyProtection="1">
      <alignment horizontal="left" vertical="center" wrapText="1"/>
    </xf>
    <xf numFmtId="0" fontId="282" fillId="0" borderId="0" xfId="0" applyFont="1" applyAlignment="1">
      <alignment horizontal="center" vertical="center" wrapText="1"/>
    </xf>
    <xf numFmtId="0" fontId="283" fillId="0" borderId="4" xfId="0" applyFont="1" applyBorder="1" applyAlignment="1" applyProtection="1">
      <alignment horizontal="left" vertical="center" wrapText="1"/>
    </xf>
    <xf numFmtId="0" fontId="284" fillId="0" borderId="4" xfId="0" applyFont="1" applyBorder="1" applyAlignment="1" applyProtection="1">
      <alignment horizontal="left" vertical="center" wrapText="1"/>
    </xf>
    <xf numFmtId="0" fontId="285" fillId="0" borderId="4" xfId="0" applyFont="1" applyBorder="1" applyAlignment="1" applyProtection="1">
      <alignment horizontal="left" vertical="center" wrapText="1"/>
    </xf>
    <xf numFmtId="0" fontId="286" fillId="0" borderId="4" xfId="0" applyFont="1" applyBorder="1" applyAlignment="1" applyProtection="1">
      <alignment horizontal="left" vertical="center" wrapText="1"/>
    </xf>
    <xf numFmtId="0" fontId="287" fillId="0" borderId="4" xfId="0" applyFont="1" applyBorder="1" applyAlignment="1" applyProtection="1">
      <alignment horizontal="left" vertical="center" wrapText="1"/>
    </xf>
    <xf numFmtId="0" fontId="288" fillId="0" borderId="4" xfId="0" applyFont="1" applyBorder="1" applyAlignment="1" applyProtection="1">
      <alignment horizontal="left" vertical="center" wrapText="1"/>
    </xf>
    <xf numFmtId="0" fontId="289" fillId="0" borderId="4" xfId="0" applyFont="1" applyBorder="1" applyAlignment="1" applyProtection="1">
      <alignment horizontal="left" vertical="center" wrapText="1"/>
    </xf>
    <xf numFmtId="0" fontId="290" fillId="0" borderId="3" xfId="0" applyFont="1" applyBorder="1" applyAlignment="1" applyProtection="1">
      <alignment horizontal="left" vertical="center" wrapText="1"/>
    </xf>
    <xf numFmtId="0" fontId="291" fillId="0" borderId="3" xfId="0" applyFont="1" applyBorder="1" applyAlignment="1" applyProtection="1">
      <alignment horizontal="left" vertical="center" wrapText="1"/>
    </xf>
    <xf numFmtId="0" fontId="292" fillId="0" borderId="25" xfId="0" applyFont="1" applyBorder="1" applyAlignment="1" applyProtection="1">
      <alignment horizontal="left" vertical="center" wrapText="1"/>
    </xf>
    <xf numFmtId="0" fontId="293" fillId="0" borderId="3" xfId="0" applyFont="1" applyBorder="1" applyAlignment="1" applyProtection="1">
      <alignment horizontal="left" vertical="center" wrapText="1"/>
    </xf>
    <xf numFmtId="0" fontId="294" fillId="0" borderId="25" xfId="0" applyFont="1" applyBorder="1" applyAlignment="1" applyProtection="1">
      <alignment horizontal="left" vertical="center" wrapText="1"/>
    </xf>
    <xf numFmtId="0" fontId="295" fillId="0" borderId="3" xfId="0" applyFont="1" applyBorder="1" applyAlignment="1" applyProtection="1">
      <alignment horizontal="left" vertical="center" wrapText="1"/>
    </xf>
    <xf numFmtId="0" fontId="296" fillId="0" borderId="25" xfId="0" applyFont="1" applyBorder="1" applyAlignment="1" applyProtection="1">
      <alignment horizontal="left" vertical="center" wrapText="1"/>
    </xf>
    <xf numFmtId="0" fontId="297" fillId="0" borderId="3" xfId="0" applyFont="1" applyBorder="1" applyAlignment="1" applyProtection="1">
      <alignment horizontal="left" vertical="center" wrapText="1"/>
    </xf>
    <xf numFmtId="0" fontId="298" fillId="0" borderId="3" xfId="0" applyFont="1" applyBorder="1" applyAlignment="1" applyProtection="1">
      <alignment horizontal="left" vertical="center" wrapText="1"/>
    </xf>
    <xf numFmtId="0" fontId="299" fillId="0" borderId="3" xfId="0" applyFont="1" applyBorder="1" applyAlignment="1" applyProtection="1">
      <alignment horizontal="left" vertical="center" wrapText="1"/>
    </xf>
    <xf numFmtId="0" fontId="300" fillId="0" borderId="3" xfId="0" applyFont="1" applyBorder="1" applyAlignment="1" applyProtection="1">
      <alignment horizontal="left" vertical="center" wrapText="1"/>
    </xf>
    <xf numFmtId="0" fontId="301" fillId="0" borderId="3" xfId="0" applyFont="1" applyBorder="1" applyAlignment="1" applyProtection="1">
      <alignment horizontal="left" vertical="center" wrapText="1"/>
    </xf>
    <xf numFmtId="0" fontId="302" fillId="0" borderId="3" xfId="0" applyFont="1" applyBorder="1" applyAlignment="1" applyProtection="1">
      <alignment horizontal="left" vertical="center" wrapText="1"/>
    </xf>
    <xf numFmtId="0" fontId="303" fillId="0" borderId="3" xfId="0" applyFont="1" applyBorder="1" applyAlignment="1" applyProtection="1">
      <alignment horizontal="left" vertical="center" wrapText="1"/>
    </xf>
    <xf numFmtId="0" fontId="304" fillId="5" borderId="3" xfId="0" applyFont="1" applyFill="1" applyBorder="1" applyAlignment="1" applyProtection="1">
      <alignment horizontal="left" vertical="center" wrapText="1"/>
    </xf>
    <xf numFmtId="0" fontId="305" fillId="3" borderId="0" xfId="0" applyFont="1" applyFill="1" applyAlignment="1">
      <alignment horizontal="left" vertical="center" wrapText="1"/>
    </xf>
    <xf numFmtId="0" fontId="306" fillId="3" borderId="3" xfId="0" applyFont="1" applyFill="1" applyBorder="1" applyAlignment="1" applyProtection="1">
      <alignment horizontal="left" vertical="center" wrapText="1"/>
    </xf>
    <xf numFmtId="0" fontId="307" fillId="3" borderId="0" xfId="0" applyFont="1" applyFill="1" applyAlignment="1">
      <alignment horizontal="left" vertical="center" wrapText="1"/>
    </xf>
    <xf numFmtId="0" fontId="308" fillId="0" borderId="3" xfId="0" applyFont="1" applyBorder="1" applyAlignment="1" applyProtection="1">
      <alignment horizontal="left" vertical="center" wrapText="1"/>
    </xf>
    <xf numFmtId="0" fontId="309" fillId="0" borderId="3" xfId="0" applyFont="1" applyBorder="1" applyAlignment="1" applyProtection="1">
      <alignment horizontal="left" vertical="center" wrapText="1"/>
    </xf>
    <xf numFmtId="0" fontId="310" fillId="0" borderId="3" xfId="0" applyFont="1" applyBorder="1" applyAlignment="1" applyProtection="1">
      <alignment horizontal="left" vertical="center" wrapText="1"/>
    </xf>
    <xf numFmtId="0" fontId="311" fillId="0" borderId="3" xfId="0" applyFont="1" applyBorder="1" applyAlignment="1" applyProtection="1">
      <alignment horizontal="left" vertical="center" wrapText="1"/>
    </xf>
    <xf numFmtId="0" fontId="312" fillId="5" borderId="0" xfId="0" applyFont="1" applyFill="1" applyAlignment="1">
      <alignment vertical="center" wrapText="1"/>
    </xf>
    <xf numFmtId="0" fontId="313" fillId="5" borderId="0" xfId="0" applyFont="1" applyFill="1" applyAlignment="1">
      <alignment vertical="center" wrapText="1"/>
    </xf>
    <xf numFmtId="0" fontId="314" fillId="0" borderId="23" xfId="0" applyFont="1" applyBorder="1" applyAlignment="1" applyProtection="1">
      <alignment horizontal="left" vertical="center" wrapText="1"/>
    </xf>
    <xf numFmtId="0" fontId="315" fillId="5" borderId="0" xfId="0" applyFont="1" applyFill="1" applyAlignment="1">
      <alignment vertical="center" wrapText="1"/>
    </xf>
    <xf numFmtId="0" fontId="316" fillId="0" borderId="23" xfId="0" applyFont="1" applyBorder="1" applyAlignment="1" applyProtection="1">
      <alignment horizontal="left" vertical="center" wrapText="1"/>
    </xf>
    <xf numFmtId="0" fontId="317" fillId="5" borderId="0" xfId="0" applyFont="1" applyFill="1" applyAlignment="1">
      <alignment vertical="center" wrapText="1"/>
    </xf>
    <xf numFmtId="0" fontId="318" fillId="0" borderId="23" xfId="0" applyFont="1" applyBorder="1" applyAlignment="1" applyProtection="1">
      <alignment horizontal="left" vertical="center" wrapText="1"/>
    </xf>
    <xf numFmtId="0" fontId="319" fillId="5" borderId="0" xfId="0" applyFont="1" applyFill="1" applyAlignment="1">
      <alignment vertical="center" wrapText="1"/>
    </xf>
    <xf numFmtId="0" fontId="320" fillId="0" borderId="23" xfId="0" applyFont="1" applyBorder="1" applyAlignment="1" applyProtection="1">
      <alignment horizontal="left" vertical="center" wrapText="1"/>
    </xf>
    <xf numFmtId="0" fontId="321" fillId="5" borderId="0" xfId="0" applyFont="1" applyFill="1" applyAlignment="1">
      <alignment vertical="center" wrapText="1"/>
    </xf>
    <xf numFmtId="0" fontId="322" fillId="0" borderId="23" xfId="0" applyFont="1" applyBorder="1" applyAlignment="1" applyProtection="1">
      <alignment horizontal="left" vertical="center" wrapText="1"/>
    </xf>
    <xf numFmtId="0" fontId="323" fillId="5" borderId="0" xfId="0" applyFont="1" applyFill="1" applyAlignment="1">
      <alignment vertical="center" wrapText="1"/>
    </xf>
    <xf numFmtId="0" fontId="324" fillId="5" borderId="0" xfId="0" applyFont="1" applyFill="1" applyAlignment="1">
      <alignment vertical="center" wrapText="1"/>
    </xf>
    <xf numFmtId="0" fontId="325" fillId="0" borderId="23" xfId="0" applyFont="1" applyBorder="1" applyAlignment="1" applyProtection="1">
      <alignment horizontal="left" vertical="center" wrapText="1"/>
    </xf>
    <xf numFmtId="0" fontId="326" fillId="5" borderId="0" xfId="0" applyFont="1" applyFill="1" applyAlignment="1">
      <alignment vertical="center" wrapText="1"/>
    </xf>
    <xf numFmtId="0" fontId="327" fillId="0" borderId="23" xfId="0" applyFont="1" applyBorder="1" applyAlignment="1" applyProtection="1">
      <alignment horizontal="left" vertical="center" wrapText="1"/>
    </xf>
    <xf numFmtId="0" fontId="328" fillId="5" borderId="0" xfId="0" applyFont="1" applyFill="1" applyAlignment="1">
      <alignment vertical="center" wrapText="1"/>
    </xf>
    <xf numFmtId="0" fontId="329" fillId="0" borderId="23" xfId="0" applyFont="1" applyBorder="1" applyAlignment="1" applyProtection="1">
      <alignment horizontal="left" vertical="center" wrapText="1"/>
    </xf>
    <xf numFmtId="0" fontId="330" fillId="5" borderId="0" xfId="0" applyFont="1" applyFill="1" applyAlignment="1">
      <alignment vertical="center" wrapText="1"/>
    </xf>
    <xf numFmtId="0" fontId="331" fillId="0" borderId="23" xfId="0" applyFont="1" applyBorder="1" applyAlignment="1" applyProtection="1">
      <alignment vertical="center" wrapText="1"/>
    </xf>
    <xf numFmtId="0" fontId="332" fillId="0" borderId="24" xfId="0" applyFont="1" applyBorder="1" applyAlignment="1" applyProtection="1">
      <alignment vertical="center" wrapText="1"/>
    </xf>
    <xf numFmtId="0" fontId="333" fillId="0" borderId="8" xfId="0" applyFont="1" applyBorder="1" applyAlignment="1" applyProtection="1">
      <alignment vertical="center" wrapText="1"/>
    </xf>
    <xf numFmtId="0" fontId="334" fillId="0" borderId="10" xfId="0" applyFont="1" applyBorder="1" applyAlignment="1" applyProtection="1">
      <alignment vertical="center" wrapText="1"/>
    </xf>
    <xf numFmtId="0" fontId="335" fillId="0" borderId="34" xfId="0" applyFont="1" applyBorder="1" applyAlignment="1" applyProtection="1">
      <alignment vertical="center" wrapText="1"/>
    </xf>
    <xf numFmtId="0" fontId="336" fillId="0" borderId="10" xfId="0" applyFont="1" applyBorder="1" applyAlignment="1" applyProtection="1">
      <alignment vertical="center" wrapText="1"/>
    </xf>
    <xf numFmtId="0" fontId="337" fillId="0" borderId="4" xfId="0" applyFont="1" applyBorder="1" applyAlignment="1" applyProtection="1">
      <alignment horizontal="left" vertical="center" wrapText="1"/>
    </xf>
    <xf numFmtId="0" fontId="338" fillId="0" borderId="3" xfId="0" applyFont="1" applyBorder="1" applyAlignment="1" applyProtection="1">
      <alignment horizontal="left" vertical="center" wrapText="1"/>
    </xf>
    <xf numFmtId="0" fontId="339" fillId="0" borderId="3" xfId="0" applyFont="1" applyBorder="1" applyAlignment="1" applyProtection="1">
      <alignment horizontal="left" vertical="center" wrapText="1"/>
    </xf>
    <xf numFmtId="0" fontId="340" fillId="0" borderId="3" xfId="0" applyFont="1" applyBorder="1" applyAlignment="1" applyProtection="1">
      <alignment horizontal="left" vertical="center" wrapText="1"/>
    </xf>
    <xf numFmtId="0" fontId="341" fillId="0" borderId="3" xfId="0" applyFont="1" applyBorder="1" applyAlignment="1" applyProtection="1">
      <alignment horizontal="left" vertical="center" wrapText="1"/>
    </xf>
    <xf numFmtId="0" fontId="342" fillId="0" borderId="4" xfId="0" applyFont="1" applyBorder="1" applyAlignment="1" applyProtection="1">
      <alignment horizontal="left" vertical="center" wrapText="1"/>
    </xf>
    <xf numFmtId="0" fontId="343" fillId="0" borderId="3" xfId="0" applyFont="1" applyBorder="1" applyAlignment="1" applyProtection="1">
      <alignment horizontal="left" vertical="center" wrapText="1"/>
    </xf>
    <xf numFmtId="0" fontId="344" fillId="0" borderId="3" xfId="0" applyFont="1" applyBorder="1" applyAlignment="1" applyProtection="1">
      <alignment horizontal="left" vertical="center" wrapText="1"/>
    </xf>
    <xf numFmtId="0" fontId="345" fillId="0" borderId="3" xfId="0" applyFont="1" applyBorder="1" applyAlignment="1" applyProtection="1">
      <alignment horizontal="left" vertical="center" wrapText="1"/>
    </xf>
    <xf numFmtId="0" fontId="346" fillId="0" borderId="3" xfId="0" applyFont="1" applyBorder="1" applyAlignment="1" applyProtection="1">
      <alignment horizontal="left" vertical="center" wrapText="1"/>
    </xf>
    <xf numFmtId="0" fontId="347" fillId="0" borderId="3" xfId="0" applyFont="1" applyBorder="1" applyAlignment="1" applyProtection="1">
      <alignment horizontal="left" vertical="center" wrapText="1"/>
    </xf>
    <xf numFmtId="0" fontId="348" fillId="0" borderId="3" xfId="0" applyFont="1" applyBorder="1" applyAlignment="1" applyProtection="1">
      <alignment horizontal="left" vertical="center" wrapText="1"/>
    </xf>
    <xf numFmtId="0" fontId="349" fillId="0" borderId="3" xfId="0" applyFont="1" applyBorder="1" applyAlignment="1" applyProtection="1">
      <alignment horizontal="left" vertical="center" wrapText="1"/>
    </xf>
    <xf numFmtId="0" fontId="350" fillId="0" borderId="4" xfId="0" applyFont="1" applyBorder="1" applyAlignment="1" applyProtection="1">
      <alignment horizontal="left" vertical="center" wrapText="1"/>
    </xf>
    <xf numFmtId="0" fontId="351" fillId="0" borderId="3" xfId="0" applyFont="1" applyBorder="1" applyAlignment="1" applyProtection="1">
      <alignment horizontal="left" vertical="center" wrapText="1"/>
    </xf>
    <xf numFmtId="0" fontId="352" fillId="0" borderId="3" xfId="0" applyFont="1" applyBorder="1" applyAlignment="1" applyProtection="1">
      <alignment horizontal="left" vertical="center" wrapText="1"/>
    </xf>
    <xf numFmtId="0" fontId="353" fillId="0" borderId="3" xfId="0" applyFont="1" applyBorder="1" applyAlignment="1" applyProtection="1">
      <alignment horizontal="left" vertical="center" wrapText="1"/>
    </xf>
    <xf numFmtId="0" fontId="354" fillId="5" borderId="3" xfId="0" applyFont="1" applyFill="1" applyBorder="1" applyAlignment="1" applyProtection="1">
      <alignment vertical="center" wrapText="1"/>
    </xf>
    <xf numFmtId="0" fontId="355" fillId="5" borderId="3" xfId="0" applyFont="1" applyFill="1" applyBorder="1" applyAlignment="1" applyProtection="1">
      <alignment vertical="center" wrapText="1"/>
    </xf>
    <xf numFmtId="0" fontId="356" fillId="5" borderId="3" xfId="0" applyFont="1" applyFill="1" applyBorder="1" applyAlignment="1" applyProtection="1">
      <alignment vertical="center" wrapText="1"/>
    </xf>
    <xf numFmtId="0" fontId="357" fillId="5" borderId="3" xfId="0" applyFont="1" applyFill="1" applyBorder="1" applyAlignment="1" applyProtection="1">
      <alignment vertical="center" wrapText="1"/>
    </xf>
    <xf numFmtId="0" fontId="358" fillId="5" borderId="3" xfId="0" applyFont="1" applyFill="1" applyBorder="1" applyAlignment="1" applyProtection="1">
      <alignment vertical="center" wrapText="1"/>
    </xf>
    <xf numFmtId="0" fontId="359" fillId="2" borderId="3" xfId="0" applyFont="1" applyFill="1" applyBorder="1" applyAlignment="1" applyProtection="1">
      <alignment vertical="center" wrapText="1"/>
    </xf>
    <xf numFmtId="0" fontId="360" fillId="2" borderId="3" xfId="0" applyFont="1" applyFill="1" applyBorder="1" applyAlignment="1" applyProtection="1">
      <alignment vertical="center" wrapText="1"/>
    </xf>
    <xf numFmtId="0" fontId="361" fillId="4" borderId="3" xfId="0" applyFont="1" applyFill="1" applyBorder="1" applyAlignment="1" applyProtection="1">
      <alignment vertical="center" wrapText="1"/>
    </xf>
    <xf numFmtId="0" fontId="362" fillId="4" borderId="3" xfId="0" applyFont="1" applyFill="1" applyBorder="1" applyAlignment="1" applyProtection="1">
      <alignment vertical="center" wrapText="1"/>
    </xf>
    <xf numFmtId="0" fontId="363" fillId="5" borderId="3" xfId="0" applyFont="1" applyFill="1" applyBorder="1" applyAlignment="1" applyProtection="1">
      <alignment vertical="center" wrapText="1"/>
    </xf>
    <xf numFmtId="0" fontId="364" fillId="2" borderId="3" xfId="0" applyFont="1" applyFill="1" applyBorder="1" applyAlignment="1" applyProtection="1">
      <alignment vertical="center" wrapText="1"/>
    </xf>
    <xf numFmtId="0" fontId="365" fillId="0" borderId="3" xfId="0" applyFont="1" applyBorder="1" applyAlignment="1" applyProtection="1">
      <alignment vertical="center" wrapText="1"/>
    </xf>
    <xf numFmtId="0" fontId="366" fillId="2" borderId="3" xfId="0" applyFont="1" applyFill="1" applyBorder="1" applyAlignment="1" applyProtection="1">
      <alignment vertical="center" wrapText="1"/>
    </xf>
    <xf numFmtId="0" fontId="367" fillId="0" borderId="4" xfId="0" applyFont="1" applyBorder="1" applyAlignment="1" applyProtection="1">
      <alignment horizontal="left" vertical="center" wrapText="1"/>
    </xf>
    <xf numFmtId="0" fontId="368" fillId="0" borderId="4" xfId="0" applyFont="1" applyBorder="1" applyAlignment="1" applyProtection="1">
      <alignment horizontal="left" vertical="center" wrapText="1"/>
    </xf>
    <xf numFmtId="0" fontId="369" fillId="0" borderId="4" xfId="0" applyFont="1" applyBorder="1" applyAlignment="1" applyProtection="1">
      <alignment horizontal="left" vertical="center" wrapText="1"/>
    </xf>
    <xf numFmtId="0" fontId="370" fillId="0" borderId="4" xfId="0" applyFont="1" applyBorder="1" applyAlignment="1" applyProtection="1">
      <alignment horizontal="left" vertical="center" wrapText="1"/>
    </xf>
    <xf numFmtId="0" fontId="371" fillId="0" borderId="3" xfId="0" applyFont="1" applyBorder="1" applyAlignment="1" applyProtection="1">
      <alignment vertical="center" wrapText="1"/>
    </xf>
    <xf numFmtId="0" fontId="372" fillId="0" borderId="3" xfId="0" applyFont="1" applyBorder="1" applyAlignment="1" applyProtection="1">
      <alignment vertical="center" wrapText="1"/>
    </xf>
    <xf numFmtId="0" fontId="373" fillId="0" borderId="3" xfId="0" applyFont="1" applyBorder="1" applyAlignment="1" applyProtection="1">
      <alignment horizontal="left" vertical="center" wrapText="1"/>
    </xf>
    <xf numFmtId="0" fontId="374" fillId="0" borderId="3" xfId="0" applyFont="1" applyBorder="1" applyAlignment="1" applyProtection="1">
      <alignment horizontal="left" vertical="center" wrapText="1"/>
    </xf>
    <xf numFmtId="0" fontId="375" fillId="0" borderId="3" xfId="0" applyFont="1" applyBorder="1" applyAlignment="1" applyProtection="1">
      <alignment horizontal="left" vertical="center" wrapText="1"/>
    </xf>
    <xf numFmtId="0" fontId="376" fillId="0" borderId="3" xfId="0" applyFont="1" applyBorder="1" applyAlignment="1" applyProtection="1">
      <alignment horizontal="left" vertical="center" wrapText="1"/>
    </xf>
    <xf numFmtId="0" fontId="377" fillId="0" borderId="3" xfId="0" applyFont="1" applyBorder="1" applyAlignment="1" applyProtection="1">
      <alignment horizontal="left" vertical="center" wrapText="1"/>
    </xf>
    <xf numFmtId="0" fontId="378" fillId="0" borderId="3" xfId="0" applyFont="1" applyBorder="1" applyAlignment="1" applyProtection="1">
      <alignment horizontal="left" vertical="center" wrapText="1"/>
    </xf>
    <xf numFmtId="0" fontId="379" fillId="0" borderId="4" xfId="0" applyFont="1" applyBorder="1" applyAlignment="1" applyProtection="1">
      <alignment horizontal="left" vertical="center" wrapText="1"/>
    </xf>
    <xf numFmtId="0" fontId="380" fillId="0" borderId="3" xfId="0" applyFont="1" applyBorder="1" applyAlignment="1" applyProtection="1">
      <alignment horizontal="left" vertical="center" wrapText="1"/>
    </xf>
    <xf numFmtId="0" fontId="381" fillId="0" borderId="3" xfId="0" applyFont="1" applyBorder="1" applyAlignment="1" applyProtection="1">
      <alignment horizontal="left" vertical="center" wrapText="1"/>
    </xf>
    <xf numFmtId="0" fontId="382" fillId="0" borderId="3" xfId="0" applyFont="1" applyBorder="1" applyAlignment="1" applyProtection="1">
      <alignment horizontal="left" vertical="center" wrapText="1"/>
    </xf>
    <xf numFmtId="0" fontId="383" fillId="0" borderId="3" xfId="0" applyFont="1" applyBorder="1" applyAlignment="1" applyProtection="1">
      <alignment horizontal="left" vertical="center" wrapText="1"/>
    </xf>
    <xf numFmtId="0" fontId="384" fillId="0" borderId="3" xfId="0" applyFont="1" applyBorder="1" applyAlignment="1" applyProtection="1">
      <alignment horizontal="left" vertical="center" wrapText="1"/>
    </xf>
    <xf numFmtId="0" fontId="385" fillId="0" borderId="3" xfId="0" applyFont="1" applyBorder="1" applyAlignment="1" applyProtection="1">
      <alignment horizontal="left" vertical="center" wrapText="1"/>
    </xf>
    <xf numFmtId="0" fontId="386" fillId="0" borderId="3" xfId="0" applyFont="1" applyBorder="1" applyAlignment="1" applyProtection="1">
      <alignment horizontal="left" vertical="center" wrapText="1"/>
    </xf>
    <xf numFmtId="0" fontId="387" fillId="0" borderId="4" xfId="0" applyFont="1" applyBorder="1" applyAlignment="1" applyProtection="1">
      <alignment horizontal="left" vertical="center" wrapText="1"/>
    </xf>
    <xf numFmtId="0" fontId="388" fillId="0" borderId="3" xfId="0" applyFont="1" applyBorder="1" applyAlignment="1" applyProtection="1">
      <alignment horizontal="left" vertical="center" wrapText="1"/>
    </xf>
    <xf numFmtId="0" fontId="389" fillId="0" borderId="3" xfId="0" applyFont="1" applyBorder="1" applyAlignment="1" applyProtection="1">
      <alignment horizontal="left" vertical="center" wrapText="1"/>
    </xf>
    <xf numFmtId="0" fontId="390" fillId="0" borderId="3" xfId="0" applyFont="1" applyBorder="1" applyAlignment="1" applyProtection="1">
      <alignment horizontal="left" vertical="center" wrapText="1"/>
    </xf>
    <xf numFmtId="0" fontId="391" fillId="0" borderId="3" xfId="0" applyFont="1" applyBorder="1" applyAlignment="1" applyProtection="1">
      <alignment horizontal="left" vertical="center" wrapText="1"/>
    </xf>
    <xf numFmtId="0" fontId="392" fillId="0" borderId="3" xfId="0" applyFont="1" applyBorder="1" applyAlignment="1" applyProtection="1">
      <alignment vertical="center" wrapText="1"/>
    </xf>
    <xf numFmtId="0" fontId="393" fillId="0" borderId="3" xfId="0" applyFont="1" applyBorder="1" applyAlignment="1" applyProtection="1">
      <alignment vertical="center" wrapText="1"/>
    </xf>
    <xf numFmtId="0" fontId="394" fillId="0" borderId="3" xfId="0" applyFont="1" applyBorder="1" applyAlignment="1" applyProtection="1">
      <alignment vertical="center" wrapText="1"/>
    </xf>
    <xf numFmtId="0" fontId="395" fillId="0" borderId="3" xfId="0" applyFont="1" applyBorder="1" applyAlignment="1" applyProtection="1">
      <alignment vertical="center" wrapText="1"/>
    </xf>
    <xf numFmtId="0" fontId="396" fillId="0" borderId="3" xfId="0" applyFont="1" applyBorder="1" applyAlignment="1" applyProtection="1">
      <alignment vertical="center" wrapText="1"/>
    </xf>
    <xf numFmtId="0" fontId="397" fillId="0" borderId="3" xfId="0" applyFont="1" applyBorder="1" applyAlignment="1" applyProtection="1">
      <alignment vertical="center" wrapText="1"/>
    </xf>
    <xf numFmtId="0" fontId="398" fillId="0" borderId="3" xfId="0" applyFont="1" applyBorder="1" applyAlignment="1" applyProtection="1">
      <alignment vertical="center" wrapText="1"/>
    </xf>
    <xf numFmtId="0" fontId="399" fillId="0" borderId="3" xfId="0" applyFont="1" applyBorder="1" applyAlignment="1" applyProtection="1">
      <alignment vertical="center" wrapText="1"/>
    </xf>
    <xf numFmtId="0" fontId="400" fillId="0" borderId="3" xfId="0" applyFont="1" applyBorder="1" applyAlignment="1" applyProtection="1">
      <alignment horizontal="left" vertical="center" wrapText="1"/>
    </xf>
    <xf numFmtId="0" fontId="401" fillId="2" borderId="4" xfId="0" applyFont="1" applyFill="1" applyBorder="1" applyAlignment="1" applyProtection="1">
      <alignment vertical="center" wrapText="1"/>
    </xf>
    <xf numFmtId="0" fontId="402" fillId="2" borderId="4" xfId="0" applyFont="1" applyFill="1" applyBorder="1" applyAlignment="1" applyProtection="1">
      <alignment vertical="center" wrapText="1"/>
    </xf>
    <xf numFmtId="0" fontId="403" fillId="2" borderId="4" xfId="0" applyFont="1" applyFill="1" applyBorder="1" applyAlignment="1" applyProtection="1">
      <alignment vertical="center" wrapText="1"/>
    </xf>
    <xf numFmtId="0" fontId="404" fillId="2" borderId="4" xfId="0" applyFont="1" applyFill="1" applyBorder="1" applyAlignment="1" applyProtection="1">
      <alignment vertical="center" wrapText="1"/>
    </xf>
    <xf numFmtId="0" fontId="405" fillId="2" borderId="4" xfId="0" applyFont="1" applyFill="1" applyBorder="1" applyAlignment="1" applyProtection="1">
      <alignment vertical="center" wrapText="1"/>
    </xf>
    <xf numFmtId="0" fontId="406" fillId="2" borderId="4" xfId="0" applyFont="1" applyFill="1" applyBorder="1" applyAlignment="1" applyProtection="1">
      <alignment horizontal="left" vertical="center" wrapText="1"/>
    </xf>
    <xf numFmtId="0" fontId="407" fillId="2" borderId="4" xfId="0" applyFont="1" applyFill="1" applyBorder="1" applyAlignment="1" applyProtection="1">
      <alignment horizontal="left" vertical="center" wrapText="1"/>
    </xf>
    <xf numFmtId="0" fontId="408" fillId="2" borderId="4" xfId="0" applyFont="1" applyFill="1" applyBorder="1" applyAlignment="1" applyProtection="1">
      <alignment horizontal="left" vertical="center" wrapText="1"/>
    </xf>
    <xf numFmtId="0" fontId="409" fillId="2" borderId="4" xfId="0" applyFont="1" applyFill="1" applyBorder="1" applyAlignment="1" applyProtection="1">
      <alignment horizontal="left" vertical="center" wrapText="1"/>
    </xf>
    <xf numFmtId="0" fontId="410" fillId="2" borderId="4" xfId="0" applyFont="1" applyFill="1" applyBorder="1" applyAlignment="1" applyProtection="1">
      <alignment horizontal="left" vertical="center" wrapText="1"/>
    </xf>
    <xf numFmtId="0" fontId="411" fillId="2" borderId="4" xfId="0" applyFont="1" applyFill="1" applyBorder="1" applyAlignment="1" applyProtection="1">
      <alignment horizontal="left" vertical="center" wrapText="1"/>
    </xf>
    <xf numFmtId="0" fontId="412" fillId="2" borderId="4" xfId="0" applyFont="1" applyFill="1" applyBorder="1" applyAlignment="1" applyProtection="1">
      <alignment horizontal="left" vertical="center" wrapText="1"/>
    </xf>
    <xf numFmtId="0" fontId="413" fillId="2" borderId="4" xfId="0" applyFont="1" applyFill="1" applyBorder="1" applyAlignment="1" applyProtection="1">
      <alignment horizontal="left" vertical="center" wrapText="1"/>
    </xf>
    <xf numFmtId="0" fontId="414" fillId="2" borderId="4" xfId="0" applyFont="1" applyFill="1" applyBorder="1" applyAlignment="1" applyProtection="1">
      <alignment horizontal="left" vertical="center" wrapText="1"/>
    </xf>
    <xf numFmtId="0" fontId="415" fillId="2" borderId="4" xfId="0" applyFont="1" applyFill="1" applyBorder="1" applyAlignment="1" applyProtection="1">
      <alignment horizontal="left" vertical="center" wrapText="1"/>
    </xf>
    <xf numFmtId="0" fontId="416" fillId="2" borderId="4" xfId="0" applyFont="1" applyFill="1" applyBorder="1" applyAlignment="1" applyProtection="1">
      <alignment horizontal="left" vertical="center" wrapText="1"/>
    </xf>
    <xf numFmtId="0" fontId="417" fillId="2" borderId="4" xfId="0" applyFont="1" applyFill="1" applyBorder="1" applyAlignment="1" applyProtection="1">
      <alignment horizontal="left" vertical="center" wrapText="1"/>
    </xf>
    <xf numFmtId="0" fontId="418" fillId="2" borderId="4" xfId="0" applyFont="1" applyFill="1" applyBorder="1" applyAlignment="1" applyProtection="1">
      <alignment horizontal="left" vertical="center" wrapText="1"/>
    </xf>
    <xf numFmtId="0" fontId="419" fillId="2" borderId="4" xfId="0" applyFont="1" applyFill="1" applyBorder="1" applyAlignment="1" applyProtection="1">
      <alignment horizontal="left" vertical="center" wrapText="1"/>
    </xf>
    <xf numFmtId="0" fontId="420" fillId="2" borderId="4" xfId="0" applyFont="1" applyFill="1" applyBorder="1" applyAlignment="1" applyProtection="1">
      <alignment horizontal="left" vertical="center" wrapText="1"/>
    </xf>
    <xf numFmtId="0" fontId="421" fillId="2" borderId="4" xfId="0" applyFont="1" applyFill="1" applyBorder="1" applyAlignment="1" applyProtection="1">
      <alignment vertical="center" wrapText="1"/>
    </xf>
    <xf numFmtId="0" fontId="422" fillId="2" borderId="4" xfId="0" applyFont="1" applyFill="1" applyBorder="1" applyAlignment="1" applyProtection="1">
      <alignment vertical="center" wrapText="1"/>
    </xf>
    <xf numFmtId="0" fontId="423" fillId="2" borderId="4" xfId="0" applyFont="1" applyFill="1" applyBorder="1" applyAlignment="1" applyProtection="1">
      <alignment vertical="center" wrapText="1"/>
    </xf>
    <xf numFmtId="0" fontId="424" fillId="2" borderId="4" xfId="0" applyFont="1" applyFill="1" applyBorder="1" applyAlignment="1" applyProtection="1">
      <alignment vertical="center" wrapText="1"/>
    </xf>
    <xf numFmtId="0" fontId="425" fillId="2" borderId="4" xfId="0" applyFont="1" applyFill="1" applyBorder="1" applyAlignment="1" applyProtection="1">
      <alignment vertical="center" wrapText="1"/>
    </xf>
    <xf numFmtId="0" fontId="426" fillId="2" borderId="4" xfId="0" applyFont="1" applyFill="1" applyBorder="1" applyAlignment="1" applyProtection="1">
      <alignment vertical="center" wrapText="1"/>
    </xf>
    <xf numFmtId="0" fontId="427" fillId="2" borderId="4" xfId="0" applyFont="1" applyFill="1" applyBorder="1" applyAlignment="1" applyProtection="1">
      <alignment vertical="center" wrapText="1"/>
    </xf>
    <xf numFmtId="0" fontId="428" fillId="2" borderId="4" xfId="0" applyFont="1" applyFill="1" applyBorder="1" applyAlignment="1" applyProtection="1">
      <alignment vertical="center" wrapText="1"/>
    </xf>
    <xf numFmtId="0" fontId="429" fillId="0" borderId="4" xfId="0" applyFont="1" applyBorder="1" applyAlignment="1" applyProtection="1">
      <alignment horizontal="left" vertical="center" wrapText="1"/>
    </xf>
    <xf numFmtId="0" fontId="430" fillId="0" borderId="3" xfId="0" applyFont="1" applyBorder="1" applyAlignment="1" applyProtection="1">
      <alignment horizontal="left" vertical="center" wrapText="1"/>
    </xf>
    <xf numFmtId="0" fontId="431" fillId="0" borderId="3" xfId="0" applyFont="1" applyBorder="1" applyAlignment="1" applyProtection="1">
      <alignment horizontal="left" vertical="center" wrapText="1"/>
    </xf>
    <xf numFmtId="0" fontId="432" fillId="0" borderId="3" xfId="0" applyFont="1" applyBorder="1" applyAlignment="1" applyProtection="1">
      <alignment horizontal="left" vertical="center" wrapText="1"/>
    </xf>
    <xf numFmtId="0" fontId="433" fillId="0" borderId="3" xfId="0" applyFont="1" applyBorder="1" applyAlignment="1" applyProtection="1">
      <alignment horizontal="left" vertical="center" wrapText="1"/>
    </xf>
    <xf numFmtId="0" fontId="434" fillId="0" borderId="4" xfId="0" applyFont="1" applyBorder="1" applyAlignment="1" applyProtection="1">
      <alignment horizontal="left" vertical="center" wrapText="1"/>
    </xf>
    <xf numFmtId="0" fontId="435" fillId="0" borderId="3" xfId="0" applyFont="1" applyBorder="1" applyAlignment="1" applyProtection="1">
      <alignment horizontal="left" vertical="center" wrapText="1"/>
    </xf>
    <xf numFmtId="0" fontId="436" fillId="0" borderId="3" xfId="0" applyFont="1" applyBorder="1" applyAlignment="1" applyProtection="1">
      <alignment horizontal="left" vertical="center" wrapText="1"/>
    </xf>
    <xf numFmtId="0" fontId="437" fillId="0" borderId="3" xfId="0" applyFont="1" applyBorder="1" applyAlignment="1" applyProtection="1">
      <alignment horizontal="left" vertical="center" wrapText="1"/>
    </xf>
    <xf numFmtId="0" fontId="438" fillId="0" borderId="3" xfId="0" applyFont="1" applyBorder="1" applyAlignment="1" applyProtection="1">
      <alignment horizontal="left" vertical="center" wrapText="1"/>
    </xf>
    <xf numFmtId="0" fontId="439" fillId="0" borderId="3" xfId="0" applyFont="1" applyBorder="1" applyAlignment="1" applyProtection="1">
      <alignment horizontal="left" vertical="center" wrapText="1"/>
    </xf>
    <xf numFmtId="0" fontId="440" fillId="0" borderId="3" xfId="0" applyFont="1" applyBorder="1" applyAlignment="1" applyProtection="1">
      <alignment horizontal="left" vertical="center" wrapText="1"/>
    </xf>
    <xf numFmtId="0" fontId="441" fillId="0" borderId="3" xfId="0" applyFont="1" applyBorder="1" applyAlignment="1" applyProtection="1">
      <alignment horizontal="left" vertical="center" wrapText="1"/>
    </xf>
    <xf numFmtId="0" fontId="442" fillId="0" borderId="4" xfId="0" applyFont="1" applyBorder="1" applyAlignment="1" applyProtection="1">
      <alignment horizontal="left" vertical="center" wrapText="1"/>
    </xf>
    <xf numFmtId="0" fontId="443" fillId="0" borderId="3" xfId="0" applyFont="1" applyBorder="1" applyAlignment="1" applyProtection="1">
      <alignment horizontal="left" vertical="center" wrapText="1"/>
    </xf>
    <xf numFmtId="0" fontId="444" fillId="0" borderId="3" xfId="0" applyFont="1" applyBorder="1" applyAlignment="1" applyProtection="1">
      <alignment horizontal="left" vertical="center" wrapText="1"/>
    </xf>
    <xf numFmtId="0" fontId="445" fillId="0" borderId="3" xfId="0" applyFont="1" applyBorder="1" applyAlignment="1" applyProtection="1">
      <alignment horizontal="left" vertical="center" wrapText="1"/>
    </xf>
    <xf numFmtId="0" fontId="446" fillId="0" borderId="4" xfId="0" applyFont="1" applyBorder="1" applyAlignment="1" applyProtection="1">
      <alignment horizontal="left" vertical="center" wrapText="1"/>
    </xf>
    <xf numFmtId="0" fontId="447" fillId="0" borderId="3" xfId="0" applyFont="1" applyBorder="1" applyAlignment="1" applyProtection="1">
      <alignment horizontal="left" vertical="center" wrapText="1"/>
    </xf>
    <xf numFmtId="0" fontId="448" fillId="0" borderId="3" xfId="0" applyFont="1" applyBorder="1" applyAlignment="1" applyProtection="1">
      <alignment horizontal="left" vertical="center" wrapText="1"/>
    </xf>
    <xf numFmtId="0" fontId="449" fillId="0" borderId="3" xfId="0" applyFont="1" applyBorder="1" applyAlignment="1" applyProtection="1">
      <alignment horizontal="left" vertical="center" wrapText="1"/>
    </xf>
    <xf numFmtId="0" fontId="450" fillId="0" borderId="3" xfId="0" applyFont="1" applyBorder="1" applyAlignment="1" applyProtection="1">
      <alignment horizontal="left" vertical="center" wrapText="1"/>
    </xf>
    <xf numFmtId="0" fontId="451" fillId="0" borderId="4" xfId="0" applyFont="1" applyBorder="1" applyAlignment="1" applyProtection="1">
      <alignment horizontal="left" vertical="center" wrapText="1"/>
    </xf>
    <xf numFmtId="0" fontId="452" fillId="0" borderId="3" xfId="0" applyFont="1" applyBorder="1" applyAlignment="1" applyProtection="1">
      <alignment horizontal="left" vertical="center" wrapText="1"/>
    </xf>
    <xf numFmtId="0" fontId="453" fillId="0" borderId="3" xfId="0" applyFont="1" applyBorder="1" applyAlignment="1" applyProtection="1">
      <alignment horizontal="left" vertical="center" wrapText="1"/>
    </xf>
    <xf numFmtId="0" fontId="454" fillId="0" borderId="3" xfId="0" applyFont="1" applyBorder="1" applyAlignment="1" applyProtection="1">
      <alignment horizontal="left" vertical="center" wrapText="1"/>
    </xf>
    <xf numFmtId="0" fontId="455" fillId="0" borderId="3" xfId="0" applyFont="1" applyBorder="1" applyAlignment="1" applyProtection="1">
      <alignment horizontal="left" vertical="center" wrapText="1"/>
    </xf>
    <xf numFmtId="0" fontId="456" fillId="0" borderId="3" xfId="0" applyFont="1" applyBorder="1" applyAlignment="1" applyProtection="1">
      <alignment horizontal="left" vertical="center" wrapText="1"/>
    </xf>
    <xf numFmtId="0" fontId="457" fillId="0" borderId="3" xfId="0" applyFont="1" applyBorder="1" applyAlignment="1" applyProtection="1">
      <alignment horizontal="left" vertical="center" wrapText="1"/>
    </xf>
    <xf numFmtId="0" fontId="458" fillId="0" borderId="3" xfId="0" applyFont="1" applyBorder="1" applyAlignment="1" applyProtection="1">
      <alignment horizontal="left" vertical="center" wrapText="1"/>
    </xf>
    <xf numFmtId="0" fontId="459" fillId="0" borderId="4" xfId="0" applyFont="1" applyBorder="1" applyAlignment="1" applyProtection="1">
      <alignment horizontal="left" vertical="center" wrapText="1"/>
    </xf>
    <xf numFmtId="0" fontId="460" fillId="0" borderId="3" xfId="0" applyFont="1" applyBorder="1" applyAlignment="1" applyProtection="1">
      <alignment horizontal="left" vertical="center" wrapText="1"/>
    </xf>
    <xf numFmtId="0" fontId="461" fillId="0" borderId="3" xfId="0" applyFont="1" applyBorder="1" applyAlignment="1" applyProtection="1">
      <alignment horizontal="left" vertical="center" wrapText="1"/>
    </xf>
    <xf numFmtId="0" fontId="462" fillId="0" borderId="3" xfId="0" applyFont="1" applyBorder="1" applyAlignment="1" applyProtection="1">
      <alignment horizontal="left" vertical="center" wrapText="1"/>
    </xf>
    <xf numFmtId="0" fontId="463" fillId="0" borderId="4" xfId="0" applyFont="1" applyBorder="1" applyAlignment="1" applyProtection="1">
      <alignment vertical="center" wrapText="1"/>
    </xf>
    <xf numFmtId="0" fontId="464" fillId="0" borderId="3" xfId="0" applyFont="1" applyBorder="1" applyAlignment="1" applyProtection="1">
      <alignment vertical="center" wrapText="1"/>
    </xf>
    <xf numFmtId="0" fontId="465" fillId="0" borderId="3" xfId="0" applyFont="1" applyBorder="1" applyAlignment="1" applyProtection="1">
      <alignment vertical="center" wrapText="1"/>
    </xf>
    <xf numFmtId="0" fontId="466" fillId="0" borderId="3" xfId="0" applyFont="1" applyBorder="1" applyAlignment="1" applyProtection="1">
      <alignment vertical="center" wrapText="1"/>
    </xf>
    <xf numFmtId="0" fontId="467" fillId="0" borderId="3" xfId="0" applyFont="1" applyBorder="1" applyAlignment="1" applyProtection="1">
      <alignment vertical="center" wrapText="1"/>
    </xf>
    <xf numFmtId="0" fontId="468" fillId="0" borderId="3" xfId="0" applyFont="1" applyBorder="1" applyAlignment="1" applyProtection="1">
      <alignment vertical="center" wrapText="1"/>
    </xf>
    <xf numFmtId="0" fontId="469" fillId="0" borderId="3" xfId="0" applyFont="1" applyBorder="1" applyAlignment="1" applyProtection="1">
      <alignment vertical="center" wrapText="1"/>
    </xf>
    <xf numFmtId="0" fontId="470" fillId="0" borderId="3" xfId="0" applyFont="1" applyBorder="1" applyAlignment="1" applyProtection="1">
      <alignment vertical="center" wrapText="1"/>
    </xf>
    <xf numFmtId="0" fontId="471" fillId="0" borderId="3" xfId="0" applyFont="1" applyBorder="1" applyAlignment="1" applyProtection="1">
      <alignment vertical="center" wrapText="1"/>
    </xf>
    <xf numFmtId="0" fontId="472" fillId="0" borderId="3" xfId="0" applyFont="1" applyBorder="1" applyAlignment="1" applyProtection="1">
      <alignment vertical="center" wrapText="1"/>
    </xf>
    <xf numFmtId="0" fontId="473" fillId="0" borderId="4" xfId="0" applyFont="1" applyBorder="1" applyAlignment="1" applyProtection="1">
      <alignment vertical="center" wrapText="1"/>
    </xf>
    <xf numFmtId="0" fontId="474" fillId="0" borderId="3" xfId="0" applyFont="1" applyBorder="1" applyAlignment="1" applyProtection="1">
      <alignment vertical="center" wrapText="1"/>
    </xf>
    <xf numFmtId="0" fontId="475" fillId="0" borderId="3" xfId="0" applyFont="1" applyBorder="1" applyAlignment="1" applyProtection="1">
      <alignment vertical="center" wrapText="1"/>
    </xf>
    <xf numFmtId="0" fontId="476" fillId="0" borderId="3" xfId="0" applyFont="1" applyBorder="1" applyAlignment="1" applyProtection="1">
      <alignment vertical="center" wrapText="1"/>
    </xf>
    <xf numFmtId="0" fontId="477" fillId="0" borderId="3" xfId="0" applyFont="1" applyBorder="1" applyAlignment="1" applyProtection="1">
      <alignment vertical="center" wrapText="1"/>
    </xf>
    <xf numFmtId="0" fontId="478" fillId="0" borderId="3" xfId="0" applyFont="1" applyBorder="1" applyAlignment="1" applyProtection="1">
      <alignment vertical="center" wrapText="1"/>
    </xf>
    <xf numFmtId="0" fontId="479" fillId="0" borderId="3" xfId="0" applyFont="1" applyBorder="1" applyAlignment="1" applyProtection="1">
      <alignment vertical="center" wrapText="1"/>
    </xf>
    <xf numFmtId="0" fontId="480" fillId="0" borderId="3" xfId="0" applyFont="1" applyBorder="1" applyAlignment="1" applyProtection="1">
      <alignment vertical="center" wrapText="1"/>
    </xf>
    <xf numFmtId="0" fontId="481" fillId="0" borderId="3" xfId="0" applyFont="1" applyBorder="1" applyAlignment="1" applyProtection="1">
      <alignment vertical="center" wrapText="1"/>
    </xf>
    <xf numFmtId="0" fontId="482" fillId="0" borderId="3" xfId="0" applyFont="1" applyBorder="1" applyAlignment="1" applyProtection="1">
      <alignment vertical="center" wrapText="1"/>
    </xf>
    <xf numFmtId="0" fontId="483" fillId="0" borderId="3" xfId="0" applyFont="1" applyBorder="1" applyAlignment="1" applyProtection="1">
      <alignment vertical="center" wrapText="1"/>
    </xf>
    <xf numFmtId="0" fontId="484" fillId="2" borderId="3" xfId="0" applyFont="1" applyFill="1" applyBorder="1" applyAlignment="1" applyProtection="1">
      <alignment vertical="center" wrapText="1"/>
    </xf>
    <xf numFmtId="0" fontId="485" fillId="0" borderId="3" xfId="0" applyFont="1" applyBorder="1" applyAlignment="1" applyProtection="1">
      <alignment horizontal="left" vertical="center" wrapText="1"/>
    </xf>
    <xf numFmtId="0" fontId="486" fillId="0" borderId="3" xfId="0" applyFont="1" applyBorder="1" applyAlignment="1" applyProtection="1">
      <alignment horizontal="left" vertical="center" wrapText="1"/>
    </xf>
    <xf numFmtId="0" fontId="487" fillId="0" borderId="3" xfId="0" applyFont="1" applyBorder="1" applyAlignment="1" applyProtection="1">
      <alignment horizontal="left" vertical="center" wrapText="1"/>
    </xf>
    <xf numFmtId="0" fontId="488" fillId="0" borderId="3" xfId="0" applyFont="1" applyBorder="1" applyAlignment="1" applyProtection="1">
      <alignment horizontal="left" vertical="center" wrapText="1"/>
    </xf>
    <xf numFmtId="0" fontId="489" fillId="0" borderId="3" xfId="0" applyFont="1" applyBorder="1" applyAlignment="1" applyProtection="1">
      <alignment horizontal="left" vertical="center" wrapText="1"/>
    </xf>
    <xf numFmtId="0" fontId="490" fillId="0" borderId="3" xfId="0" applyFont="1" applyBorder="1" applyAlignment="1" applyProtection="1">
      <alignment horizontal="left" vertical="center" wrapText="1"/>
    </xf>
    <xf numFmtId="0" fontId="491" fillId="0" borderId="3" xfId="0" applyFont="1" applyBorder="1" applyAlignment="1" applyProtection="1">
      <alignment horizontal="left" vertical="center" wrapText="1"/>
    </xf>
    <xf numFmtId="0" fontId="492" fillId="0" borderId="3" xfId="0" applyFont="1" applyBorder="1" applyAlignment="1" applyProtection="1">
      <alignment horizontal="left" vertical="center" wrapText="1"/>
    </xf>
    <xf numFmtId="0" fontId="493" fillId="0" borderId="3" xfId="0" applyFont="1" applyBorder="1" applyAlignment="1" applyProtection="1">
      <alignment horizontal="left" vertical="center" wrapText="1"/>
    </xf>
    <xf numFmtId="0" fontId="494" fillId="0" borderId="3" xfId="0" applyFont="1" applyBorder="1" applyAlignment="1" applyProtection="1">
      <alignment horizontal="left" vertical="center" wrapText="1"/>
    </xf>
    <xf numFmtId="0" fontId="495" fillId="0" borderId="3" xfId="0" applyFont="1" applyBorder="1" applyAlignment="1" applyProtection="1">
      <alignment horizontal="left" vertical="center" wrapText="1"/>
    </xf>
    <xf numFmtId="0" fontId="496" fillId="0" borderId="3" xfId="0" applyFont="1" applyBorder="1" applyAlignment="1" applyProtection="1">
      <alignment horizontal="left" vertical="center" wrapText="1"/>
    </xf>
    <xf numFmtId="0" fontId="497" fillId="0" borderId="3" xfId="0" applyFont="1" applyBorder="1" applyAlignment="1" applyProtection="1">
      <alignment horizontal="left" vertical="center" wrapText="1"/>
    </xf>
    <xf numFmtId="0" fontId="498" fillId="0" borderId="3" xfId="0" applyFont="1" applyBorder="1" applyAlignment="1" applyProtection="1">
      <alignment horizontal="left" vertical="center" wrapText="1"/>
    </xf>
    <xf numFmtId="0" fontId="499" fillId="0" borderId="3" xfId="0" applyFont="1" applyBorder="1" applyAlignment="1" applyProtection="1">
      <alignment horizontal="left" vertical="center" wrapText="1"/>
    </xf>
    <xf numFmtId="0" fontId="500" fillId="0" borderId="3" xfId="0" applyFont="1" applyBorder="1" applyAlignment="1" applyProtection="1">
      <alignment horizontal="left" vertical="center" wrapText="1"/>
    </xf>
    <xf numFmtId="0" fontId="501" fillId="0" borderId="3" xfId="0" applyFont="1" applyBorder="1" applyAlignment="1" applyProtection="1">
      <alignment horizontal="left" vertical="center" wrapText="1"/>
    </xf>
    <xf numFmtId="0" fontId="502" fillId="0" borderId="3" xfId="0" applyFont="1" applyBorder="1" applyAlignment="1" applyProtection="1">
      <alignment horizontal="left" vertical="center" wrapText="1"/>
    </xf>
    <xf numFmtId="0" fontId="503" fillId="0" borderId="3" xfId="0" applyFont="1" applyBorder="1" applyAlignment="1" applyProtection="1">
      <alignment horizontal="left" vertical="center" wrapText="1"/>
    </xf>
    <xf numFmtId="0" fontId="504" fillId="0" borderId="3" xfId="0" applyFont="1" applyBorder="1" applyAlignment="1" applyProtection="1">
      <alignment horizontal="left" vertical="center" wrapText="1"/>
    </xf>
    <xf numFmtId="0" fontId="505" fillId="0" borderId="3" xfId="0" applyFont="1" applyBorder="1" applyAlignment="1" applyProtection="1">
      <alignment horizontal="left" vertical="center" wrapText="1"/>
    </xf>
    <xf numFmtId="0" fontId="506" fillId="0" borderId="3" xfId="0" applyFont="1" applyBorder="1" applyAlignment="1" applyProtection="1">
      <alignment horizontal="left" vertical="center" wrapText="1"/>
    </xf>
    <xf numFmtId="0" fontId="507" fillId="0" borderId="3" xfId="0" applyFont="1" applyBorder="1" applyAlignment="1" applyProtection="1">
      <alignment horizontal="left" vertical="center" wrapText="1"/>
    </xf>
    <xf numFmtId="0" fontId="508" fillId="0" borderId="3" xfId="0" applyFont="1" applyBorder="1" applyAlignment="1" applyProtection="1">
      <alignment horizontal="left" vertical="center" wrapText="1"/>
    </xf>
    <xf numFmtId="0" fontId="509" fillId="0" borderId="3" xfId="0" applyFont="1" applyBorder="1" applyAlignment="1" applyProtection="1">
      <alignment horizontal="left" vertical="center" wrapText="1"/>
    </xf>
    <xf numFmtId="0" fontId="510" fillId="0" borderId="3" xfId="0" applyFont="1" applyBorder="1" applyAlignment="1" applyProtection="1">
      <alignment horizontal="left" vertical="center" wrapText="1"/>
    </xf>
    <xf numFmtId="0" fontId="511" fillId="0" borderId="3" xfId="0" applyFont="1" applyBorder="1" applyAlignment="1" applyProtection="1">
      <alignment horizontal="left" vertical="center" wrapText="1"/>
    </xf>
    <xf numFmtId="0" fontId="512" fillId="0" borderId="3" xfId="0" applyFont="1" applyBorder="1" applyAlignment="1" applyProtection="1">
      <alignment horizontal="left" vertical="center" wrapText="1"/>
    </xf>
    <xf numFmtId="0" fontId="513" fillId="0" borderId="3" xfId="0" applyFont="1" applyBorder="1" applyAlignment="1" applyProtection="1">
      <alignment horizontal="left" vertical="center" wrapText="1"/>
    </xf>
    <xf numFmtId="0" fontId="514" fillId="0" borderId="3" xfId="0" applyFont="1" applyBorder="1" applyAlignment="1" applyProtection="1">
      <alignment horizontal="left" vertical="center" wrapText="1"/>
    </xf>
    <xf numFmtId="0" fontId="515" fillId="0" borderId="3" xfId="0" applyFont="1" applyBorder="1" applyAlignment="1" applyProtection="1">
      <alignment horizontal="left" vertical="center" wrapText="1"/>
    </xf>
    <xf numFmtId="0" fontId="516" fillId="0" borderId="3" xfId="0" applyFont="1" applyBorder="1" applyAlignment="1" applyProtection="1">
      <alignment horizontal="left" vertical="center" wrapText="1"/>
    </xf>
    <xf numFmtId="0" fontId="517" fillId="0" borderId="4" xfId="0" applyFont="1" applyBorder="1" applyAlignment="1" applyProtection="1">
      <alignment horizontal="left" vertical="center" wrapText="1"/>
    </xf>
    <xf numFmtId="0" fontId="518" fillId="0" borderId="3" xfId="0" applyFont="1" applyBorder="1" applyAlignment="1" applyProtection="1">
      <alignment horizontal="left" vertical="center" wrapText="1"/>
    </xf>
    <xf numFmtId="0" fontId="519" fillId="0" borderId="3" xfId="0" applyFont="1" applyBorder="1" applyAlignment="1" applyProtection="1">
      <alignment horizontal="left" vertical="center" wrapText="1"/>
    </xf>
    <xf numFmtId="0" fontId="520" fillId="0" borderId="3" xfId="0" applyFont="1" applyBorder="1" applyAlignment="1" applyProtection="1">
      <alignment horizontal="left" vertical="center" wrapText="1"/>
    </xf>
    <xf numFmtId="0" fontId="521" fillId="0" borderId="3" xfId="0" applyFont="1" applyBorder="1" applyAlignment="1" applyProtection="1">
      <alignment horizontal="left" vertical="center" wrapText="1"/>
    </xf>
    <xf numFmtId="0" fontId="522" fillId="0" borderId="4" xfId="0" applyFont="1" applyBorder="1" applyAlignment="1" applyProtection="1">
      <alignment horizontal="left" vertical="center" wrapText="1"/>
    </xf>
    <xf numFmtId="0" fontId="523" fillId="0" borderId="3" xfId="0" applyFont="1" applyBorder="1" applyAlignment="1" applyProtection="1">
      <alignment horizontal="left" vertical="center" wrapText="1"/>
    </xf>
    <xf numFmtId="0" fontId="524" fillId="0" borderId="3" xfId="0" applyFont="1" applyBorder="1" applyAlignment="1" applyProtection="1">
      <alignment horizontal="left" vertical="center" wrapText="1"/>
    </xf>
    <xf numFmtId="0" fontId="525" fillId="0" borderId="3" xfId="0" applyFont="1" applyBorder="1" applyAlignment="1" applyProtection="1">
      <alignment horizontal="left" vertical="center" wrapText="1"/>
    </xf>
    <xf numFmtId="0" fontId="526" fillId="0" borderId="3" xfId="0" applyFont="1" applyBorder="1" applyAlignment="1" applyProtection="1">
      <alignment horizontal="left" vertical="center" wrapText="1"/>
    </xf>
    <xf numFmtId="0" fontId="527" fillId="0" borderId="3" xfId="0" applyFont="1" applyBorder="1" applyAlignment="1" applyProtection="1">
      <alignment horizontal="left" vertical="center" wrapText="1"/>
    </xf>
    <xf numFmtId="0" fontId="528" fillId="0" borderId="3" xfId="0" applyFont="1" applyBorder="1" applyAlignment="1" applyProtection="1">
      <alignment horizontal="left" vertical="center" wrapText="1"/>
    </xf>
    <xf numFmtId="0" fontId="529" fillId="0" borderId="3" xfId="0" applyFont="1" applyBorder="1" applyAlignment="1" applyProtection="1">
      <alignment horizontal="left" vertical="center" wrapText="1"/>
    </xf>
    <xf numFmtId="0" fontId="530" fillId="0" borderId="4" xfId="0" applyFont="1" applyBorder="1" applyAlignment="1" applyProtection="1">
      <alignment horizontal="left" vertical="center" wrapText="1"/>
    </xf>
    <xf numFmtId="0" fontId="531" fillId="0" borderId="3" xfId="0" applyFont="1" applyBorder="1" applyAlignment="1" applyProtection="1">
      <alignment horizontal="left" vertical="center" wrapText="1"/>
    </xf>
    <xf numFmtId="0" fontId="532" fillId="0" borderId="3" xfId="0" applyFont="1" applyBorder="1" applyAlignment="1" applyProtection="1">
      <alignment horizontal="left" vertical="center" wrapText="1"/>
    </xf>
    <xf numFmtId="0" fontId="533" fillId="0" borderId="3" xfId="0" applyFont="1" applyBorder="1" applyAlignment="1" applyProtection="1">
      <alignment horizontal="left" vertical="center" wrapText="1"/>
    </xf>
    <xf numFmtId="0" fontId="534" fillId="0" borderId="4" xfId="0" applyFont="1" applyBorder="1" applyAlignment="1" applyProtection="1">
      <alignment horizontal="left" vertical="center" wrapText="1"/>
    </xf>
    <xf numFmtId="0" fontId="535" fillId="0" borderId="4" xfId="0" applyFont="1" applyBorder="1" applyAlignment="1" applyProtection="1">
      <alignment horizontal="left" vertical="center" wrapText="1"/>
    </xf>
    <xf numFmtId="0" fontId="536" fillId="0" borderId="4" xfId="0" applyFont="1" applyBorder="1" applyAlignment="1" applyProtection="1">
      <alignment horizontal="left" vertical="center" wrapText="1"/>
    </xf>
    <xf numFmtId="0" fontId="537" fillId="0" borderId="4" xfId="0" applyFont="1" applyBorder="1" applyAlignment="1" applyProtection="1">
      <alignment horizontal="left" vertical="center" wrapText="1"/>
    </xf>
    <xf numFmtId="0" fontId="538" fillId="0" borderId="4" xfId="0" applyFont="1" applyBorder="1" applyAlignment="1" applyProtection="1">
      <alignment horizontal="left" vertical="center" wrapText="1"/>
    </xf>
    <xf numFmtId="0" fontId="539" fillId="0" borderId="4" xfId="0" applyFont="1" applyBorder="1" applyAlignment="1" applyProtection="1">
      <alignment horizontal="left" vertical="center" wrapText="1"/>
    </xf>
    <xf numFmtId="0" fontId="540" fillId="0" borderId="4" xfId="0" applyFont="1" applyBorder="1" applyAlignment="1" applyProtection="1">
      <alignment horizontal="left" vertical="center" wrapText="1"/>
    </xf>
    <xf numFmtId="0" fontId="541" fillId="0" borderId="4" xfId="0" applyFont="1" applyBorder="1" applyAlignment="1" applyProtection="1">
      <alignment horizontal="left" vertical="center" wrapText="1"/>
    </xf>
    <xf numFmtId="0" fontId="542" fillId="0" borderId="4" xfId="0" applyFont="1" applyBorder="1" applyAlignment="1" applyProtection="1">
      <alignment horizontal="left" vertical="center" wrapText="1"/>
    </xf>
    <xf numFmtId="0" fontId="543" fillId="0" borderId="4" xfId="0" applyFont="1" applyBorder="1" applyAlignment="1" applyProtection="1">
      <alignment horizontal="left" vertical="center" wrapText="1"/>
    </xf>
    <xf numFmtId="0" fontId="544" fillId="0" borderId="40" xfId="0" applyFont="1" applyBorder="1" applyAlignment="1" applyProtection="1">
      <alignment horizontal="left" vertical="center" wrapText="1"/>
    </xf>
    <xf numFmtId="0" fontId="545" fillId="0" borderId="4" xfId="0" applyFont="1" applyBorder="1" applyAlignment="1" applyProtection="1">
      <alignment horizontal="left" vertical="center" wrapText="1"/>
    </xf>
    <xf numFmtId="0" fontId="546" fillId="0" borderId="40" xfId="0" applyFont="1" applyBorder="1" applyAlignment="1" applyProtection="1">
      <alignment horizontal="left" vertical="center" wrapText="1"/>
    </xf>
    <xf numFmtId="0" fontId="547" fillId="0" borderId="4" xfId="0" applyFont="1" applyBorder="1" applyAlignment="1" applyProtection="1">
      <alignment horizontal="left" vertical="center" wrapText="1"/>
    </xf>
    <xf numFmtId="0" fontId="548" fillId="0" borderId="4" xfId="0" applyFont="1" applyBorder="1" applyAlignment="1" applyProtection="1">
      <alignment horizontal="left" vertical="center" wrapText="1"/>
    </xf>
    <xf numFmtId="0" fontId="549" fillId="0" borderId="4" xfId="0" applyFont="1" applyBorder="1" applyAlignment="1" applyProtection="1">
      <alignment horizontal="left" vertical="center" wrapText="1"/>
    </xf>
    <xf numFmtId="0" fontId="550" fillId="0" borderId="3" xfId="0" applyFont="1" applyBorder="1" applyAlignment="1" applyProtection="1">
      <alignment vertical="center" wrapText="1"/>
    </xf>
    <xf numFmtId="0" fontId="551" fillId="0" borderId="4" xfId="0" applyFont="1" applyBorder="1" applyAlignment="1" applyProtection="1">
      <alignment horizontal="left" vertical="center" wrapText="1"/>
    </xf>
    <xf numFmtId="0" fontId="552" fillId="0" borderId="3" xfId="0" applyFont="1" applyBorder="1" applyAlignment="1" applyProtection="1">
      <alignment vertical="center" wrapText="1"/>
    </xf>
    <xf numFmtId="0" fontId="553" fillId="0" borderId="4" xfId="0" applyFont="1" applyBorder="1" applyAlignment="1" applyProtection="1">
      <alignment horizontal="left" vertical="center" wrapText="1"/>
    </xf>
    <xf numFmtId="0" fontId="554" fillId="0" borderId="3" xfId="0" applyFont="1" applyBorder="1" applyAlignment="1" applyProtection="1">
      <alignment vertical="center" wrapText="1"/>
    </xf>
    <xf numFmtId="0" fontId="555" fillId="0" borderId="4" xfId="0" applyFont="1" applyBorder="1" applyAlignment="1" applyProtection="1">
      <alignment horizontal="left" vertical="center" wrapText="1"/>
    </xf>
    <xf numFmtId="0" fontId="556" fillId="0" borderId="3" xfId="0" applyFont="1" applyBorder="1" applyAlignment="1" applyProtection="1">
      <alignment vertical="center" wrapText="1"/>
    </xf>
    <xf numFmtId="0" fontId="557" fillId="0" borderId="4" xfId="0" applyFont="1" applyBorder="1" applyAlignment="1" applyProtection="1">
      <alignment horizontal="left" vertical="center" wrapText="1"/>
    </xf>
    <xf numFmtId="0" fontId="558" fillId="0" borderId="3" xfId="0" applyFont="1" applyBorder="1" applyAlignment="1" applyProtection="1">
      <alignment vertical="center" wrapText="1"/>
    </xf>
    <xf numFmtId="0" fontId="559" fillId="0" borderId="4" xfId="0" applyFont="1" applyBorder="1" applyAlignment="1" applyProtection="1">
      <alignment horizontal="left" vertical="center" wrapText="1"/>
    </xf>
    <xf numFmtId="0" fontId="560" fillId="0" borderId="3" xfId="0" applyFont="1" applyBorder="1" applyAlignment="1" applyProtection="1">
      <alignment vertical="center" wrapText="1"/>
    </xf>
    <xf numFmtId="0" fontId="561" fillId="0" borderId="4" xfId="0" applyFont="1" applyBorder="1" applyAlignment="1" applyProtection="1">
      <alignment horizontal="left" vertical="center" wrapText="1"/>
    </xf>
    <xf numFmtId="0" fontId="562" fillId="0" borderId="3" xfId="0" applyFont="1" applyBorder="1" applyAlignment="1" applyProtection="1">
      <alignment vertical="center" wrapText="1"/>
    </xf>
    <xf numFmtId="0" fontId="563" fillId="0" borderId="4" xfId="0" applyFont="1" applyBorder="1" applyAlignment="1" applyProtection="1">
      <alignment horizontal="left" vertical="center" wrapText="1"/>
    </xf>
    <xf numFmtId="0" fontId="564" fillId="0" borderId="3" xfId="0" applyFont="1" applyBorder="1" applyAlignment="1" applyProtection="1">
      <alignment vertical="center" wrapText="1"/>
    </xf>
    <xf numFmtId="0" fontId="565" fillId="0" borderId="4" xfId="0" applyFont="1" applyBorder="1" applyAlignment="1" applyProtection="1">
      <alignment horizontal="left" vertical="center" wrapText="1"/>
    </xf>
    <xf numFmtId="0" fontId="566" fillId="0" borderId="3" xfId="0" applyFont="1" applyBorder="1" applyAlignment="1" applyProtection="1">
      <alignment vertical="center" wrapText="1"/>
    </xf>
    <xf numFmtId="0" fontId="567" fillId="0" borderId="4" xfId="0" applyFont="1" applyBorder="1" applyAlignment="1" applyProtection="1">
      <alignment horizontal="left" vertical="center" wrapText="1"/>
    </xf>
    <xf numFmtId="0" fontId="568" fillId="0" borderId="3" xfId="0" applyFont="1" applyBorder="1" applyAlignment="1" applyProtection="1">
      <alignment vertical="center" wrapText="1"/>
    </xf>
    <xf numFmtId="0" fontId="569" fillId="0" borderId="4" xfId="0" applyFont="1" applyBorder="1" applyAlignment="1" applyProtection="1">
      <alignment horizontal="left" vertical="center" wrapText="1"/>
    </xf>
    <xf numFmtId="0" fontId="570" fillId="0" borderId="3" xfId="0" applyFont="1" applyBorder="1" applyAlignment="1" applyProtection="1">
      <alignment vertical="center" wrapText="1"/>
    </xf>
    <xf numFmtId="0" fontId="571" fillId="0" borderId="4" xfId="0" applyFont="1" applyBorder="1" applyAlignment="1" applyProtection="1">
      <alignment horizontal="left" vertical="center" wrapText="1"/>
    </xf>
    <xf numFmtId="0" fontId="572" fillId="0" borderId="3" xfId="0" applyFont="1" applyBorder="1" applyAlignment="1" applyProtection="1">
      <alignment vertical="center" wrapText="1"/>
    </xf>
    <xf numFmtId="0" fontId="573" fillId="0" borderId="4" xfId="0" applyFont="1" applyBorder="1" applyAlignment="1" applyProtection="1">
      <alignment horizontal="left" vertical="center" wrapText="1"/>
    </xf>
    <xf numFmtId="0" fontId="574" fillId="0" borderId="3" xfId="0" applyFont="1" applyBorder="1" applyAlignment="1" applyProtection="1">
      <alignment vertical="center" wrapText="1"/>
    </xf>
    <xf numFmtId="0" fontId="575" fillId="0" borderId="4" xfId="0" applyFont="1" applyBorder="1" applyAlignment="1" applyProtection="1">
      <alignment horizontal="left" vertical="center" wrapText="1"/>
    </xf>
    <xf numFmtId="0" fontId="576" fillId="0" borderId="3" xfId="0" applyFont="1" applyBorder="1" applyAlignment="1" applyProtection="1">
      <alignment vertical="center" wrapText="1"/>
    </xf>
    <xf numFmtId="0" fontId="577" fillId="0" borderId="4" xfId="0" applyFont="1" applyBorder="1" applyAlignment="1" applyProtection="1">
      <alignment horizontal="left" vertical="center" wrapText="1"/>
    </xf>
    <xf numFmtId="0" fontId="578" fillId="0" borderId="3" xfId="0" applyFont="1" applyBorder="1" applyAlignment="1" applyProtection="1">
      <alignment vertical="center" wrapText="1"/>
    </xf>
    <xf numFmtId="0" fontId="579" fillId="0" borderId="4" xfId="0" applyFont="1" applyBorder="1" applyAlignment="1" applyProtection="1">
      <alignment horizontal="left" vertical="center" wrapText="1"/>
    </xf>
    <xf numFmtId="0" fontId="580" fillId="0" borderId="3" xfId="0" applyFont="1" applyBorder="1" applyAlignment="1" applyProtection="1">
      <alignment vertical="center" wrapText="1"/>
    </xf>
    <xf numFmtId="0" fontId="581" fillId="0" borderId="4" xfId="0" applyFont="1" applyBorder="1" applyAlignment="1" applyProtection="1">
      <alignment horizontal="left" vertical="center" wrapText="1"/>
    </xf>
    <xf numFmtId="0" fontId="582" fillId="0" borderId="3" xfId="0" applyFont="1" applyBorder="1" applyAlignment="1" applyProtection="1">
      <alignment vertical="center" wrapText="1"/>
    </xf>
    <xf numFmtId="0" fontId="583" fillId="0" borderId="4" xfId="0" applyFont="1" applyBorder="1" applyAlignment="1" applyProtection="1">
      <alignment horizontal="left" vertical="center" wrapText="1"/>
    </xf>
    <xf numFmtId="0" fontId="584" fillId="0" borderId="3" xfId="0" applyFont="1" applyBorder="1" applyAlignment="1" applyProtection="1">
      <alignment vertical="center" wrapText="1"/>
    </xf>
    <xf numFmtId="0" fontId="585" fillId="0" borderId="4" xfId="0" applyFont="1" applyBorder="1" applyAlignment="1" applyProtection="1">
      <alignment horizontal="left" vertical="center" wrapText="1"/>
    </xf>
    <xf numFmtId="0" fontId="586" fillId="0" borderId="3" xfId="0" applyFont="1" applyBorder="1" applyAlignment="1" applyProtection="1">
      <alignment vertical="center" wrapText="1"/>
    </xf>
    <xf numFmtId="0" fontId="587" fillId="0" borderId="4" xfId="0" applyFont="1" applyBorder="1" applyAlignment="1" applyProtection="1">
      <alignment horizontal="left" vertical="center" wrapText="1"/>
    </xf>
    <xf numFmtId="0" fontId="588" fillId="0" borderId="3" xfId="0" applyFont="1" applyBorder="1" applyAlignment="1" applyProtection="1">
      <alignment vertical="center" wrapText="1"/>
    </xf>
    <xf numFmtId="0" fontId="589" fillId="0" borderId="4" xfId="0" applyFont="1" applyBorder="1" applyAlignment="1" applyProtection="1">
      <alignment horizontal="left" vertical="center" wrapText="1"/>
    </xf>
    <xf numFmtId="0" fontId="590" fillId="0" borderId="3" xfId="0" applyFont="1" applyBorder="1" applyAlignment="1" applyProtection="1">
      <alignment vertical="center" wrapText="1"/>
    </xf>
    <xf numFmtId="0" fontId="591" fillId="0" borderId="4" xfId="0" applyFont="1" applyBorder="1" applyAlignment="1" applyProtection="1">
      <alignment horizontal="left" vertical="center" wrapText="1"/>
    </xf>
    <xf numFmtId="0" fontId="592" fillId="0" borderId="3" xfId="0" applyFont="1" applyBorder="1" applyAlignment="1" applyProtection="1">
      <alignment vertical="center" wrapText="1"/>
    </xf>
    <xf numFmtId="0" fontId="593" fillId="0" borderId="4" xfId="0" applyFont="1" applyBorder="1" applyAlignment="1" applyProtection="1">
      <alignment horizontal="left" vertical="center" wrapText="1"/>
    </xf>
    <xf numFmtId="0" fontId="594" fillId="0" borderId="3" xfId="0" applyFont="1" applyBorder="1" applyAlignment="1" applyProtection="1">
      <alignment vertical="center" wrapText="1"/>
    </xf>
    <xf numFmtId="0" fontId="595" fillId="0" borderId="4" xfId="0" applyFont="1" applyBorder="1" applyAlignment="1" applyProtection="1">
      <alignment horizontal="left" vertical="center" wrapText="1"/>
    </xf>
    <xf numFmtId="0" fontId="596" fillId="0" borderId="3" xfId="0" applyFont="1" applyBorder="1" applyAlignment="1" applyProtection="1">
      <alignment vertical="center" wrapText="1"/>
    </xf>
    <xf numFmtId="0" fontId="597" fillId="0" borderId="4" xfId="0" applyFont="1" applyBorder="1" applyAlignment="1" applyProtection="1">
      <alignment horizontal="left" vertical="center" wrapText="1"/>
    </xf>
    <xf numFmtId="0" fontId="598" fillId="0" borderId="3" xfId="0" applyFont="1" applyBorder="1" applyAlignment="1" applyProtection="1">
      <alignment vertical="center" wrapText="1"/>
    </xf>
    <xf numFmtId="0" fontId="599" fillId="0" borderId="4" xfId="0" applyFont="1" applyBorder="1" applyAlignment="1" applyProtection="1">
      <alignment horizontal="left" vertical="center" wrapText="1"/>
    </xf>
    <xf numFmtId="0" fontId="600" fillId="0" borderId="3" xfId="0" applyFont="1" applyBorder="1" applyAlignment="1" applyProtection="1">
      <alignment vertical="center" wrapText="1"/>
    </xf>
    <xf numFmtId="0" fontId="601" fillId="0" borderId="4" xfId="0" applyFont="1" applyBorder="1" applyAlignment="1" applyProtection="1">
      <alignment horizontal="left" vertical="center" wrapText="1"/>
    </xf>
    <xf numFmtId="0" fontId="602" fillId="0" borderId="3" xfId="0" applyFont="1" applyBorder="1" applyAlignment="1" applyProtection="1">
      <alignment vertical="center" wrapText="1"/>
    </xf>
    <xf numFmtId="0" fontId="603" fillId="0" borderId="4" xfId="0" applyFont="1" applyBorder="1" applyAlignment="1" applyProtection="1">
      <alignment horizontal="left" vertical="center" wrapText="1"/>
    </xf>
    <xf numFmtId="0" fontId="604" fillId="0" borderId="3" xfId="0" applyFont="1" applyBorder="1" applyAlignment="1" applyProtection="1">
      <alignment horizontal="left" vertical="center" wrapText="1"/>
    </xf>
    <xf numFmtId="0" fontId="605" fillId="0" borderId="4" xfId="0" applyFont="1" applyBorder="1" applyAlignment="1" applyProtection="1">
      <alignment horizontal="left" vertical="center" wrapText="1"/>
    </xf>
    <xf numFmtId="0" fontId="606" fillId="0" borderId="4" xfId="0" applyFont="1" applyBorder="1" applyAlignment="1" applyProtection="1">
      <alignment horizontal="left" vertical="center" wrapText="1"/>
    </xf>
    <xf numFmtId="0" fontId="607" fillId="0" borderId="4" xfId="0" applyFont="1" applyBorder="1" applyAlignment="1" applyProtection="1">
      <alignment horizontal="left" vertical="center" wrapText="1"/>
    </xf>
    <xf numFmtId="0" fontId="608" fillId="0" borderId="4" xfId="0" applyFont="1" applyBorder="1" applyAlignment="1" applyProtection="1">
      <alignment horizontal="left" vertical="center" wrapText="1"/>
    </xf>
    <xf numFmtId="0" fontId="609" fillId="0" borderId="4" xfId="0" applyFont="1" applyBorder="1" applyAlignment="1" applyProtection="1">
      <alignment horizontal="left" vertical="center" wrapText="1"/>
    </xf>
    <xf numFmtId="0" fontId="610" fillId="0" borderId="4" xfId="0" applyFont="1" applyBorder="1" applyAlignment="1" applyProtection="1">
      <alignment horizontal="left" vertical="center" wrapText="1"/>
    </xf>
    <xf numFmtId="0" fontId="611" fillId="0" borderId="4" xfId="0" applyFont="1" applyBorder="1" applyAlignment="1" applyProtection="1">
      <alignment horizontal="left" vertical="center" wrapText="1"/>
    </xf>
    <xf numFmtId="0" fontId="612" fillId="0" borderId="40" xfId="0" applyFont="1" applyBorder="1" applyAlignment="1" applyProtection="1">
      <alignment horizontal="left" vertical="center" wrapText="1"/>
    </xf>
    <xf numFmtId="0" fontId="613" fillId="0" borderId="4" xfId="0" applyFont="1" applyBorder="1" applyAlignment="1" applyProtection="1">
      <alignment horizontal="left" vertical="center" wrapText="1"/>
    </xf>
    <xf numFmtId="0" fontId="614" fillId="0" borderId="4" xfId="0" applyFont="1" applyBorder="1" applyAlignment="1" applyProtection="1">
      <alignment horizontal="left" vertical="center" wrapText="1"/>
    </xf>
    <xf numFmtId="0" fontId="615" fillId="0" borderId="3" xfId="0" applyFont="1" applyBorder="1" applyAlignment="1" applyProtection="1">
      <alignment horizontal="left" vertical="center" wrapText="1"/>
    </xf>
    <xf numFmtId="0" fontId="616" fillId="0" borderId="4" xfId="0" applyFont="1" applyBorder="1" applyAlignment="1" applyProtection="1">
      <alignment horizontal="left" vertical="center" wrapText="1"/>
    </xf>
    <xf numFmtId="0" fontId="617" fillId="0" borderId="3" xfId="0" applyFont="1" applyBorder="1" applyAlignment="1" applyProtection="1">
      <alignment horizontal="left" vertical="center" wrapText="1"/>
    </xf>
    <xf numFmtId="0" fontId="618" fillId="0" borderId="4" xfId="0" applyFont="1" applyBorder="1" applyAlignment="1" applyProtection="1">
      <alignment horizontal="left" vertical="center" wrapText="1"/>
    </xf>
    <xf numFmtId="0" fontId="619" fillId="0" borderId="3" xfId="0" applyFont="1" applyBorder="1" applyAlignment="1" applyProtection="1">
      <alignment horizontal="left" vertical="center" wrapText="1"/>
    </xf>
    <xf numFmtId="0" fontId="620" fillId="0" borderId="4" xfId="0" applyFont="1" applyBorder="1" applyAlignment="1" applyProtection="1">
      <alignment horizontal="left" vertical="center" wrapText="1"/>
    </xf>
    <xf numFmtId="0" fontId="621" fillId="0" borderId="3" xfId="0" applyFont="1" applyBorder="1" applyAlignment="1" applyProtection="1">
      <alignment horizontal="left" vertical="center" wrapText="1"/>
    </xf>
    <xf numFmtId="0" fontId="622" fillId="0" borderId="4" xfId="0" applyFont="1" applyBorder="1" applyAlignment="1" applyProtection="1">
      <alignment horizontal="left" vertical="center" wrapText="1"/>
    </xf>
    <xf numFmtId="0" fontId="623" fillId="0" borderId="3" xfId="0" applyFont="1" applyBorder="1" applyAlignment="1" applyProtection="1">
      <alignment horizontal="left" vertical="center" wrapText="1"/>
    </xf>
    <xf numFmtId="0" fontId="624" fillId="0" borderId="4" xfId="0" applyFont="1" applyBorder="1" applyAlignment="1" applyProtection="1">
      <alignment horizontal="left" vertical="center" wrapText="1"/>
    </xf>
    <xf numFmtId="0" fontId="625" fillId="0" borderId="3" xfId="0" applyFont="1" applyBorder="1" applyAlignment="1" applyProtection="1">
      <alignment horizontal="left" vertical="center" wrapText="1"/>
    </xf>
    <xf numFmtId="0" fontId="626" fillId="0" borderId="4" xfId="0" applyFont="1" applyBorder="1" applyAlignment="1" applyProtection="1">
      <alignment horizontal="left" vertical="center" wrapText="1"/>
    </xf>
    <xf numFmtId="0" fontId="627" fillId="0" borderId="3" xfId="0" applyFont="1" applyBorder="1" applyAlignment="1" applyProtection="1">
      <alignment horizontal="left" vertical="center" wrapText="1"/>
    </xf>
    <xf numFmtId="0" fontId="628" fillId="0" borderId="4" xfId="0" applyFont="1" applyBorder="1" applyAlignment="1" applyProtection="1">
      <alignment horizontal="left" vertical="center" wrapText="1"/>
    </xf>
    <xf numFmtId="0" fontId="629" fillId="0" borderId="3" xfId="0" applyFont="1" applyBorder="1" applyAlignment="1" applyProtection="1">
      <alignment horizontal="left" vertical="center" wrapText="1"/>
    </xf>
    <xf numFmtId="0" fontId="630" fillId="0" borderId="4" xfId="0" applyFont="1" applyBorder="1" applyAlignment="1" applyProtection="1">
      <alignment horizontal="left" vertical="center" wrapText="1"/>
    </xf>
    <xf numFmtId="0" fontId="631" fillId="0" borderId="3" xfId="0" applyFont="1" applyBorder="1" applyAlignment="1" applyProtection="1">
      <alignment horizontal="left" vertical="center" wrapText="1"/>
    </xf>
    <xf numFmtId="0" fontId="632" fillId="0" borderId="4" xfId="0" applyFont="1" applyBorder="1" applyAlignment="1" applyProtection="1">
      <alignment horizontal="left" vertical="center" wrapText="1"/>
    </xf>
    <xf numFmtId="0" fontId="633" fillId="0" borderId="3" xfId="0" applyFont="1" applyBorder="1" applyAlignment="1" applyProtection="1">
      <alignment horizontal="left" vertical="center" wrapText="1"/>
    </xf>
    <xf numFmtId="0" fontId="634" fillId="0" borderId="4" xfId="0" applyFont="1" applyBorder="1" applyAlignment="1" applyProtection="1">
      <alignment horizontal="left" vertical="center" wrapText="1"/>
    </xf>
    <xf numFmtId="0" fontId="635" fillId="0" borderId="3" xfId="0" applyFont="1" applyBorder="1" applyAlignment="1" applyProtection="1">
      <alignment horizontal="left" vertical="center" wrapText="1"/>
    </xf>
    <xf numFmtId="0" fontId="636" fillId="0" borderId="4" xfId="0" applyFont="1" applyBorder="1" applyAlignment="1" applyProtection="1">
      <alignment horizontal="left" vertical="center" wrapText="1"/>
    </xf>
    <xf numFmtId="0" fontId="637" fillId="0" borderId="3" xfId="0" applyFont="1" applyBorder="1" applyAlignment="1" applyProtection="1">
      <alignment horizontal="left" vertical="center" wrapText="1"/>
    </xf>
    <xf numFmtId="0" fontId="638" fillId="0" borderId="4" xfId="0" applyFont="1" applyBorder="1" applyAlignment="1" applyProtection="1">
      <alignment horizontal="left" vertical="center" wrapText="1"/>
    </xf>
    <xf numFmtId="0" fontId="639" fillId="0" borderId="3" xfId="0" applyFont="1" applyBorder="1" applyAlignment="1" applyProtection="1">
      <alignment horizontal="left" vertical="center" wrapText="1"/>
    </xf>
    <xf numFmtId="0" fontId="640" fillId="0" borderId="4" xfId="0" applyFont="1" applyBorder="1" applyAlignment="1" applyProtection="1">
      <alignment horizontal="left" vertical="center" wrapText="1"/>
    </xf>
    <xf numFmtId="0" fontId="641" fillId="0" borderId="3" xfId="0" applyFont="1" applyBorder="1" applyAlignment="1" applyProtection="1">
      <alignment horizontal="left" vertical="center" wrapText="1"/>
    </xf>
    <xf numFmtId="0" fontId="642" fillId="0" borderId="4" xfId="0" applyFont="1" applyBorder="1" applyAlignment="1" applyProtection="1">
      <alignment horizontal="left" vertical="center" wrapText="1"/>
    </xf>
    <xf numFmtId="0" fontId="643" fillId="0" borderId="3" xfId="0" applyFont="1" applyBorder="1" applyAlignment="1" applyProtection="1">
      <alignment horizontal="left" vertical="center" wrapText="1"/>
    </xf>
    <xf numFmtId="0" fontId="644" fillId="0" borderId="4" xfId="0" applyFont="1" applyBorder="1" applyAlignment="1" applyProtection="1">
      <alignment horizontal="left" vertical="center" wrapText="1"/>
    </xf>
    <xf numFmtId="0" fontId="645" fillId="0" borderId="3" xfId="0" applyFont="1" applyBorder="1" applyAlignment="1" applyProtection="1">
      <alignment horizontal="left" vertical="center" wrapText="1"/>
    </xf>
    <xf numFmtId="0" fontId="646" fillId="0" borderId="4" xfId="0" applyFont="1" applyBorder="1" applyAlignment="1" applyProtection="1">
      <alignment horizontal="left" vertical="center" wrapText="1"/>
    </xf>
    <xf numFmtId="0" fontId="647" fillId="0" borderId="3" xfId="0" applyFont="1" applyBorder="1" applyAlignment="1" applyProtection="1">
      <alignment horizontal="left" vertical="center" wrapText="1"/>
    </xf>
    <xf numFmtId="0" fontId="648" fillId="0" borderId="4" xfId="0" applyFont="1" applyBorder="1" applyAlignment="1" applyProtection="1">
      <alignment horizontal="left" vertical="center" wrapText="1"/>
    </xf>
    <xf numFmtId="0" fontId="649" fillId="0" borderId="3" xfId="0" applyFont="1" applyBorder="1" applyAlignment="1" applyProtection="1">
      <alignment horizontal="left" vertical="center" wrapText="1"/>
    </xf>
    <xf numFmtId="0" fontId="650" fillId="0" borderId="4" xfId="0" applyFont="1" applyBorder="1" applyAlignment="1" applyProtection="1">
      <alignment horizontal="left" vertical="center" wrapText="1"/>
    </xf>
    <xf numFmtId="0" fontId="651" fillId="0" borderId="3" xfId="0" applyFont="1" applyBorder="1" applyAlignment="1" applyProtection="1">
      <alignment horizontal="left" vertical="center" wrapText="1"/>
    </xf>
    <xf numFmtId="0" fontId="652" fillId="0" borderId="4" xfId="0" applyFont="1" applyBorder="1" applyAlignment="1" applyProtection="1">
      <alignment horizontal="left" vertical="center" wrapText="1"/>
    </xf>
    <xf numFmtId="0" fontId="653" fillId="0" borderId="3" xfId="0" applyFont="1" applyBorder="1" applyAlignment="1" applyProtection="1">
      <alignment horizontal="left" vertical="center" wrapText="1"/>
    </xf>
    <xf numFmtId="0" fontId="654" fillId="0" borderId="4" xfId="0" applyFont="1" applyBorder="1" applyAlignment="1" applyProtection="1">
      <alignment horizontal="left" vertical="center" wrapText="1"/>
    </xf>
    <xf numFmtId="0" fontId="655" fillId="0" borderId="3" xfId="0" applyFont="1" applyBorder="1" applyAlignment="1" applyProtection="1">
      <alignment horizontal="left" vertical="center" wrapText="1"/>
    </xf>
    <xf numFmtId="0" fontId="656" fillId="0" borderId="4" xfId="0" applyFont="1" applyBorder="1" applyAlignment="1" applyProtection="1">
      <alignment horizontal="left" vertical="center" wrapText="1"/>
    </xf>
    <xf numFmtId="0" fontId="657" fillId="0" borderId="3" xfId="0" applyFont="1" applyBorder="1" applyAlignment="1" applyProtection="1">
      <alignment horizontal="left" vertical="center" wrapText="1"/>
    </xf>
    <xf numFmtId="0" fontId="658" fillId="0" borderId="4" xfId="0" applyFont="1" applyBorder="1" applyAlignment="1" applyProtection="1">
      <alignment horizontal="left" vertical="center" wrapText="1"/>
    </xf>
    <xf numFmtId="0" fontId="659" fillId="0" borderId="3" xfId="0" applyFont="1" applyBorder="1" applyAlignment="1" applyProtection="1">
      <alignment horizontal="left" vertical="center" wrapText="1"/>
    </xf>
    <xf numFmtId="0" fontId="660" fillId="0" borderId="4" xfId="0" applyFont="1" applyBorder="1" applyAlignment="1" applyProtection="1">
      <alignment horizontal="left" vertical="center" wrapText="1"/>
    </xf>
    <xf numFmtId="0" fontId="661" fillId="0" borderId="3" xfId="0" applyFont="1" applyBorder="1" applyAlignment="1" applyProtection="1">
      <alignment horizontal="left" vertical="center" wrapText="1"/>
    </xf>
    <xf numFmtId="0" fontId="662" fillId="0" borderId="4" xfId="0" applyFont="1" applyBorder="1" applyAlignment="1" applyProtection="1">
      <alignment horizontal="left" vertical="center" wrapText="1"/>
    </xf>
    <xf numFmtId="0" fontId="663" fillId="0" borderId="4" xfId="0" applyFont="1" applyBorder="1" applyAlignment="1" applyProtection="1">
      <alignment horizontal="left" vertical="center" wrapText="1"/>
    </xf>
    <xf numFmtId="0" fontId="664" fillId="0" borderId="3" xfId="0" applyFont="1" applyBorder="1" applyAlignment="1" applyProtection="1">
      <alignment horizontal="left" vertical="center" wrapText="1"/>
    </xf>
    <xf numFmtId="0" fontId="665" fillId="0" borderId="4" xfId="0" applyFont="1" applyBorder="1" applyAlignment="1" applyProtection="1">
      <alignment horizontal="left" vertical="center" wrapText="1"/>
    </xf>
    <xf numFmtId="0" fontId="666" fillId="0" borderId="4" xfId="0" applyFont="1" applyBorder="1" applyAlignment="1" applyProtection="1">
      <alignment horizontal="left" vertical="center" wrapText="1"/>
    </xf>
    <xf numFmtId="0" fontId="667" fillId="0" borderId="4" xfId="0" applyFont="1" applyBorder="1" applyAlignment="1" applyProtection="1">
      <alignment horizontal="left" vertical="center" wrapText="1"/>
    </xf>
    <xf numFmtId="0" fontId="668" fillId="0" borderId="3" xfId="0" applyFont="1" applyBorder="1" applyAlignment="1" applyProtection="1">
      <alignment horizontal="left" vertical="center" wrapText="1"/>
    </xf>
    <xf numFmtId="0" fontId="669" fillId="0" borderId="4" xfId="0" applyFont="1" applyBorder="1" applyAlignment="1" applyProtection="1">
      <alignment horizontal="left" vertical="center" wrapText="1"/>
    </xf>
    <xf numFmtId="0" fontId="670" fillId="0" borderId="4" xfId="0" applyFont="1" applyBorder="1" applyAlignment="1" applyProtection="1">
      <alignment horizontal="left" vertical="center" wrapText="1"/>
    </xf>
    <xf numFmtId="0" fontId="671" fillId="0" borderId="4" xfId="0" applyFont="1" applyBorder="1" applyAlignment="1" applyProtection="1">
      <alignment horizontal="left" vertical="center" wrapText="1"/>
    </xf>
    <xf numFmtId="0" fontId="672" fillId="0" borderId="4" xfId="0" applyFont="1" applyBorder="1" applyAlignment="1" applyProtection="1">
      <alignment horizontal="left" vertical="center" wrapText="1"/>
    </xf>
    <xf numFmtId="0" fontId="673" fillId="0" borderId="4" xfId="0" applyFont="1" applyBorder="1" applyAlignment="1" applyProtection="1">
      <alignment horizontal="left" vertical="center" wrapText="1"/>
    </xf>
    <xf numFmtId="0" fontId="674" fillId="0" borderId="3" xfId="0" applyFont="1" applyBorder="1" applyAlignment="1" applyProtection="1">
      <alignment horizontal="left" vertical="center" wrapText="1"/>
    </xf>
    <xf numFmtId="0" fontId="675" fillId="0" borderId="4" xfId="0" applyFont="1" applyBorder="1" applyAlignment="1" applyProtection="1">
      <alignment horizontal="center" vertical="center" wrapText="1"/>
    </xf>
    <xf numFmtId="0" fontId="676" fillId="0" borderId="3" xfId="0" applyFont="1" applyBorder="1" applyAlignment="1" applyProtection="1">
      <alignment horizontal="center" vertical="center" wrapText="1"/>
    </xf>
    <xf numFmtId="0" fontId="677" fillId="0" borderId="3" xfId="0" applyFont="1" applyBorder="1" applyAlignment="1" applyProtection="1">
      <alignment horizontal="center" vertical="center" wrapText="1"/>
    </xf>
    <xf numFmtId="0" fontId="678" fillId="0" borderId="3" xfId="0" applyFont="1" applyBorder="1" applyAlignment="1" applyProtection="1">
      <alignment horizontal="center" vertical="center" wrapText="1"/>
    </xf>
    <xf numFmtId="0" fontId="679" fillId="0" borderId="3" xfId="0" applyFont="1" applyBorder="1" applyAlignment="1" applyProtection="1">
      <alignment horizontal="center" vertical="center" wrapText="1"/>
    </xf>
    <xf numFmtId="0" fontId="680" fillId="0" borderId="4" xfId="0" applyFont="1" applyBorder="1" applyAlignment="1" applyProtection="1">
      <alignment horizontal="center" vertical="center" wrapText="1"/>
    </xf>
    <xf numFmtId="0" fontId="681" fillId="0" borderId="3" xfId="0" applyFont="1" applyBorder="1" applyAlignment="1" applyProtection="1">
      <alignment horizontal="center" vertical="center" wrapText="1"/>
    </xf>
    <xf numFmtId="0" fontId="682" fillId="0" borderId="3" xfId="0" applyFont="1" applyBorder="1" applyAlignment="1" applyProtection="1">
      <alignment horizontal="center" vertical="center" wrapText="1"/>
    </xf>
    <xf numFmtId="0" fontId="683" fillId="0" borderId="3" xfId="0" applyFont="1" applyBorder="1" applyAlignment="1" applyProtection="1">
      <alignment horizontal="center" vertical="center" wrapText="1"/>
    </xf>
    <xf numFmtId="0" fontId="684" fillId="0" borderId="3" xfId="0" applyFont="1" applyBorder="1" applyAlignment="1" applyProtection="1">
      <alignment horizontal="center" vertical="center" wrapText="1"/>
    </xf>
    <xf numFmtId="0" fontId="685" fillId="0" borderId="3" xfId="0" applyFont="1" applyBorder="1" applyAlignment="1" applyProtection="1">
      <alignment horizontal="center" vertical="center" wrapText="1"/>
    </xf>
    <xf numFmtId="0" fontId="686" fillId="0" borderId="3" xfId="0" applyFont="1" applyBorder="1" applyAlignment="1" applyProtection="1">
      <alignment horizontal="center" vertical="center" wrapText="1"/>
    </xf>
    <xf numFmtId="0" fontId="687" fillId="0" borderId="3" xfId="0" applyFont="1" applyBorder="1" applyAlignment="1" applyProtection="1">
      <alignment horizontal="center" vertical="center" wrapText="1"/>
    </xf>
    <xf numFmtId="0" fontId="688" fillId="0" borderId="4" xfId="0" applyFont="1" applyBorder="1" applyAlignment="1" applyProtection="1">
      <alignment horizontal="center" vertical="center" wrapText="1"/>
    </xf>
    <xf numFmtId="0" fontId="689" fillId="0" borderId="3" xfId="0" applyFont="1" applyBorder="1" applyAlignment="1" applyProtection="1">
      <alignment horizontal="center" vertical="center" wrapText="1"/>
    </xf>
    <xf numFmtId="0" fontId="690" fillId="0" borderId="3" xfId="0" applyFont="1" applyBorder="1" applyAlignment="1" applyProtection="1">
      <alignment horizontal="center" vertical="center" wrapText="1"/>
    </xf>
    <xf numFmtId="0" fontId="691" fillId="0" borderId="3" xfId="0" applyFont="1" applyBorder="1" applyAlignment="1" applyProtection="1">
      <alignment horizontal="center" vertical="center" wrapText="1"/>
    </xf>
    <xf numFmtId="0" fontId="692" fillId="0" borderId="4" xfId="0" applyFont="1" applyBorder="1" applyAlignment="1" applyProtection="1">
      <alignment horizontal="left" vertical="center" wrapText="1"/>
    </xf>
    <xf numFmtId="0" fontId="693" fillId="0" borderId="3" xfId="0" applyFont="1" applyBorder="1" applyAlignment="1" applyProtection="1">
      <alignment horizontal="left" vertical="center" wrapText="1"/>
    </xf>
    <xf numFmtId="0" fontId="694" fillId="0" borderId="3" xfId="0" applyFont="1" applyBorder="1" applyAlignment="1" applyProtection="1">
      <alignment horizontal="left" vertical="center" wrapText="1"/>
    </xf>
    <xf numFmtId="0" fontId="695" fillId="0" borderId="3" xfId="0" applyFont="1" applyBorder="1" applyAlignment="1" applyProtection="1">
      <alignment horizontal="left" vertical="center" wrapText="1"/>
    </xf>
    <xf numFmtId="0" fontId="696" fillId="0" borderId="3" xfId="0" applyFont="1" applyBorder="1" applyAlignment="1" applyProtection="1">
      <alignment horizontal="left" vertical="center" wrapText="1"/>
    </xf>
    <xf numFmtId="0" fontId="697" fillId="0" borderId="3" xfId="0" applyFont="1" applyBorder="1" applyAlignment="1" applyProtection="1">
      <alignment horizontal="left" vertical="center" wrapText="1"/>
    </xf>
    <xf numFmtId="0" fontId="698" fillId="0" borderId="3" xfId="0" applyFont="1" applyBorder="1" applyAlignment="1" applyProtection="1">
      <alignment horizontal="left" vertical="center" wrapText="1"/>
    </xf>
    <xf numFmtId="0" fontId="699" fillId="0" borderId="3" xfId="0" applyFont="1" applyBorder="1" applyAlignment="1" applyProtection="1">
      <alignment horizontal="left" vertical="center" wrapText="1"/>
    </xf>
    <xf numFmtId="0" fontId="700" fillId="0" borderId="3" xfId="0" applyFont="1" applyBorder="1" applyAlignment="1" applyProtection="1">
      <alignment horizontal="left" vertical="center" wrapText="1"/>
    </xf>
    <xf numFmtId="0" fontId="701" fillId="0" borderId="3" xfId="0" applyFont="1" applyBorder="1" applyAlignment="1" applyProtection="1">
      <alignment horizontal="left" vertical="center" wrapText="1"/>
    </xf>
    <xf numFmtId="0" fontId="702" fillId="0" borderId="4" xfId="0" applyFont="1" applyBorder="1" applyAlignment="1" applyProtection="1">
      <alignment horizontal="left" vertical="center" wrapText="1"/>
    </xf>
    <xf numFmtId="0" fontId="703" fillId="0" borderId="4" xfId="0" applyFont="1" applyBorder="1" applyAlignment="1" applyProtection="1">
      <alignment horizontal="left" vertical="center" wrapText="1"/>
    </xf>
    <xf numFmtId="0" fontId="704" fillId="0" borderId="3" xfId="0" applyFont="1" applyBorder="1" applyAlignment="1" applyProtection="1">
      <alignment horizontal="left" vertical="center" wrapText="1"/>
    </xf>
    <xf numFmtId="0" fontId="705" fillId="0" borderId="3" xfId="0" applyFont="1" applyBorder="1" applyAlignment="1" applyProtection="1">
      <alignment horizontal="left" vertical="center" wrapText="1"/>
    </xf>
    <xf numFmtId="0" fontId="706" fillId="0" borderId="3" xfId="0" applyFont="1" applyBorder="1" applyAlignment="1" applyProtection="1">
      <alignment horizontal="left" vertical="center" wrapText="1"/>
    </xf>
    <xf numFmtId="0" fontId="707" fillId="0" borderId="3" xfId="0" applyFont="1" applyBorder="1" applyAlignment="1" applyProtection="1">
      <alignment horizontal="left" vertical="center" wrapText="1"/>
    </xf>
    <xf numFmtId="0" fontId="708" fillId="0" borderId="3" xfId="0" applyFont="1" applyBorder="1" applyAlignment="1" applyProtection="1">
      <alignment horizontal="left" vertical="center" wrapText="1"/>
    </xf>
    <xf numFmtId="0" fontId="709" fillId="0" borderId="3" xfId="0" applyFont="1" applyBorder="1" applyAlignment="1" applyProtection="1">
      <alignment horizontal="left" vertical="center" wrapText="1"/>
    </xf>
    <xf numFmtId="0" fontId="710" fillId="0" borderId="3" xfId="0" applyFont="1" applyBorder="1" applyAlignment="1" applyProtection="1">
      <alignment horizontal="left" vertical="center" wrapText="1"/>
    </xf>
    <xf numFmtId="0" fontId="711" fillId="0" borderId="3" xfId="0" applyFont="1" applyBorder="1" applyAlignment="1" applyProtection="1">
      <alignment horizontal="left" vertical="center" wrapText="1"/>
    </xf>
    <xf numFmtId="0" fontId="712" fillId="0" borderId="3" xfId="0" applyFont="1" applyBorder="1" applyAlignment="1" applyProtection="1">
      <alignment horizontal="left" vertical="center" wrapText="1"/>
    </xf>
    <xf numFmtId="0" fontId="713" fillId="0" borderId="3" xfId="0" applyFont="1" applyBorder="1" applyAlignment="1" applyProtection="1">
      <alignment horizontal="left" vertical="center" wrapText="1"/>
    </xf>
    <xf numFmtId="0" fontId="714" fillId="0" borderId="3" xfId="0" applyFont="1" applyBorder="1" applyAlignment="1" applyProtection="1">
      <alignment horizontal="left" vertical="center" wrapText="1"/>
    </xf>
    <xf numFmtId="0" fontId="715" fillId="0" borderId="3" xfId="0" applyFont="1" applyBorder="1" applyAlignment="1" applyProtection="1">
      <alignment horizontal="left" vertical="center" wrapText="1"/>
    </xf>
    <xf numFmtId="0" fontId="716" fillId="0" borderId="3" xfId="0" applyFont="1" applyBorder="1" applyAlignment="1" applyProtection="1">
      <alignment horizontal="left" vertical="center" wrapText="1"/>
    </xf>
    <xf numFmtId="0" fontId="717" fillId="0" borderId="3" xfId="0" applyFont="1" applyBorder="1" applyAlignment="1" applyProtection="1">
      <alignment horizontal="left" vertical="center" wrapText="1"/>
    </xf>
    <xf numFmtId="0" fontId="718" fillId="0" borderId="3" xfId="0" applyFont="1" applyBorder="1" applyAlignment="1" applyProtection="1">
      <alignment horizontal="left" vertical="center" wrapText="1"/>
    </xf>
    <xf numFmtId="0" fontId="719" fillId="0" borderId="3" xfId="0" applyFont="1" applyBorder="1" applyAlignment="1" applyProtection="1">
      <alignment horizontal="left" vertical="center" wrapText="1"/>
    </xf>
    <xf numFmtId="0" fontId="720" fillId="0" borderId="4" xfId="0" applyFont="1" applyBorder="1" applyAlignment="1" applyProtection="1">
      <alignment horizontal="center" vertical="center" wrapText="1"/>
    </xf>
    <xf numFmtId="0" fontId="721" fillId="0" borderId="3" xfId="0" applyFont="1" applyBorder="1" applyAlignment="1" applyProtection="1">
      <alignment horizontal="center" vertical="center" wrapText="1"/>
    </xf>
    <xf numFmtId="0" fontId="722" fillId="0" borderId="3" xfId="0" applyFont="1" applyBorder="1" applyAlignment="1" applyProtection="1">
      <alignment horizontal="center" vertical="center" wrapText="1"/>
    </xf>
    <xf numFmtId="0" fontId="723" fillId="0" borderId="3" xfId="0" applyFont="1" applyBorder="1" applyAlignment="1" applyProtection="1">
      <alignment horizontal="center" vertical="center" wrapText="1"/>
    </xf>
    <xf numFmtId="0" fontId="724" fillId="0" borderId="3" xfId="0" applyFont="1" applyBorder="1" applyAlignment="1" applyProtection="1">
      <alignment horizontal="center" vertical="center" wrapText="1"/>
    </xf>
    <xf numFmtId="0" fontId="725" fillId="0" borderId="4" xfId="0" applyFont="1" applyBorder="1" applyAlignment="1" applyProtection="1">
      <alignment horizontal="center" vertical="center" wrapText="1"/>
    </xf>
    <xf numFmtId="0" fontId="726" fillId="0" borderId="3" xfId="0" applyFont="1" applyBorder="1" applyAlignment="1" applyProtection="1">
      <alignment horizontal="center" vertical="center" wrapText="1"/>
    </xf>
    <xf numFmtId="0" fontId="727" fillId="0" borderId="3" xfId="0" applyFont="1" applyBorder="1" applyAlignment="1" applyProtection="1">
      <alignment horizontal="center" vertical="center" wrapText="1"/>
    </xf>
    <xf numFmtId="0" fontId="728" fillId="0" borderId="3" xfId="0" applyFont="1" applyBorder="1" applyAlignment="1" applyProtection="1">
      <alignment horizontal="center" vertical="center" wrapText="1"/>
    </xf>
    <xf numFmtId="0" fontId="729" fillId="0" borderId="3" xfId="0" applyFont="1" applyBorder="1" applyAlignment="1" applyProtection="1">
      <alignment horizontal="center" vertical="center" wrapText="1"/>
    </xf>
    <xf numFmtId="0" fontId="730" fillId="0" borderId="3" xfId="0" applyFont="1" applyBorder="1" applyAlignment="1" applyProtection="1">
      <alignment horizontal="center" vertical="center" wrapText="1"/>
    </xf>
    <xf numFmtId="0" fontId="731" fillId="0" borderId="3" xfId="0" applyFont="1" applyBorder="1" applyAlignment="1" applyProtection="1">
      <alignment horizontal="center" vertical="center" wrapText="1"/>
    </xf>
    <xf numFmtId="0" fontId="732" fillId="0" borderId="3" xfId="0" applyFont="1" applyBorder="1" applyAlignment="1" applyProtection="1">
      <alignment horizontal="center" vertical="center" wrapText="1"/>
    </xf>
    <xf numFmtId="0" fontId="733" fillId="0" borderId="4" xfId="0" applyFont="1" applyBorder="1" applyAlignment="1" applyProtection="1">
      <alignment horizontal="center" vertical="center" wrapText="1"/>
    </xf>
    <xf numFmtId="0" fontId="734" fillId="0" borderId="3" xfId="0" applyFont="1" applyBorder="1" applyAlignment="1" applyProtection="1">
      <alignment horizontal="center" vertical="center" wrapText="1"/>
    </xf>
    <xf numFmtId="0" fontId="735" fillId="0" borderId="3" xfId="0" applyFont="1" applyBorder="1" applyAlignment="1" applyProtection="1">
      <alignment horizontal="center" vertical="center" wrapText="1"/>
    </xf>
    <xf numFmtId="0" fontId="736" fillId="0" borderId="3" xfId="0" applyFont="1" applyBorder="1" applyAlignment="1" applyProtection="1">
      <alignment horizontal="center" vertical="center" wrapText="1"/>
    </xf>
    <xf numFmtId="0" fontId="737" fillId="2" borderId="4" xfId="0" applyFont="1" applyFill="1" applyBorder="1" applyAlignment="1" applyProtection="1">
      <alignment vertical="center" wrapText="1"/>
    </xf>
    <xf numFmtId="0" fontId="738" fillId="2" borderId="4" xfId="0" applyFont="1" applyFill="1" applyBorder="1" applyAlignment="1" applyProtection="1">
      <alignment horizontal="left" vertical="center" wrapText="1"/>
    </xf>
    <xf numFmtId="0" fontId="739" fillId="2" borderId="3" xfId="0" applyFont="1" applyFill="1" applyBorder="1" applyAlignment="1" applyProtection="1">
      <alignment vertical="center" wrapText="1"/>
    </xf>
    <xf numFmtId="0" fontId="740" fillId="2" borderId="4" xfId="0" applyFont="1" applyFill="1" applyBorder="1" applyAlignment="1" applyProtection="1">
      <alignment horizontal="left" vertical="center" wrapText="1"/>
    </xf>
    <xf numFmtId="0" fontId="741" fillId="2" borderId="3" xfId="0" applyFont="1" applyFill="1" applyBorder="1" applyAlignment="1" applyProtection="1">
      <alignment vertical="center" wrapText="1"/>
    </xf>
    <xf numFmtId="0" fontId="742" fillId="2" borderId="4" xfId="0" applyFont="1" applyFill="1" applyBorder="1" applyAlignment="1" applyProtection="1">
      <alignment horizontal="left" vertical="center" wrapText="1"/>
    </xf>
    <xf numFmtId="0" fontId="743" fillId="2" borderId="3" xfId="0" applyFont="1" applyFill="1" applyBorder="1" applyAlignment="1" applyProtection="1">
      <alignment vertical="center" wrapText="1"/>
    </xf>
    <xf numFmtId="0" fontId="744" fillId="2" borderId="4" xfId="0" applyFont="1" applyFill="1" applyBorder="1" applyAlignment="1" applyProtection="1">
      <alignment horizontal="left" vertical="center" wrapText="1"/>
    </xf>
    <xf numFmtId="0" fontId="745" fillId="2" borderId="3" xfId="0" applyFont="1" applyFill="1" applyBorder="1" applyAlignment="1" applyProtection="1">
      <alignment vertical="center" wrapText="1"/>
    </xf>
    <xf numFmtId="0" fontId="746" fillId="2" borderId="4" xfId="0" applyFont="1" applyFill="1" applyBorder="1" applyAlignment="1" applyProtection="1">
      <alignment horizontal="left" vertical="center" wrapText="1"/>
    </xf>
    <xf numFmtId="0" fontId="747" fillId="2" borderId="3" xfId="0" applyFont="1" applyFill="1" applyBorder="1" applyAlignment="1" applyProtection="1">
      <alignment vertical="center" wrapText="1"/>
    </xf>
    <xf numFmtId="0" fontId="748" fillId="2" borderId="4" xfId="0" applyFont="1" applyFill="1" applyBorder="1" applyAlignment="1" applyProtection="1">
      <alignment horizontal="left" vertical="center" wrapText="1"/>
    </xf>
    <xf numFmtId="0" fontId="749" fillId="2" borderId="3" xfId="0" applyFont="1" applyFill="1" applyBorder="1" applyAlignment="1" applyProtection="1">
      <alignment vertical="center" wrapText="1"/>
    </xf>
    <xf numFmtId="0" fontId="750" fillId="2" borderId="3" xfId="0" applyFont="1" applyFill="1" applyBorder="1" applyAlignment="1" applyProtection="1">
      <alignment horizontal="left" vertical="center" wrapText="1"/>
    </xf>
    <xf numFmtId="0" fontId="751" fillId="2" borderId="25" xfId="0" applyFont="1" applyFill="1" applyBorder="1" applyAlignment="1" applyProtection="1">
      <alignment vertical="center" wrapText="1"/>
    </xf>
    <xf numFmtId="0" fontId="752" fillId="2" borderId="25" xfId="0" applyFont="1" applyFill="1" applyBorder="1" applyAlignment="1" applyProtection="1">
      <alignment horizontal="left" vertical="center" wrapText="1"/>
    </xf>
    <xf numFmtId="0" fontId="753" fillId="2" borderId="3" xfId="0" applyFont="1" applyFill="1" applyBorder="1" applyAlignment="1" applyProtection="1">
      <alignment vertical="center" wrapText="1"/>
    </xf>
    <xf numFmtId="0" fontId="754" fillId="2" borderId="3" xfId="0" applyFont="1" applyFill="1" applyBorder="1" applyAlignment="1" applyProtection="1">
      <alignment vertical="center" wrapText="1"/>
    </xf>
    <xf numFmtId="0" fontId="755" fillId="2" borderId="4" xfId="0" applyFont="1" applyFill="1" applyBorder="1" applyAlignment="1" applyProtection="1">
      <alignment vertical="center" wrapText="1"/>
    </xf>
    <xf numFmtId="0" fontId="756" fillId="2" borderId="25" xfId="0" applyFont="1" applyFill="1" applyBorder="1" applyAlignment="1" applyProtection="1">
      <alignment vertical="center" wrapText="1"/>
    </xf>
    <xf numFmtId="0" fontId="757" fillId="2" borderId="3" xfId="0" applyFont="1" applyFill="1" applyBorder="1" applyAlignment="1" applyProtection="1">
      <alignment vertical="center" wrapText="1"/>
    </xf>
    <xf numFmtId="0" fontId="758" fillId="2" borderId="3" xfId="0" applyFont="1" applyFill="1" applyBorder="1" applyAlignment="1" applyProtection="1">
      <alignment vertical="center" wrapText="1"/>
    </xf>
    <xf numFmtId="0" fontId="759" fillId="2" borderId="3" xfId="0" applyFont="1" applyFill="1" applyBorder="1" applyAlignment="1" applyProtection="1">
      <alignment horizontal="left" vertical="center" wrapText="1"/>
    </xf>
    <xf numFmtId="0" fontId="760" fillId="2" borderId="3" xfId="0" applyFont="1" applyFill="1" applyBorder="1" applyAlignment="1" applyProtection="1">
      <alignment vertical="center" wrapText="1"/>
    </xf>
    <xf numFmtId="0" fontId="761" fillId="2" borderId="3" xfId="0" applyFont="1" applyFill="1" applyBorder="1" applyAlignment="1" applyProtection="1">
      <alignment horizontal="left" vertical="top" wrapText="1"/>
    </xf>
    <xf numFmtId="0" fontId="762" fillId="0" borderId="3" xfId="0" applyFont="1" applyBorder="1" applyAlignment="1" applyProtection="1">
      <alignment vertical="center" wrapText="1"/>
    </xf>
    <xf numFmtId="0" fontId="763" fillId="17" borderId="3" xfId="0" applyFont="1" applyFill="1" applyBorder="1" applyAlignment="1" applyProtection="1">
      <alignment vertical="center" wrapText="1"/>
    </xf>
    <xf numFmtId="0" fontId="764" fillId="0" borderId="3" xfId="0" applyFont="1" applyBorder="1" applyAlignment="1" applyProtection="1">
      <alignment vertical="center" wrapText="1"/>
    </xf>
    <xf numFmtId="0" fontId="765" fillId="0" borderId="3" xfId="0" applyFont="1" applyBorder="1" applyAlignment="1" applyProtection="1">
      <alignment vertical="center" wrapText="1"/>
    </xf>
    <xf numFmtId="0" fontId="766" fillId="0" borderId="25" xfId="0" applyFont="1" applyBorder="1" applyAlignment="1" applyProtection="1">
      <alignment horizontal="left" vertical="center" wrapText="1"/>
    </xf>
    <xf numFmtId="0" fontId="767" fillId="0" borderId="25" xfId="0" applyFont="1" applyBorder="1" applyAlignment="1" applyProtection="1">
      <alignment vertical="center" wrapText="1"/>
    </xf>
    <xf numFmtId="0" fontId="768" fillId="0" borderId="3" xfId="0" applyFont="1" applyBorder="1" applyAlignment="1" applyProtection="1">
      <alignment vertical="center" wrapText="1"/>
    </xf>
    <xf numFmtId="0" fontId="769" fillId="17" borderId="3" xfId="0" applyFont="1" applyFill="1" applyBorder="1" applyAlignment="1" applyProtection="1">
      <alignment vertical="center" wrapText="1"/>
    </xf>
    <xf numFmtId="0" fontId="770" fillId="0" borderId="3" xfId="0" applyFont="1" applyBorder="1" applyAlignment="1" applyProtection="1">
      <alignment vertical="center" wrapText="1"/>
    </xf>
    <xf numFmtId="0" fontId="771" fillId="0" borderId="3" xfId="0" applyFont="1" applyBorder="1" applyAlignment="1" applyProtection="1">
      <alignment vertical="center" wrapText="1"/>
    </xf>
    <xf numFmtId="0" fontId="772" fillId="0" borderId="3" xfId="0" applyFont="1" applyBorder="1" applyAlignment="1" applyProtection="1">
      <alignment vertical="center" wrapText="1"/>
    </xf>
    <xf numFmtId="0" fontId="773" fillId="0" borderId="25" xfId="0" applyFont="1" applyBorder="1" applyAlignment="1" applyProtection="1">
      <alignment vertical="center" wrapText="1"/>
    </xf>
    <xf numFmtId="0" fontId="774" fillId="0" borderId="3" xfId="0" applyFont="1" applyBorder="1" applyAlignment="1" applyProtection="1">
      <alignment vertical="center" wrapText="1"/>
    </xf>
    <xf numFmtId="0" fontId="775" fillId="0" borderId="3" xfId="0" applyFont="1" applyBorder="1" applyAlignment="1" applyProtection="1">
      <alignment vertical="center" wrapText="1"/>
    </xf>
    <xf numFmtId="0" fontId="776" fillId="0" borderId="3" xfId="0" applyFont="1" applyBorder="1" applyAlignment="1" applyProtection="1">
      <alignment vertical="center" wrapText="1"/>
    </xf>
    <xf numFmtId="0" fontId="777" fillId="0" borderId="3" xfId="0" applyFont="1" applyBorder="1" applyAlignment="1" applyProtection="1">
      <alignment vertical="center" wrapText="1"/>
    </xf>
    <xf numFmtId="0" fontId="778" fillId="2" borderId="3" xfId="0" applyFont="1" applyFill="1" applyBorder="1" applyAlignment="1" applyProtection="1">
      <alignment vertical="center" wrapText="1"/>
    </xf>
    <xf numFmtId="0" fontId="779" fillId="4" borderId="3" xfId="0" applyFont="1" applyFill="1" applyBorder="1" applyAlignment="1" applyProtection="1">
      <alignment horizontal="left" vertical="center" wrapText="1"/>
    </xf>
    <xf numFmtId="0" fontId="780" fillId="2" borderId="3" xfId="0" applyFont="1" applyFill="1" applyBorder="1" applyAlignment="1" applyProtection="1">
      <alignment vertical="center" wrapText="1"/>
    </xf>
    <xf numFmtId="0" fontId="781" fillId="2" borderId="3" xfId="0" applyFont="1" applyFill="1" applyBorder="1" applyAlignment="1" applyProtection="1">
      <alignment horizontal="left" vertical="center" wrapText="1"/>
    </xf>
    <xf numFmtId="0" fontId="782" fillId="0" borderId="4" xfId="0" applyFont="1" applyBorder="1" applyAlignment="1" applyProtection="1">
      <alignment horizontal="center" vertical="center" wrapText="1"/>
    </xf>
    <xf numFmtId="0" fontId="783" fillId="0" borderId="3" xfId="0" applyFont="1" applyBorder="1" applyAlignment="1" applyProtection="1">
      <alignment horizontal="center" vertical="center" wrapText="1"/>
    </xf>
    <xf numFmtId="0" fontId="784" fillId="0" borderId="3" xfId="0" applyFont="1" applyBorder="1" applyAlignment="1" applyProtection="1">
      <alignment horizontal="center" vertical="center" wrapText="1"/>
    </xf>
    <xf numFmtId="0" fontId="785" fillId="0" borderId="3" xfId="0" applyFont="1" applyBorder="1" applyAlignment="1" applyProtection="1">
      <alignment horizontal="center" vertical="center" wrapText="1"/>
    </xf>
    <xf numFmtId="0" fontId="786" fillId="0" borderId="3" xfId="0" applyFont="1" applyBorder="1" applyAlignment="1" applyProtection="1">
      <alignment horizontal="center" vertical="center" wrapText="1"/>
    </xf>
    <xf numFmtId="0" fontId="787" fillId="0" borderId="4" xfId="0" applyFont="1" applyBorder="1" applyAlignment="1" applyProtection="1">
      <alignment horizontal="center" vertical="center" wrapText="1"/>
    </xf>
    <xf numFmtId="0" fontId="788" fillId="0" borderId="3" xfId="0" applyFont="1" applyBorder="1" applyAlignment="1" applyProtection="1">
      <alignment horizontal="center" vertical="center" wrapText="1"/>
    </xf>
    <xf numFmtId="0" fontId="789" fillId="0" borderId="3" xfId="0" applyFont="1" applyBorder="1" applyAlignment="1" applyProtection="1">
      <alignment horizontal="center" vertical="center" wrapText="1"/>
    </xf>
    <xf numFmtId="0" fontId="790" fillId="0" borderId="3" xfId="0" applyFont="1" applyBorder="1" applyAlignment="1" applyProtection="1">
      <alignment horizontal="center" vertical="center" wrapText="1"/>
    </xf>
    <xf numFmtId="0" fontId="791" fillId="0" borderId="3" xfId="0" applyFont="1" applyBorder="1" applyAlignment="1" applyProtection="1">
      <alignment horizontal="center" vertical="center" wrapText="1"/>
    </xf>
    <xf numFmtId="0" fontId="792" fillId="0" borderId="3" xfId="0" applyFont="1" applyBorder="1" applyAlignment="1" applyProtection="1">
      <alignment horizontal="center" vertical="center" wrapText="1"/>
    </xf>
    <xf numFmtId="0" fontId="793" fillId="0" borderId="3" xfId="0" applyFont="1" applyBorder="1" applyAlignment="1" applyProtection="1">
      <alignment horizontal="center" vertical="center" wrapText="1"/>
    </xf>
    <xf numFmtId="0" fontId="794" fillId="0" borderId="3" xfId="0" applyFont="1" applyBorder="1" applyAlignment="1" applyProtection="1">
      <alignment horizontal="center" vertical="center" wrapText="1"/>
    </xf>
    <xf numFmtId="0" fontId="795" fillId="0" borderId="4" xfId="0" applyFont="1" applyBorder="1" applyAlignment="1" applyProtection="1">
      <alignment horizontal="center" vertical="center" wrapText="1"/>
    </xf>
    <xf numFmtId="0" fontId="796" fillId="0" borderId="3" xfId="0" applyFont="1" applyBorder="1" applyAlignment="1" applyProtection="1">
      <alignment horizontal="center" vertical="center" wrapText="1"/>
    </xf>
    <xf numFmtId="0" fontId="797" fillId="0" borderId="3" xfId="0" applyFont="1" applyBorder="1" applyAlignment="1" applyProtection="1">
      <alignment horizontal="center" vertical="center" wrapText="1"/>
    </xf>
    <xf numFmtId="0" fontId="798" fillId="0" borderId="3" xfId="0" applyFont="1" applyBorder="1" applyAlignment="1" applyProtection="1">
      <alignment horizontal="center" vertical="center" wrapText="1"/>
    </xf>
    <xf numFmtId="0" fontId="799" fillId="0" borderId="3" xfId="0" applyFont="1" applyBorder="1" applyAlignment="1" applyProtection="1">
      <alignment horizontal="left" vertical="center" wrapText="1"/>
    </xf>
    <xf numFmtId="0" fontId="800" fillId="0" borderId="3" xfId="0" applyFont="1" applyBorder="1" applyAlignment="1" applyProtection="1">
      <alignment horizontal="left" vertical="center" wrapText="1"/>
    </xf>
    <xf numFmtId="0" fontId="801" fillId="0" borderId="3" xfId="0" applyFont="1" applyBorder="1" applyAlignment="1" applyProtection="1">
      <alignment horizontal="left" vertical="center" wrapText="1"/>
    </xf>
    <xf numFmtId="0" fontId="802" fillId="0" borderId="3" xfId="0" applyFont="1" applyBorder="1" applyAlignment="1" applyProtection="1">
      <alignment horizontal="left" vertical="center" wrapText="1"/>
    </xf>
    <xf numFmtId="0" fontId="803" fillId="0" borderId="3" xfId="0" applyFont="1" applyBorder="1" applyAlignment="1" applyProtection="1">
      <alignment horizontal="left" vertical="center" wrapText="1"/>
    </xf>
    <xf numFmtId="0" fontId="804" fillId="0" borderId="3" xfId="0" applyFont="1" applyBorder="1" applyAlignment="1" applyProtection="1">
      <alignment horizontal="left" vertical="center" wrapText="1"/>
    </xf>
    <xf numFmtId="0" fontId="805" fillId="0" borderId="3" xfId="0" applyFont="1" applyBorder="1" applyAlignment="1" applyProtection="1">
      <alignment horizontal="left" vertical="center" wrapText="1"/>
    </xf>
    <xf numFmtId="0" fontId="806" fillId="0" borderId="3" xfId="0" applyFont="1" applyBorder="1" applyAlignment="1" applyProtection="1">
      <alignment horizontal="left" vertical="center" wrapText="1"/>
    </xf>
    <xf numFmtId="0" fontId="807" fillId="5" borderId="3" xfId="0" applyFont="1" applyFill="1" applyBorder="1" applyAlignment="1" applyProtection="1">
      <alignment vertical="center" wrapText="1"/>
    </xf>
    <xf numFmtId="0" fontId="808" fillId="5" borderId="3" xfId="0" applyFont="1" applyFill="1" applyBorder="1" applyAlignment="1" applyProtection="1">
      <alignment vertical="center" wrapText="1"/>
    </xf>
    <xf numFmtId="0" fontId="809" fillId="5" borderId="3" xfId="0" applyFont="1" applyFill="1" applyBorder="1" applyAlignment="1" applyProtection="1">
      <alignment vertical="center" wrapText="1"/>
    </xf>
    <xf numFmtId="0" fontId="810" fillId="5" borderId="3" xfId="0" applyFont="1" applyFill="1" applyBorder="1" applyAlignment="1" applyProtection="1">
      <alignment vertical="center" wrapText="1"/>
    </xf>
    <xf numFmtId="0" fontId="811" fillId="5" borderId="3" xfId="0" applyFont="1" applyFill="1" applyBorder="1" applyAlignment="1" applyProtection="1">
      <alignment vertical="center" wrapText="1"/>
    </xf>
    <xf numFmtId="0" fontId="812" fillId="0" borderId="3" xfId="0" applyFont="1" applyBorder="1" applyAlignment="1" applyProtection="1">
      <alignment vertical="center" wrapText="1"/>
    </xf>
    <xf numFmtId="0" fontId="813" fillId="5" borderId="3" xfId="0" applyFont="1" applyFill="1" applyBorder="1" applyAlignment="1" applyProtection="1">
      <alignment vertical="center" wrapText="1"/>
    </xf>
    <xf numFmtId="0" fontId="814" fillId="5" borderId="3" xfId="0" applyFont="1" applyFill="1" applyBorder="1" applyAlignment="1" applyProtection="1">
      <alignment vertical="center" wrapText="1"/>
    </xf>
    <xf numFmtId="0" fontId="815" fillId="5" borderId="3" xfId="0" applyFont="1" applyFill="1" applyBorder="1" applyAlignment="1" applyProtection="1">
      <alignment vertical="center" wrapText="1"/>
    </xf>
    <xf numFmtId="0" fontId="816" fillId="5" borderId="3" xfId="0" applyFont="1" applyFill="1" applyBorder="1" applyAlignment="1" applyProtection="1">
      <alignment horizontal="left" vertical="center" wrapText="1"/>
    </xf>
    <xf numFmtId="0" fontId="817" fillId="0" borderId="3" xfId="0" applyFont="1" applyBorder="1" applyAlignment="1" applyProtection="1">
      <alignment vertical="center" wrapText="1"/>
    </xf>
    <xf numFmtId="0" fontId="818" fillId="0" borderId="3" xfId="0" applyFont="1" applyBorder="1" applyAlignment="1" applyProtection="1">
      <alignment vertical="center" wrapText="1"/>
    </xf>
    <xf numFmtId="0" fontId="819" fillId="0" borderId="3" xfId="0" applyFont="1" applyBorder="1" applyAlignment="1" applyProtection="1">
      <alignment horizontal="left" vertical="center" wrapText="1"/>
    </xf>
    <xf numFmtId="0" fontId="820" fillId="0" borderId="3" xfId="0" applyFont="1" applyBorder="1" applyAlignment="1" applyProtection="1">
      <alignment horizontal="left" vertical="center" wrapText="1"/>
    </xf>
    <xf numFmtId="0" fontId="821" fillId="0" borderId="3" xfId="0" applyFont="1" applyBorder="1" applyAlignment="1" applyProtection="1">
      <alignment horizontal="left" vertical="center" wrapText="1"/>
    </xf>
    <xf numFmtId="0" fontId="822" fillId="0" borderId="3" xfId="0" applyFont="1" applyBorder="1" applyAlignment="1" applyProtection="1">
      <alignment horizontal="left" vertical="center" wrapText="1"/>
    </xf>
    <xf numFmtId="0" fontId="823" fillId="5" borderId="3" xfId="0" applyFont="1" applyFill="1" applyBorder="1" applyAlignment="1" applyProtection="1">
      <alignment horizontal="left" vertical="center" wrapText="1"/>
    </xf>
    <xf numFmtId="0" fontId="824" fillId="5" borderId="3" xfId="0" applyFont="1" applyFill="1" applyBorder="1" applyAlignment="1" applyProtection="1">
      <alignment horizontal="left" vertical="center" wrapText="1"/>
    </xf>
    <xf numFmtId="0" fontId="825" fillId="5" borderId="3" xfId="0" applyFont="1" applyFill="1" applyBorder="1" applyAlignment="1" applyProtection="1">
      <alignment horizontal="left" vertical="center" wrapText="1"/>
    </xf>
    <xf numFmtId="0" fontId="826" fillId="5" borderId="3" xfId="0" applyFont="1" applyFill="1" applyBorder="1" applyAlignment="1" applyProtection="1">
      <alignment horizontal="left" vertical="center" wrapText="1"/>
    </xf>
    <xf numFmtId="0" fontId="827" fillId="5" borderId="3" xfId="0" applyFont="1" applyFill="1" applyBorder="1" applyAlignment="1" applyProtection="1">
      <alignment horizontal="left" vertical="center" wrapText="1"/>
    </xf>
    <xf numFmtId="0" fontId="828" fillId="0" borderId="3" xfId="0" applyFont="1" applyBorder="1" applyAlignment="1" applyProtection="1">
      <alignment horizontal="left" vertical="center" wrapText="1"/>
    </xf>
    <xf numFmtId="0" fontId="829" fillId="0" borderId="3" xfId="0" applyFont="1" applyBorder="1" applyAlignment="1" applyProtection="1">
      <alignment vertical="center" wrapText="1"/>
    </xf>
    <xf numFmtId="0" fontId="830" fillId="0" borderId="3" xfId="0" applyFont="1" applyBorder="1" applyAlignment="1" applyProtection="1">
      <alignment horizontal="left" vertical="center" wrapText="1"/>
    </xf>
    <xf numFmtId="0" fontId="831" fillId="0" borderId="3" xfId="0" applyFont="1" applyBorder="1" applyAlignment="1" applyProtection="1">
      <alignment horizontal="left" vertical="center" wrapText="1"/>
    </xf>
    <xf numFmtId="0" fontId="832" fillId="5" borderId="3" xfId="0" applyFont="1" applyFill="1" applyBorder="1" applyAlignment="1" applyProtection="1">
      <alignment horizontal="left" vertical="center" wrapText="1"/>
    </xf>
    <xf numFmtId="0" fontId="833" fillId="5" borderId="3" xfId="0" applyFont="1" applyFill="1" applyBorder="1" applyAlignment="1" applyProtection="1">
      <alignment horizontal="left" vertical="center" wrapText="1"/>
    </xf>
    <xf numFmtId="0" fontId="834" fillId="5" borderId="3" xfId="0" applyFont="1" applyFill="1" applyBorder="1" applyAlignment="1" applyProtection="1">
      <alignment horizontal="left" vertical="center" wrapText="1"/>
    </xf>
    <xf numFmtId="0" fontId="835" fillId="5" borderId="3" xfId="0" applyFont="1" applyFill="1" applyBorder="1" applyAlignment="1" applyProtection="1">
      <alignment horizontal="left" vertical="center" wrapText="1"/>
    </xf>
    <xf numFmtId="0" fontId="836" fillId="5" borderId="3" xfId="0" applyFont="1" applyFill="1" applyBorder="1" applyAlignment="1" applyProtection="1">
      <alignment horizontal="left" vertical="center" wrapText="1"/>
    </xf>
    <xf numFmtId="0" fontId="837" fillId="0" borderId="3" xfId="0" applyFont="1" applyBorder="1" applyAlignment="1" applyProtection="1">
      <alignment horizontal="left" vertical="center" wrapText="1"/>
    </xf>
    <xf numFmtId="0" fontId="838" fillId="0" borderId="3" xfId="0" applyFont="1" applyBorder="1" applyAlignment="1" applyProtection="1">
      <alignment vertical="center" wrapText="1"/>
    </xf>
    <xf numFmtId="0" fontId="839" fillId="0" borderId="3" xfId="0" applyFont="1" applyBorder="1" applyAlignment="1" applyProtection="1">
      <alignment horizontal="left" vertical="center" wrapText="1"/>
    </xf>
    <xf numFmtId="0" fontId="840" fillId="0" borderId="3" xfId="0" applyFont="1" applyBorder="1" applyAlignment="1" applyProtection="1">
      <alignment horizontal="left" vertical="center" wrapText="1"/>
    </xf>
    <xf numFmtId="0" fontId="841" fillId="5" borderId="25" xfId="0" applyFont="1" applyFill="1" applyBorder="1" applyAlignment="1" applyProtection="1">
      <alignment horizontal="left" vertical="center" wrapText="1"/>
    </xf>
    <xf numFmtId="0" fontId="842" fillId="5" borderId="3" xfId="0" applyFont="1" applyFill="1" applyBorder="1" applyAlignment="1" applyProtection="1">
      <alignment horizontal="left" vertical="center" wrapText="1"/>
    </xf>
    <xf numFmtId="0" fontId="843" fillId="0" borderId="3" xfId="0" applyFont="1" applyBorder="1" applyAlignment="1" applyProtection="1">
      <alignment horizontal="left" vertical="center" wrapText="1"/>
    </xf>
    <xf numFmtId="0" fontId="844" fillId="2" borderId="10" xfId="0" applyFont="1" applyFill="1" applyBorder="1" applyAlignment="1" applyProtection="1">
      <alignment horizontal="left" vertical="center" wrapText="1"/>
    </xf>
    <xf numFmtId="0" fontId="845" fillId="2" borderId="10" xfId="0" applyFont="1" applyFill="1" applyBorder="1" applyAlignment="1" applyProtection="1">
      <alignment horizontal="left" vertical="center" wrapText="1"/>
    </xf>
    <xf numFmtId="0" fontId="846" fillId="2" borderId="10" xfId="0" applyFont="1" applyFill="1" applyBorder="1" applyAlignment="1" applyProtection="1">
      <alignment horizontal="left" vertical="center" wrapText="1"/>
    </xf>
    <xf numFmtId="0" fontId="847" fillId="2" borderId="3" xfId="0" applyFont="1" applyFill="1" applyBorder="1" applyAlignment="1" applyProtection="1">
      <alignment vertical="center" wrapText="1"/>
    </xf>
    <xf numFmtId="0" fontId="848" fillId="2" borderId="3" xfId="0" applyFont="1" applyFill="1" applyBorder="1" applyAlignment="1" applyProtection="1">
      <alignment vertical="center" wrapText="1"/>
    </xf>
    <xf numFmtId="0" fontId="849" fillId="2" borderId="3" xfId="0" applyFont="1" applyFill="1" applyBorder="1" applyAlignment="1" applyProtection="1">
      <alignment vertical="center" wrapText="1"/>
    </xf>
    <xf numFmtId="0" fontId="850" fillId="2" borderId="3" xfId="0" applyFont="1" applyFill="1" applyBorder="1" applyAlignment="1" applyProtection="1">
      <alignment vertical="center" wrapText="1"/>
    </xf>
    <xf numFmtId="0" fontId="851" fillId="2" borderId="3" xfId="0" applyFont="1" applyFill="1" applyBorder="1" applyAlignment="1" applyProtection="1">
      <alignment vertical="center" wrapText="1"/>
    </xf>
    <xf numFmtId="0" fontId="852" fillId="2" borderId="3" xfId="0" applyFont="1" applyFill="1" applyBorder="1" applyAlignment="1" applyProtection="1">
      <alignment vertical="center" wrapText="1"/>
    </xf>
    <xf numFmtId="0" fontId="853" fillId="4" borderId="4" xfId="0" applyFont="1" applyFill="1" applyBorder="1" applyAlignment="1" applyProtection="1">
      <alignment horizontal="left" vertical="center" wrapText="1"/>
    </xf>
    <xf numFmtId="0" fontId="854" fillId="4" borderId="4" xfId="0" applyFont="1" applyFill="1" applyBorder="1" applyAlignment="1" applyProtection="1">
      <alignment vertical="center" wrapText="1"/>
    </xf>
    <xf numFmtId="0" fontId="855" fillId="4" borderId="3" xfId="0" applyFont="1" applyFill="1" applyBorder="1" applyAlignment="1" applyProtection="1">
      <alignment horizontal="left" vertical="center" wrapText="1"/>
    </xf>
    <xf numFmtId="0" fontId="856" fillId="4" borderId="3" xfId="0" applyFont="1" applyFill="1" applyBorder="1" applyAlignment="1" applyProtection="1">
      <alignment vertical="center" wrapText="1"/>
    </xf>
    <xf numFmtId="0" fontId="857" fillId="4" borderId="3" xfId="0" applyFont="1" applyFill="1" applyBorder="1" applyAlignment="1" applyProtection="1">
      <alignment horizontal="left" vertical="center" wrapText="1"/>
    </xf>
    <xf numFmtId="0" fontId="858" fillId="0" borderId="4" xfId="0" applyFont="1" applyBorder="1" applyAlignment="1" applyProtection="1">
      <alignment horizontal="left" vertical="center" wrapText="1"/>
    </xf>
    <xf numFmtId="0" fontId="859" fillId="0" borderId="3" xfId="0" applyFont="1" applyBorder="1" applyAlignment="1" applyProtection="1">
      <alignment horizontal="left" vertical="center" wrapText="1"/>
    </xf>
    <xf numFmtId="0" fontId="860" fillId="0" borderId="3" xfId="0" applyFont="1" applyBorder="1" applyAlignment="1" applyProtection="1">
      <alignment horizontal="left" vertical="center" wrapText="1"/>
    </xf>
    <xf numFmtId="0" fontId="861" fillId="0" borderId="3" xfId="0" applyFont="1" applyBorder="1" applyAlignment="1" applyProtection="1">
      <alignment horizontal="left" vertical="center" wrapText="1"/>
    </xf>
    <xf numFmtId="0" fontId="862" fillId="0" borderId="3" xfId="0" applyFont="1" applyBorder="1" applyAlignment="1" applyProtection="1">
      <alignment horizontal="left" vertical="center" wrapText="1"/>
    </xf>
    <xf numFmtId="0" fontId="863" fillId="4" borderId="4" xfId="0" applyFont="1" applyFill="1" applyBorder="1" applyAlignment="1" applyProtection="1">
      <alignment horizontal="left" vertical="center" wrapText="1"/>
    </xf>
    <xf numFmtId="0" fontId="864" fillId="4" borderId="3" xfId="0" applyFont="1" applyFill="1" applyBorder="1" applyAlignment="1" applyProtection="1">
      <alignment horizontal="left" vertical="center" wrapText="1"/>
    </xf>
    <xf numFmtId="0" fontId="865" fillId="4" borderId="25" xfId="0" applyFont="1" applyFill="1" applyBorder="1" applyAlignment="1" applyProtection="1">
      <alignment horizontal="left" vertical="center" wrapText="1"/>
    </xf>
    <xf numFmtId="0" fontId="866" fillId="4" borderId="25" xfId="0" applyFont="1" applyFill="1" applyBorder="1" applyAlignment="1" applyProtection="1">
      <alignment vertical="center" wrapText="1"/>
    </xf>
    <xf numFmtId="0" fontId="867" fillId="4" borderId="3" xfId="0" applyFont="1" applyFill="1" applyBorder="1" applyAlignment="1" applyProtection="1">
      <alignment horizontal="left" vertical="center" wrapText="1"/>
    </xf>
    <xf numFmtId="0" fontId="868" fillId="4" borderId="3" xfId="0" applyFont="1" applyFill="1" applyBorder="1" applyAlignment="1" applyProtection="1">
      <alignment vertical="center" wrapText="1"/>
    </xf>
    <xf numFmtId="0" fontId="869" fillId="4" borderId="3" xfId="0" applyFont="1" applyFill="1" applyBorder="1" applyAlignment="1" applyProtection="1">
      <alignment horizontal="left" vertical="center" wrapText="1"/>
    </xf>
    <xf numFmtId="0" fontId="870" fillId="4" borderId="3" xfId="0" applyFont="1" applyFill="1" applyBorder="1" applyAlignment="1" applyProtection="1">
      <alignment horizontal="left" vertical="center" wrapText="1"/>
    </xf>
    <xf numFmtId="0" fontId="871" fillId="4" borderId="4" xfId="0" applyFont="1" applyFill="1" applyBorder="1" applyAlignment="1" applyProtection="1">
      <alignment horizontal="left" vertical="center" wrapText="1"/>
    </xf>
    <xf numFmtId="0" fontId="872" fillId="4" borderId="4" xfId="0" applyFont="1" applyFill="1" applyBorder="1" applyAlignment="1" applyProtection="1">
      <alignment vertical="center" wrapText="1"/>
    </xf>
    <xf numFmtId="0" fontId="873" fillId="0" borderId="3" xfId="0" applyFont="1" applyBorder="1" applyAlignment="1" applyProtection="1">
      <alignment horizontal="left" vertical="center" wrapText="1"/>
    </xf>
    <xf numFmtId="0" fontId="874" fillId="0" borderId="3" xfId="0" applyFont="1" applyBorder="1" applyAlignment="1" applyProtection="1">
      <alignment vertical="center" wrapText="1"/>
    </xf>
    <xf numFmtId="0" fontId="875" fillId="0" borderId="3" xfId="0" applyFont="1" applyBorder="1" applyAlignment="1" applyProtection="1">
      <alignment horizontal="left" vertical="center" wrapText="1"/>
    </xf>
    <xf numFmtId="0" fontId="876" fillId="0" borderId="3" xfId="0" applyFont="1" applyBorder="1" applyAlignment="1" applyProtection="1">
      <alignment vertical="center" wrapText="1"/>
    </xf>
    <xf numFmtId="0" fontId="877" fillId="0" borderId="3" xfId="0" applyFont="1" applyBorder="1" applyAlignment="1" applyProtection="1">
      <alignment horizontal="left" vertical="center" wrapText="1"/>
    </xf>
    <xf numFmtId="0" fontId="878" fillId="0" borderId="3" xfId="0" applyFont="1" applyBorder="1" applyAlignment="1" applyProtection="1">
      <alignment vertical="center" wrapText="1"/>
    </xf>
    <xf numFmtId="0" fontId="879" fillId="0" borderId="3" xfId="0" applyFont="1" applyBorder="1" applyAlignment="1" applyProtection="1">
      <alignment horizontal="left" vertical="center" wrapText="1"/>
    </xf>
    <xf numFmtId="0" fontId="880" fillId="0" borderId="3" xfId="0" applyFont="1" applyBorder="1" applyAlignment="1" applyProtection="1">
      <alignment vertical="center" wrapText="1"/>
    </xf>
    <xf numFmtId="0" fontId="881" fillId="0" borderId="3" xfId="0" applyFont="1" applyBorder="1" applyAlignment="1" applyProtection="1">
      <alignment horizontal="left" vertical="center" wrapText="1"/>
    </xf>
    <xf numFmtId="0" fontId="882" fillId="0" borderId="3" xfId="0" applyFont="1" applyBorder="1" applyAlignment="1" applyProtection="1">
      <alignment vertical="center" wrapText="1"/>
    </xf>
    <xf numFmtId="0" fontId="883" fillId="0" borderId="3" xfId="0" applyFont="1" applyBorder="1" applyAlignment="1" applyProtection="1">
      <alignment horizontal="left" vertical="center" wrapText="1"/>
    </xf>
    <xf numFmtId="0" fontId="884" fillId="0" borderId="3" xfId="0" applyFont="1" applyBorder="1" applyAlignment="1" applyProtection="1">
      <alignment vertical="center" wrapText="1"/>
    </xf>
    <xf numFmtId="0" fontId="885" fillId="0" borderId="3" xfId="0" applyFont="1" applyBorder="1" applyAlignment="1" applyProtection="1">
      <alignment horizontal="left" vertical="center" wrapText="1"/>
    </xf>
    <xf numFmtId="0" fontId="886" fillId="0" borderId="3" xfId="0" applyFont="1" applyBorder="1" applyAlignment="1" applyProtection="1">
      <alignment vertical="center" wrapText="1"/>
    </xf>
    <xf numFmtId="0" fontId="887" fillId="0" borderId="24" xfId="0" applyFont="1" applyBorder="1" applyAlignment="1" applyProtection="1">
      <alignment vertical="center" wrapText="1"/>
    </xf>
    <xf numFmtId="0" fontId="888" fillId="0" borderId="4" xfId="0" applyFont="1" applyBorder="1" applyAlignment="1" applyProtection="1">
      <alignment vertical="center" wrapText="1"/>
    </xf>
    <xf numFmtId="0" fontId="889" fillId="0" borderId="24" xfId="0" applyFont="1" applyBorder="1" applyAlignment="1" applyProtection="1">
      <alignment vertical="center" wrapText="1"/>
    </xf>
    <xf numFmtId="0" fontId="890" fillId="0" borderId="30" xfId="0" applyFont="1" applyBorder="1" applyAlignment="1" applyProtection="1">
      <alignment vertical="center" wrapText="1"/>
    </xf>
    <xf numFmtId="0" fontId="891" fillId="0" borderId="3" xfId="0" applyFont="1" applyBorder="1" applyAlignment="1" applyProtection="1">
      <alignment vertical="center" wrapText="1"/>
    </xf>
    <xf numFmtId="0" fontId="892" fillId="0" borderId="3" xfId="0" applyFont="1" applyBorder="1" applyAlignment="1" applyProtection="1">
      <alignment vertical="center" wrapText="1"/>
    </xf>
    <xf numFmtId="0" fontId="893" fillId="0" borderId="3" xfId="0" applyFont="1" applyBorder="1" applyAlignment="1" applyProtection="1">
      <alignment vertical="center" wrapText="1"/>
    </xf>
    <xf numFmtId="0" fontId="894" fillId="0" borderId="3" xfId="0" applyFont="1" applyBorder="1" applyAlignment="1" applyProtection="1">
      <alignment vertical="center" wrapText="1"/>
    </xf>
    <xf numFmtId="0" fontId="895" fillId="0" borderId="3" xfId="0" applyFont="1" applyBorder="1" applyAlignment="1" applyProtection="1">
      <alignment vertical="center" wrapText="1"/>
    </xf>
    <xf numFmtId="0" fontId="896" fillId="0" borderId="3" xfId="0" applyFont="1" applyBorder="1" applyAlignment="1" applyProtection="1">
      <alignment vertical="center" wrapText="1"/>
    </xf>
    <xf numFmtId="0" fontId="897" fillId="0" borderId="3" xfId="0" applyFont="1" applyBorder="1" applyAlignment="1" applyProtection="1">
      <alignment vertical="center" wrapText="1"/>
    </xf>
    <xf numFmtId="0" fontId="898" fillId="0" borderId="3" xfId="0" applyFont="1" applyBorder="1" applyAlignment="1" applyProtection="1">
      <alignment vertical="center" wrapText="1"/>
    </xf>
    <xf numFmtId="0" fontId="899" fillId="0" borderId="3" xfId="0" applyFont="1" applyBorder="1" applyAlignment="1" applyProtection="1">
      <alignment vertical="center" wrapText="1"/>
    </xf>
    <xf numFmtId="0" fontId="900" fillId="0" borderId="5" xfId="0" applyFont="1" applyBorder="1" applyAlignment="1" applyProtection="1">
      <alignment vertical="center" wrapText="1"/>
    </xf>
    <xf numFmtId="0" fontId="901" fillId="0" borderId="3" xfId="0" applyFont="1" applyBorder="1" applyAlignment="1" applyProtection="1">
      <alignment vertical="center" wrapText="1"/>
    </xf>
    <xf numFmtId="0" fontId="902" fillId="0" borderId="3" xfId="0" applyFont="1" applyBorder="1" applyAlignment="1" applyProtection="1">
      <alignment vertical="center" wrapText="1"/>
    </xf>
    <xf numFmtId="0" fontId="903" fillId="0" borderId="3" xfId="0" applyFont="1" applyBorder="1" applyAlignment="1" applyProtection="1">
      <alignment vertical="center" wrapText="1"/>
    </xf>
    <xf numFmtId="0" fontId="904" fillId="0" borderId="3" xfId="0" applyFont="1" applyBorder="1" applyAlignment="1" applyProtection="1">
      <alignment vertical="center" wrapText="1"/>
    </xf>
    <xf numFmtId="0" fontId="905" fillId="0" borderId="3" xfId="0" applyFont="1" applyBorder="1" applyAlignment="1" applyProtection="1">
      <alignment vertical="center" wrapText="1"/>
    </xf>
    <xf numFmtId="0" fontId="906" fillId="0" borderId="4" xfId="0" applyFont="1" applyBorder="1" applyAlignment="1" applyProtection="1">
      <alignment horizontal="left" vertical="center" wrapText="1"/>
    </xf>
    <xf numFmtId="0" fontId="907" fillId="0" borderId="4" xfId="0" applyFont="1" applyBorder="1" applyAlignment="1" applyProtection="1">
      <alignment horizontal="left" vertical="center" wrapText="1"/>
    </xf>
    <xf numFmtId="0" fontId="908" fillId="0" borderId="4" xfId="0" applyFont="1" applyBorder="1" applyAlignment="1" applyProtection="1">
      <alignment horizontal="left" vertical="center" wrapText="1"/>
    </xf>
    <xf numFmtId="0" fontId="909" fillId="0" borderId="4" xfId="0" applyFont="1" applyBorder="1" applyAlignment="1" applyProtection="1">
      <alignment horizontal="left" vertical="center" wrapText="1"/>
    </xf>
    <xf numFmtId="0" fontId="928" fillId="0" borderId="3" xfId="0" applyFont="1" applyBorder="1" applyAlignment="1" applyProtection="1">
      <alignment vertical="center" wrapText="1"/>
    </xf>
    <xf numFmtId="0" fontId="929" fillId="0" borderId="4" xfId="0" applyFont="1" applyBorder="1" applyAlignment="1" applyProtection="1">
      <alignment horizontal="left" vertical="center" wrapText="1"/>
    </xf>
    <xf numFmtId="0" fontId="930" fillId="0" borderId="4" xfId="0" applyFont="1" applyBorder="1" applyAlignment="1" applyProtection="1">
      <alignment horizontal="left" vertical="top" wrapText="1"/>
    </xf>
    <xf numFmtId="0" fontId="931" fillId="0" borderId="3" xfId="0" applyFont="1" applyBorder="1" applyAlignment="1" applyProtection="1">
      <alignment horizontal="left" vertical="top" wrapText="1"/>
    </xf>
    <xf numFmtId="0" fontId="932" fillId="0" borderId="24" xfId="0" applyFont="1" applyBorder="1" applyAlignment="1" applyProtection="1">
      <alignment horizontal="left" vertical="top" wrapText="1"/>
    </xf>
    <xf numFmtId="0" fontId="933" fillId="0" borderId="3" xfId="0" applyFont="1" applyBorder="1" applyAlignment="1" applyProtection="1">
      <alignment horizontal="left" vertical="center" wrapText="1"/>
    </xf>
    <xf numFmtId="0" fontId="934" fillId="0" borderId="3" xfId="0" applyFont="1" applyBorder="1" applyAlignment="1" applyProtection="1">
      <alignment horizontal="left" vertical="center" wrapText="1"/>
    </xf>
    <xf numFmtId="0" fontId="935" fillId="0" borderId="3" xfId="0" applyFont="1" applyBorder="1" applyAlignment="1" applyProtection="1">
      <alignment horizontal="left" vertical="top" wrapText="1"/>
    </xf>
    <xf numFmtId="0" fontId="936" fillId="0" borderId="4" xfId="0" applyFont="1" applyBorder="1" applyAlignment="1" applyProtection="1">
      <alignment horizontal="left" vertical="center" wrapText="1"/>
    </xf>
    <xf numFmtId="0" fontId="937" fillId="0" borderId="3" xfId="0" applyFont="1" applyBorder="1" applyAlignment="1" applyProtection="1">
      <alignment horizontal="left" vertical="center" wrapText="1"/>
    </xf>
    <xf numFmtId="0" fontId="938" fillId="0" borderId="3" xfId="0" applyFont="1" applyBorder="1" applyAlignment="1" applyProtection="1">
      <alignment horizontal="left" vertical="center" wrapText="1"/>
    </xf>
    <xf numFmtId="0" fontId="939" fillId="0" borderId="3" xfId="0" applyFont="1" applyBorder="1" applyAlignment="1" applyProtection="1">
      <alignment horizontal="left" vertical="top" wrapText="1"/>
    </xf>
    <xf numFmtId="0" fontId="940" fillId="0" borderId="3" xfId="0" applyFont="1" applyBorder="1" applyAlignment="1" applyProtection="1">
      <alignment horizontal="left" vertical="center" wrapText="1"/>
    </xf>
    <xf numFmtId="0" fontId="941" fillId="0" borderId="3" xfId="0" applyFont="1" applyBorder="1" applyAlignment="1" applyProtection="1">
      <alignment horizontal="left" vertical="top" wrapText="1"/>
    </xf>
    <xf numFmtId="0" fontId="942" fillId="0" borderId="3" xfId="0" applyFont="1" applyBorder="1" applyAlignment="1" applyProtection="1">
      <alignment horizontal="left" vertical="center" wrapText="1"/>
    </xf>
    <xf numFmtId="0" fontId="943" fillId="0" borderId="3" xfId="0" applyFont="1" applyBorder="1" applyAlignment="1" applyProtection="1">
      <alignment horizontal="left" vertical="top" wrapText="1"/>
    </xf>
    <xf numFmtId="0" fontId="944" fillId="0" borderId="3" xfId="0" applyFont="1" applyBorder="1" applyAlignment="1" applyProtection="1">
      <alignment horizontal="left" vertical="center" wrapText="1"/>
    </xf>
    <xf numFmtId="0" fontId="945" fillId="0" borderId="3" xfId="0" applyFont="1" applyBorder="1" applyAlignment="1" applyProtection="1">
      <alignment horizontal="left" vertical="center" wrapText="1"/>
    </xf>
    <xf numFmtId="0" fontId="946" fillId="0" borderId="3" xfId="0" applyFont="1" applyBorder="1" applyAlignment="1" applyProtection="1">
      <alignment horizontal="left" vertical="top" wrapText="1"/>
    </xf>
    <xf numFmtId="0" fontId="947" fillId="0" borderId="4" xfId="0" applyFont="1" applyBorder="1" applyAlignment="1" applyProtection="1">
      <alignment horizontal="left" vertical="center" wrapText="1"/>
    </xf>
    <xf numFmtId="0" fontId="948" fillId="0" borderId="3" xfId="0" applyFont="1" applyBorder="1" applyAlignment="1" applyProtection="1">
      <alignment horizontal="left" vertical="center" wrapText="1"/>
    </xf>
    <xf numFmtId="0" fontId="949" fillId="0" borderId="3" xfId="0" applyFont="1" applyBorder="1" applyAlignment="1" applyProtection="1">
      <alignment horizontal="left" vertical="center" wrapText="1"/>
    </xf>
    <xf numFmtId="0" fontId="950" fillId="0" borderId="3" xfId="0" applyFont="1" applyBorder="1" applyAlignment="1" applyProtection="1">
      <alignment horizontal="left" vertical="center" wrapText="1"/>
    </xf>
    <xf numFmtId="0" fontId="951" fillId="0" borderId="3" xfId="0" applyFont="1" applyBorder="1" applyAlignment="1" applyProtection="1">
      <alignment horizontal="left" vertical="center" wrapText="1"/>
    </xf>
    <xf numFmtId="0" fontId="952" fillId="0" borderId="3" xfId="0" applyFont="1" applyBorder="1" applyAlignment="1" applyProtection="1">
      <alignment horizontal="left" vertical="center" wrapText="1"/>
    </xf>
    <xf numFmtId="0" fontId="953" fillId="0" borderId="3" xfId="0" applyFont="1" applyBorder="1" applyAlignment="1" applyProtection="1">
      <alignment horizontal="center" vertical="top" wrapText="1"/>
    </xf>
    <xf numFmtId="0" fontId="954" fillId="0" borderId="4" xfId="0" applyFont="1" applyBorder="1" applyAlignment="1" applyProtection="1">
      <alignment horizontal="left" vertical="center" wrapText="1"/>
    </xf>
    <xf numFmtId="0" fontId="955" fillId="0" borderId="3" xfId="0" applyFont="1" applyBorder="1" applyAlignment="1" applyProtection="1">
      <alignment horizontal="left" vertical="center" wrapText="1"/>
    </xf>
    <xf numFmtId="0" fontId="956" fillId="0" borderId="3" xfId="0" applyFont="1" applyBorder="1" applyAlignment="1" applyProtection="1">
      <alignment horizontal="left" vertical="center" wrapText="1"/>
    </xf>
    <xf numFmtId="0" fontId="957" fillId="0" borderId="3" xfId="0" applyFont="1" applyBorder="1" applyAlignment="1" applyProtection="1">
      <alignment horizontal="left" vertical="center" wrapText="1"/>
    </xf>
    <xf numFmtId="0" fontId="958" fillId="0" borderId="3" xfId="0" applyFont="1" applyBorder="1" applyAlignment="1" applyProtection="1">
      <alignment horizontal="left" vertical="center" wrapText="1"/>
    </xf>
    <xf numFmtId="0" fontId="959" fillId="0" borderId="3" xfId="0" applyFont="1" applyBorder="1" applyAlignment="1" applyProtection="1">
      <alignment horizontal="left" vertical="center" wrapText="1"/>
    </xf>
    <xf numFmtId="0" fontId="960" fillId="0" borderId="3" xfId="0" applyFont="1" applyBorder="1" applyAlignment="1" applyProtection="1">
      <alignment horizontal="center" vertical="center" wrapText="1"/>
    </xf>
    <xf numFmtId="0" fontId="961" fillId="0" borderId="4" xfId="0" applyFont="1" applyBorder="1" applyAlignment="1" applyProtection="1">
      <alignment vertical="center" wrapText="1"/>
    </xf>
    <xf numFmtId="0" fontId="962" fillId="0" borderId="4" xfId="0" applyFont="1" applyBorder="1" applyAlignment="1" applyProtection="1">
      <alignment vertical="center" wrapText="1"/>
    </xf>
    <xf numFmtId="0" fontId="963" fillId="0" borderId="4" xfId="0" applyFont="1" applyBorder="1" applyAlignment="1" applyProtection="1">
      <alignment vertical="center" wrapText="1"/>
    </xf>
    <xf numFmtId="0" fontId="964" fillId="0" borderId="10" xfId="0" applyFont="1" applyBorder="1" applyAlignment="1" applyProtection="1">
      <alignment vertical="center" wrapText="1"/>
    </xf>
    <xf numFmtId="0" fontId="965" fillId="0" borderId="4" xfId="0" applyFont="1" applyBorder="1" applyAlignment="1" applyProtection="1">
      <alignment vertical="center" wrapText="1"/>
    </xf>
    <xf numFmtId="0" fontId="966" fillId="0" borderId="10" xfId="0" applyFont="1" applyBorder="1" applyAlignment="1" applyProtection="1">
      <alignment vertical="center" wrapText="1"/>
    </xf>
    <xf numFmtId="0" fontId="967" fillId="0" borderId="4" xfId="0" applyFont="1" applyBorder="1" applyAlignment="1" applyProtection="1">
      <alignment vertical="center" wrapText="1"/>
    </xf>
    <xf numFmtId="0" fontId="968" fillId="0" borderId="10" xfId="0" applyFont="1" applyBorder="1" applyAlignment="1" applyProtection="1">
      <alignment vertical="center" wrapText="1"/>
    </xf>
    <xf numFmtId="0" fontId="969" fillId="0" borderId="4" xfId="0" applyFont="1" applyBorder="1" applyAlignment="1" applyProtection="1">
      <alignment vertical="center" wrapText="1"/>
    </xf>
    <xf numFmtId="0" fontId="970" fillId="0" borderId="10" xfId="0" applyFont="1" applyBorder="1" applyAlignment="1" applyProtection="1">
      <alignment vertical="center" wrapText="1"/>
    </xf>
    <xf numFmtId="0" fontId="971" fillId="0" borderId="4" xfId="0" applyFont="1" applyBorder="1" applyAlignment="1" applyProtection="1">
      <alignment vertical="center" wrapText="1"/>
    </xf>
    <xf numFmtId="0" fontId="972" fillId="0" borderId="10" xfId="0" applyFont="1" applyBorder="1" applyAlignment="1" applyProtection="1">
      <alignment vertical="center" wrapText="1"/>
    </xf>
    <xf numFmtId="0" fontId="973" fillId="0" borderId="4" xfId="0" applyFont="1" applyBorder="1" applyAlignment="1" applyProtection="1">
      <alignment vertical="center" wrapText="1"/>
    </xf>
    <xf numFmtId="0" fontId="974" fillId="0" borderId="10" xfId="0" applyFont="1" applyBorder="1" applyAlignment="1" applyProtection="1">
      <alignment vertical="center" wrapText="1"/>
    </xf>
    <xf numFmtId="0" fontId="975" fillId="0" borderId="4" xfId="0" applyFont="1" applyBorder="1" applyAlignment="1" applyProtection="1">
      <alignment vertical="center" wrapText="1"/>
    </xf>
    <xf numFmtId="0" fontId="976" fillId="0" borderId="10" xfId="0" applyFont="1" applyBorder="1" applyAlignment="1" applyProtection="1">
      <alignment vertical="center" wrapText="1"/>
    </xf>
    <xf numFmtId="0" fontId="977" fillId="0" borderId="4" xfId="0" applyFont="1" applyBorder="1" applyAlignment="1" applyProtection="1">
      <alignment vertical="center" wrapText="1"/>
    </xf>
    <xf numFmtId="0" fontId="978" fillId="0" borderId="10" xfId="0" applyFont="1" applyBorder="1" applyAlignment="1" applyProtection="1">
      <alignment vertical="center" wrapText="1"/>
    </xf>
    <xf numFmtId="0" fontId="979" fillId="0" borderId="4" xfId="0" applyFont="1" applyBorder="1" applyAlignment="1" applyProtection="1">
      <alignment vertical="center" wrapText="1"/>
    </xf>
    <xf numFmtId="0" fontId="980" fillId="0" borderId="10" xfId="0" applyFont="1" applyBorder="1" applyAlignment="1" applyProtection="1">
      <alignment vertical="center" wrapText="1"/>
    </xf>
    <xf numFmtId="0" fontId="981" fillId="0" borderId="4" xfId="0" applyFont="1" applyBorder="1" applyAlignment="1" applyProtection="1">
      <alignment vertical="center" wrapText="1"/>
    </xf>
    <xf numFmtId="0" fontId="982" fillId="0" borderId="10" xfId="0" applyFont="1" applyBorder="1" applyAlignment="1" applyProtection="1">
      <alignment vertical="center" wrapText="1"/>
    </xf>
    <xf numFmtId="0" fontId="983" fillId="0" borderId="4" xfId="0" applyFont="1" applyBorder="1" applyAlignment="1" applyProtection="1">
      <alignment vertical="center" wrapText="1"/>
    </xf>
    <xf numFmtId="0" fontId="984" fillId="0" borderId="10" xfId="0" applyFont="1" applyBorder="1" applyAlignment="1" applyProtection="1">
      <alignment vertical="center" wrapText="1"/>
    </xf>
    <xf numFmtId="0" fontId="985" fillId="0" borderId="4" xfId="0" applyFont="1" applyBorder="1" applyAlignment="1" applyProtection="1">
      <alignment vertical="center" wrapText="1"/>
    </xf>
    <xf numFmtId="0" fontId="986" fillId="0" borderId="10" xfId="0" applyFont="1" applyBorder="1" applyAlignment="1" applyProtection="1">
      <alignment vertical="center" wrapText="1"/>
    </xf>
    <xf numFmtId="0" fontId="987" fillId="0" borderId="4" xfId="0" applyFont="1" applyBorder="1" applyAlignment="1" applyProtection="1">
      <alignment vertical="center" wrapText="1"/>
    </xf>
    <xf numFmtId="0" fontId="988" fillId="0" borderId="10" xfId="0" applyFont="1" applyBorder="1" applyAlignment="1" applyProtection="1">
      <alignment vertical="center" wrapText="1"/>
    </xf>
    <xf numFmtId="0" fontId="989" fillId="0" borderId="4" xfId="0" applyFont="1" applyBorder="1" applyAlignment="1" applyProtection="1">
      <alignment vertical="center" wrapText="1"/>
    </xf>
    <xf numFmtId="0" fontId="990" fillId="0" borderId="10" xfId="0" applyFont="1" applyBorder="1" applyAlignment="1" applyProtection="1">
      <alignment vertical="center" wrapText="1"/>
    </xf>
    <xf numFmtId="0" fontId="991" fillId="0" borderId="4" xfId="0" applyFont="1" applyBorder="1" applyAlignment="1" applyProtection="1">
      <alignment vertical="center" wrapText="1"/>
    </xf>
    <xf numFmtId="0" fontId="992" fillId="0" borderId="10" xfId="0" applyFont="1" applyBorder="1" applyAlignment="1" applyProtection="1">
      <alignment vertical="center" wrapText="1"/>
    </xf>
    <xf numFmtId="0" fontId="993" fillId="0" borderId="4" xfId="0" applyFont="1" applyBorder="1" applyAlignment="1" applyProtection="1">
      <alignment vertical="center" wrapText="1"/>
    </xf>
    <xf numFmtId="0" fontId="994" fillId="0" borderId="10" xfId="0" applyFont="1" applyBorder="1" applyAlignment="1" applyProtection="1">
      <alignment vertical="center" wrapText="1"/>
    </xf>
    <xf numFmtId="0" fontId="995" fillId="0" borderId="4" xfId="0" applyFont="1" applyBorder="1" applyAlignment="1" applyProtection="1">
      <alignment vertical="center" wrapText="1"/>
    </xf>
    <xf numFmtId="0" fontId="996" fillId="0" borderId="10" xfId="0" applyFont="1" applyBorder="1" applyAlignment="1" applyProtection="1">
      <alignment vertical="center" wrapText="1"/>
    </xf>
    <xf numFmtId="0" fontId="997" fillId="0" borderId="4" xfId="0" applyFont="1" applyBorder="1" applyAlignment="1" applyProtection="1">
      <alignment vertical="center" wrapText="1"/>
    </xf>
    <xf numFmtId="0" fontId="998" fillId="0" borderId="10" xfId="0" applyFont="1" applyBorder="1" applyAlignment="1" applyProtection="1">
      <alignment vertical="center" wrapText="1"/>
    </xf>
    <xf numFmtId="0" fontId="999" fillId="0" borderId="4" xfId="0" applyFont="1" applyBorder="1" applyAlignment="1" applyProtection="1">
      <alignment vertical="center" wrapText="1"/>
    </xf>
    <xf numFmtId="0" fontId="1000" fillId="0" borderId="10" xfId="0" applyFont="1" applyBorder="1" applyAlignment="1" applyProtection="1">
      <alignment vertical="center" wrapText="1"/>
    </xf>
    <xf numFmtId="0" fontId="1001" fillId="0" borderId="4" xfId="0" applyFont="1" applyBorder="1" applyAlignment="1" applyProtection="1">
      <alignment vertical="center" wrapText="1"/>
    </xf>
    <xf numFmtId="0" fontId="1002" fillId="0" borderId="10" xfId="0" applyFont="1" applyBorder="1" applyAlignment="1" applyProtection="1">
      <alignment vertical="center" wrapText="1"/>
    </xf>
    <xf numFmtId="0" fontId="1003" fillId="0" borderId="4" xfId="0" applyFont="1" applyBorder="1" applyAlignment="1" applyProtection="1">
      <alignment vertical="center" wrapText="1"/>
    </xf>
    <xf numFmtId="0" fontId="1004" fillId="0" borderId="10" xfId="0" applyFont="1" applyBorder="1" applyAlignment="1" applyProtection="1">
      <alignment vertical="center" wrapText="1"/>
    </xf>
    <xf numFmtId="0" fontId="1005" fillId="0" borderId="4" xfId="0" applyFont="1" applyBorder="1" applyAlignment="1" applyProtection="1">
      <alignment vertical="center" wrapText="1"/>
    </xf>
    <xf numFmtId="0" fontId="1006" fillId="0" borderId="10" xfId="0" applyFont="1" applyBorder="1" applyAlignment="1" applyProtection="1">
      <alignment vertical="center" wrapText="1"/>
    </xf>
    <xf numFmtId="0" fontId="1007" fillId="0" borderId="4" xfId="0" applyFont="1" applyBorder="1" applyAlignment="1" applyProtection="1">
      <alignment vertical="center" wrapText="1"/>
    </xf>
    <xf numFmtId="0" fontId="1008" fillId="0" borderId="10" xfId="0" applyFont="1" applyBorder="1" applyAlignment="1" applyProtection="1">
      <alignment vertical="center" wrapText="1"/>
    </xf>
    <xf numFmtId="0" fontId="1009" fillId="0" borderId="4" xfId="0" applyFont="1" applyBorder="1" applyAlignment="1" applyProtection="1">
      <alignment vertical="center" wrapText="1"/>
    </xf>
    <xf numFmtId="0" fontId="1010" fillId="0" borderId="10" xfId="0" applyFont="1" applyBorder="1" applyAlignment="1" applyProtection="1">
      <alignment vertical="center" wrapText="1"/>
    </xf>
    <xf numFmtId="0" fontId="1011" fillId="0" borderId="4" xfId="0" applyFont="1" applyBorder="1" applyAlignment="1" applyProtection="1">
      <alignment vertical="center" wrapText="1"/>
    </xf>
    <xf numFmtId="0" fontId="1012" fillId="0" borderId="10" xfId="0" applyFont="1" applyBorder="1" applyAlignment="1" applyProtection="1">
      <alignment vertical="center" wrapText="1"/>
    </xf>
    <xf numFmtId="0" fontId="1013" fillId="0" borderId="4" xfId="0" applyFont="1" applyBorder="1" applyAlignment="1" applyProtection="1">
      <alignment vertical="center" wrapText="1"/>
    </xf>
    <xf numFmtId="0" fontId="1014" fillId="0" borderId="10" xfId="0" applyFont="1" applyBorder="1" applyAlignment="1" applyProtection="1">
      <alignment vertical="center" wrapText="1"/>
    </xf>
    <xf numFmtId="0" fontId="1015" fillId="0" borderId="4" xfId="0" applyFont="1" applyBorder="1" applyAlignment="1" applyProtection="1">
      <alignment vertical="center" wrapText="1"/>
    </xf>
    <xf numFmtId="0" fontId="1016" fillId="0" borderId="10" xfId="0" applyFont="1" applyBorder="1" applyAlignment="1" applyProtection="1">
      <alignment vertical="center" wrapText="1"/>
    </xf>
    <xf numFmtId="0" fontId="1017" fillId="0" borderId="0" xfId="0" applyFont="1" applyAlignment="1">
      <alignment vertical="center" wrapText="1"/>
    </xf>
    <xf numFmtId="0" fontId="1018" fillId="0" borderId="4" xfId="0" applyFont="1" applyBorder="1" applyAlignment="1" applyProtection="1">
      <alignment vertical="center" wrapText="1"/>
    </xf>
    <xf numFmtId="0" fontId="1019" fillId="0" borderId="10" xfId="0" applyFont="1" applyBorder="1" applyAlignment="1" applyProtection="1">
      <alignment vertical="center" wrapText="1"/>
    </xf>
    <xf numFmtId="0" fontId="1020" fillId="0" borderId="4" xfId="0" applyFont="1" applyBorder="1" applyAlignment="1" applyProtection="1">
      <alignment vertical="center" wrapText="1"/>
    </xf>
    <xf numFmtId="0" fontId="1021" fillId="0" borderId="10" xfId="0" applyFont="1" applyBorder="1" applyAlignment="1" applyProtection="1">
      <alignment vertical="center" wrapText="1"/>
    </xf>
    <xf numFmtId="0" fontId="1022" fillId="0" borderId="4" xfId="0" applyFont="1" applyBorder="1" applyAlignment="1" applyProtection="1">
      <alignment vertical="center" wrapText="1"/>
    </xf>
    <xf numFmtId="0" fontId="1023" fillId="0" borderId="10" xfId="0" applyFont="1" applyBorder="1" applyAlignment="1" applyProtection="1">
      <alignment vertical="center" wrapText="1"/>
    </xf>
    <xf numFmtId="0" fontId="1024" fillId="0" borderId="4" xfId="0" applyFont="1" applyBorder="1" applyAlignment="1" applyProtection="1">
      <alignment vertical="center" wrapText="1"/>
    </xf>
    <xf numFmtId="0" fontId="1025" fillId="0" borderId="10" xfId="0" applyFont="1" applyBorder="1" applyAlignment="1" applyProtection="1">
      <alignment vertical="center" wrapText="1"/>
    </xf>
    <xf numFmtId="0" fontId="1026" fillId="0" borderId="4" xfId="0" applyFont="1" applyBorder="1" applyAlignment="1" applyProtection="1">
      <alignment vertical="center" wrapText="1"/>
    </xf>
    <xf numFmtId="0" fontId="1027" fillId="0" borderId="10" xfId="0" applyFont="1" applyBorder="1" applyAlignment="1" applyProtection="1">
      <alignment vertical="center" wrapText="1"/>
    </xf>
    <xf numFmtId="0" fontId="1028" fillId="0" borderId="4" xfId="0" applyFont="1" applyBorder="1" applyAlignment="1" applyProtection="1">
      <alignment vertical="center" wrapText="1"/>
    </xf>
    <xf numFmtId="0" fontId="1029" fillId="0" borderId="10" xfId="0" applyFont="1" applyBorder="1" applyAlignment="1" applyProtection="1">
      <alignment vertical="center" wrapText="1"/>
    </xf>
    <xf numFmtId="0" fontId="1030" fillId="0" borderId="4" xfId="0" applyFont="1" applyBorder="1" applyAlignment="1" applyProtection="1">
      <alignment vertical="center" wrapText="1"/>
    </xf>
    <xf numFmtId="0" fontId="1031" fillId="0" borderId="10" xfId="0" applyFont="1" applyBorder="1" applyAlignment="1" applyProtection="1">
      <alignment vertical="center" wrapText="1"/>
    </xf>
    <xf numFmtId="0" fontId="1032" fillId="0" borderId="3" xfId="0" applyFont="1" applyBorder="1" applyAlignment="1" applyProtection="1">
      <alignment vertical="center" wrapText="1"/>
    </xf>
    <xf numFmtId="0" fontId="1033" fillId="0" borderId="3" xfId="0" applyFont="1" applyBorder="1" applyAlignment="1" applyProtection="1">
      <alignment vertical="center" wrapText="1"/>
    </xf>
    <xf numFmtId="0" fontId="1034" fillId="0" borderId="4" xfId="0" applyFont="1" applyBorder="1" applyAlignment="1" applyProtection="1">
      <alignment horizontal="left" vertical="center" wrapText="1"/>
    </xf>
    <xf numFmtId="0" fontId="1035" fillId="0" borderId="3" xfId="0" applyFont="1" applyBorder="1" applyAlignment="1" applyProtection="1">
      <alignment horizontal="left" vertical="center" wrapText="1"/>
    </xf>
    <xf numFmtId="0" fontId="1036" fillId="0" borderId="3" xfId="0" applyFont="1" applyBorder="1" applyAlignment="1" applyProtection="1">
      <alignment horizontal="left" vertical="center" wrapText="1"/>
    </xf>
    <xf numFmtId="0" fontId="1037" fillId="0" borderId="3" xfId="0" applyFont="1" applyBorder="1" applyAlignment="1" applyProtection="1">
      <alignment horizontal="left" vertical="center" wrapText="1"/>
    </xf>
    <xf numFmtId="0" fontId="1038" fillId="0" borderId="3" xfId="0" applyFont="1" applyBorder="1" applyAlignment="1" applyProtection="1">
      <alignment horizontal="left" vertical="center" wrapText="1"/>
    </xf>
    <xf numFmtId="0" fontId="1039" fillId="0" borderId="4" xfId="0" applyFont="1" applyBorder="1" applyAlignment="1" applyProtection="1">
      <alignment horizontal="left" vertical="center" wrapText="1"/>
    </xf>
    <xf numFmtId="0" fontId="1040" fillId="0" borderId="4" xfId="0" applyFont="1" applyBorder="1" applyAlignment="1" applyProtection="1">
      <alignment horizontal="left" vertical="center" wrapText="1"/>
    </xf>
    <xf numFmtId="0" fontId="1041" fillId="0" borderId="3" xfId="0" applyFont="1" applyBorder="1" applyAlignment="1" applyProtection="1">
      <alignment horizontal="left" vertical="center" wrapText="1"/>
    </xf>
    <xf numFmtId="0" fontId="1042" fillId="0" borderId="3" xfId="0" applyFont="1" applyBorder="1" applyAlignment="1" applyProtection="1">
      <alignment horizontal="left" vertical="center" wrapText="1"/>
    </xf>
    <xf numFmtId="0" fontId="1043" fillId="0" borderId="3" xfId="0" applyFont="1" applyBorder="1" applyAlignment="1" applyProtection="1">
      <alignment horizontal="left" vertical="center" wrapText="1"/>
    </xf>
    <xf numFmtId="0" fontId="1044" fillId="0" borderId="3" xfId="0" applyFont="1" applyBorder="1" applyAlignment="1" applyProtection="1">
      <alignment horizontal="left" vertical="center" wrapText="1"/>
    </xf>
    <xf numFmtId="0" fontId="1045" fillId="0" borderId="3" xfId="0" applyFont="1" applyBorder="1" applyAlignment="1" applyProtection="1">
      <alignment horizontal="left" vertical="center" wrapText="1"/>
    </xf>
    <xf numFmtId="0" fontId="1046" fillId="0" borderId="3" xfId="0" applyFont="1" applyBorder="1" applyAlignment="1" applyProtection="1">
      <alignment horizontal="left" vertical="center" wrapText="1"/>
    </xf>
    <xf numFmtId="0" fontId="1047" fillId="0" borderId="4" xfId="0" applyFont="1" applyBorder="1" applyAlignment="1" applyProtection="1">
      <alignment horizontal="left" vertical="center" wrapText="1"/>
    </xf>
    <xf numFmtId="0" fontId="1048" fillId="0" borderId="4" xfId="0" applyFont="1" applyBorder="1" applyAlignment="1" applyProtection="1">
      <alignment horizontal="left" vertical="center" wrapText="1"/>
    </xf>
    <xf numFmtId="0" fontId="1049" fillId="0" borderId="3" xfId="0" applyFont="1" applyBorder="1" applyAlignment="1" applyProtection="1">
      <alignment horizontal="left" vertical="center" wrapText="1"/>
    </xf>
    <xf numFmtId="0" fontId="1050" fillId="0" borderId="3" xfId="0" applyFont="1" applyBorder="1" applyAlignment="1" applyProtection="1">
      <alignment horizontal="left" vertical="center" wrapText="1"/>
    </xf>
    <xf numFmtId="0" fontId="1051" fillId="0" borderId="4" xfId="0" applyFont="1" applyBorder="1" applyAlignment="1" applyProtection="1">
      <alignment horizontal="left" vertical="top" wrapText="1"/>
    </xf>
    <xf numFmtId="0" fontId="1052" fillId="0" borderId="3" xfId="0" applyFont="1" applyBorder="1" applyAlignment="1" applyProtection="1">
      <alignment horizontal="left" vertical="top" wrapText="1"/>
    </xf>
    <xf numFmtId="0" fontId="1053" fillId="0" borderId="24" xfId="0" applyFont="1" applyBorder="1" applyAlignment="1" applyProtection="1">
      <alignment horizontal="left" vertical="top" wrapText="1"/>
    </xf>
    <xf numFmtId="0" fontId="1054" fillId="0" borderId="3" xfId="0" applyFont="1" applyBorder="1" applyAlignment="1" applyProtection="1">
      <alignment horizontal="left" vertical="top" wrapText="1"/>
    </xf>
    <xf numFmtId="0" fontId="1055" fillId="0" borderId="3" xfId="0" applyFont="1" applyBorder="1" applyAlignment="1" applyProtection="1">
      <alignment horizontal="left" vertical="top" wrapText="1"/>
    </xf>
    <xf numFmtId="0" fontId="1056" fillId="0" borderId="3" xfId="0" applyFont="1" applyBorder="1" applyAlignment="1" applyProtection="1">
      <alignment horizontal="left" vertical="top" wrapText="1"/>
    </xf>
    <xf numFmtId="0" fontId="1057" fillId="0" borderId="4" xfId="0" applyFont="1" applyBorder="1" applyAlignment="1" applyProtection="1">
      <alignment horizontal="left" vertical="center" wrapText="1"/>
    </xf>
    <xf numFmtId="0" fontId="1058" fillId="0" borderId="3" xfId="0" applyFont="1" applyBorder="1" applyAlignment="1" applyProtection="1">
      <alignment horizontal="left" vertical="center" wrapText="1"/>
    </xf>
    <xf numFmtId="0" fontId="1059" fillId="0" borderId="3" xfId="0" applyFont="1" applyBorder="1" applyAlignment="1" applyProtection="1">
      <alignment horizontal="left" vertical="center" wrapText="1"/>
    </xf>
    <xf numFmtId="0" fontId="1060" fillId="0" borderId="3" xfId="0" applyFont="1" applyBorder="1" applyAlignment="1" applyProtection="1">
      <alignment horizontal="left" vertical="top" wrapText="1"/>
    </xf>
    <xf numFmtId="0" fontId="1061" fillId="0" borderId="3" xfId="0" applyFont="1" applyBorder="1" applyAlignment="1" applyProtection="1">
      <alignment horizontal="left" vertical="center" wrapText="1"/>
    </xf>
    <xf numFmtId="0" fontId="1062" fillId="0" borderId="3" xfId="0" applyFont="1" applyBorder="1" applyAlignment="1" applyProtection="1">
      <alignment horizontal="left" vertical="top" wrapText="1"/>
    </xf>
    <xf numFmtId="0" fontId="1063" fillId="0" borderId="3" xfId="0" applyFont="1" applyBorder="1" applyAlignment="1" applyProtection="1">
      <alignment horizontal="left" vertical="center" wrapText="1"/>
    </xf>
    <xf numFmtId="0" fontId="1064" fillId="0" borderId="3" xfId="0" applyFont="1" applyBorder="1" applyAlignment="1" applyProtection="1">
      <alignment horizontal="left" vertical="top" wrapText="1"/>
    </xf>
    <xf numFmtId="0" fontId="1065" fillId="0" borderId="3" xfId="0" applyFont="1" applyBorder="1" applyAlignment="1" applyProtection="1">
      <alignment horizontal="left" vertical="center" wrapText="1"/>
    </xf>
    <xf numFmtId="0" fontId="1066" fillId="0" borderId="3" xfId="0" applyFont="1" applyBorder="1" applyAlignment="1" applyProtection="1">
      <alignment horizontal="left" vertical="center" wrapText="1"/>
    </xf>
    <xf numFmtId="0" fontId="1067" fillId="0" borderId="3" xfId="0" applyFont="1" applyBorder="1" applyAlignment="1" applyProtection="1">
      <alignment horizontal="left" vertical="top" wrapText="1"/>
    </xf>
    <xf numFmtId="0" fontId="1068" fillId="0" borderId="4" xfId="0" applyFont="1" applyBorder="1" applyAlignment="1" applyProtection="1">
      <alignment horizontal="left" vertical="center" wrapText="1"/>
    </xf>
    <xf numFmtId="0" fontId="1069" fillId="0" borderId="3" xfId="0" applyFont="1" applyBorder="1" applyAlignment="1" applyProtection="1">
      <alignment horizontal="left" vertical="center" wrapText="1"/>
    </xf>
    <xf numFmtId="0" fontId="1070" fillId="0" borderId="3" xfId="0" applyFont="1" applyBorder="1" applyAlignment="1" applyProtection="1">
      <alignment horizontal="left" vertical="center" wrapText="1"/>
    </xf>
    <xf numFmtId="0" fontId="1071" fillId="0" borderId="24" xfId="0" applyFont="1" applyBorder="1" applyAlignment="1" applyProtection="1">
      <alignment vertical="center" wrapText="1"/>
    </xf>
    <xf numFmtId="0" fontId="1072" fillId="0" borderId="3" xfId="0" applyFont="1" applyBorder="1" applyAlignment="1" applyProtection="1">
      <alignment horizontal="left" vertical="center" wrapText="1"/>
    </xf>
    <xf numFmtId="0" fontId="1073" fillId="0" borderId="3" xfId="0" applyFont="1" applyBorder="1" applyAlignment="1" applyProtection="1">
      <alignment horizontal="left" vertical="center" wrapText="1"/>
    </xf>
    <xf numFmtId="0" fontId="1074" fillId="0" borderId="3" xfId="0" applyFont="1" applyBorder="1" applyAlignment="1" applyProtection="1">
      <alignment horizontal="center" vertical="top" wrapText="1"/>
    </xf>
    <xf numFmtId="0" fontId="1075" fillId="0" borderId="4" xfId="0" applyFont="1" applyBorder="1" applyAlignment="1" applyProtection="1">
      <alignment horizontal="left" vertical="center" wrapText="1"/>
    </xf>
    <xf numFmtId="0" fontId="1076" fillId="0" borderId="3" xfId="0" applyFont="1" applyBorder="1" applyAlignment="1" applyProtection="1">
      <alignment horizontal="left" vertical="center" wrapText="1"/>
    </xf>
    <xf numFmtId="0" fontId="1077" fillId="0" borderId="3" xfId="0" applyFont="1" applyBorder="1" applyAlignment="1" applyProtection="1">
      <alignment horizontal="left" vertical="center" wrapText="1"/>
    </xf>
    <xf numFmtId="0" fontId="1078" fillId="0" borderId="3" xfId="0" applyFont="1" applyBorder="1" applyAlignment="1" applyProtection="1">
      <alignment horizontal="left" vertical="center" wrapText="1"/>
    </xf>
    <xf numFmtId="0" fontId="1079" fillId="0" borderId="3" xfId="0" applyFont="1" applyBorder="1" applyAlignment="1" applyProtection="1">
      <alignment horizontal="left" vertical="center" wrapText="1"/>
    </xf>
    <xf numFmtId="0" fontId="1080" fillId="0" borderId="3" xfId="0" applyFont="1" applyBorder="1" applyAlignment="1" applyProtection="1">
      <alignment horizontal="left" vertical="center" wrapText="1"/>
    </xf>
    <xf numFmtId="0" fontId="1081" fillId="0" borderId="3" xfId="0" applyFont="1" applyBorder="1" applyAlignment="1" applyProtection="1">
      <alignment horizontal="center" vertical="center" wrapText="1"/>
    </xf>
    <xf numFmtId="0" fontId="1082" fillId="0" borderId="4" xfId="0" applyFont="1" applyBorder="1" applyAlignment="1" applyProtection="1">
      <alignment vertical="center" wrapText="1"/>
    </xf>
    <xf numFmtId="0" fontId="1083" fillId="0" borderId="4" xfId="0" applyFont="1" applyBorder="1" applyAlignment="1" applyProtection="1">
      <alignment vertical="center" wrapText="1"/>
    </xf>
    <xf numFmtId="0" fontId="1084" fillId="0" borderId="4" xfId="0" applyFont="1" applyBorder="1" applyAlignment="1" applyProtection="1">
      <alignment vertical="center" wrapText="1"/>
    </xf>
    <xf numFmtId="0" fontId="1085" fillId="0" borderId="10" xfId="0" applyFont="1" applyBorder="1" applyAlignment="1" applyProtection="1">
      <alignment vertical="center" wrapText="1"/>
    </xf>
    <xf numFmtId="0" fontId="1086" fillId="0" borderId="4" xfId="0" applyFont="1" applyBorder="1" applyAlignment="1" applyProtection="1">
      <alignment vertical="center" wrapText="1"/>
    </xf>
    <xf numFmtId="0" fontId="1087" fillId="0" borderId="10" xfId="0" applyFont="1" applyBorder="1" applyAlignment="1" applyProtection="1">
      <alignment vertical="center" wrapText="1"/>
    </xf>
    <xf numFmtId="0" fontId="1088" fillId="0" borderId="4" xfId="0" applyFont="1" applyBorder="1" applyAlignment="1" applyProtection="1">
      <alignment vertical="center" wrapText="1"/>
    </xf>
    <xf numFmtId="0" fontId="1089" fillId="0" borderId="10" xfId="0" applyFont="1" applyBorder="1" applyAlignment="1" applyProtection="1">
      <alignment vertical="center" wrapText="1"/>
    </xf>
    <xf numFmtId="0" fontId="1090" fillId="0" borderId="4" xfId="0" applyFont="1" applyBorder="1" applyAlignment="1" applyProtection="1">
      <alignment vertical="center" wrapText="1"/>
    </xf>
    <xf numFmtId="0" fontId="1091" fillId="0" borderId="10" xfId="0" applyFont="1" applyBorder="1" applyAlignment="1" applyProtection="1">
      <alignment vertical="center" wrapText="1"/>
    </xf>
    <xf numFmtId="0" fontId="1092" fillId="0" borderId="4" xfId="0" applyFont="1" applyBorder="1" applyAlignment="1" applyProtection="1">
      <alignment vertical="center" wrapText="1"/>
    </xf>
    <xf numFmtId="0" fontId="1093" fillId="0" borderId="10" xfId="0" applyFont="1" applyBorder="1" applyAlignment="1" applyProtection="1">
      <alignment vertical="center" wrapText="1"/>
    </xf>
    <xf numFmtId="0" fontId="1094" fillId="0" borderId="4" xfId="0" applyFont="1" applyBorder="1" applyAlignment="1" applyProtection="1">
      <alignment vertical="center" wrapText="1"/>
    </xf>
    <xf numFmtId="0" fontId="1095" fillId="0" borderId="10" xfId="0" applyFont="1" applyBorder="1" applyAlignment="1" applyProtection="1">
      <alignment vertical="center" wrapText="1"/>
    </xf>
    <xf numFmtId="0" fontId="1096" fillId="0" borderId="4" xfId="0" applyFont="1" applyBorder="1" applyAlignment="1" applyProtection="1">
      <alignment vertical="center" wrapText="1"/>
    </xf>
    <xf numFmtId="0" fontId="1097" fillId="0" borderId="10" xfId="0" applyFont="1" applyBorder="1" applyAlignment="1" applyProtection="1">
      <alignment vertical="center" wrapText="1"/>
    </xf>
    <xf numFmtId="0" fontId="1098" fillId="0" borderId="4" xfId="0" applyFont="1" applyBorder="1" applyAlignment="1" applyProtection="1">
      <alignment vertical="center" wrapText="1"/>
    </xf>
    <xf numFmtId="0" fontId="1099" fillId="0" borderId="10" xfId="0" applyFont="1" applyBorder="1" applyAlignment="1" applyProtection="1">
      <alignment vertical="center" wrapText="1"/>
    </xf>
    <xf numFmtId="0" fontId="1100" fillId="0" borderId="4" xfId="0" applyFont="1" applyBorder="1" applyAlignment="1" applyProtection="1">
      <alignment vertical="center" wrapText="1"/>
    </xf>
    <xf numFmtId="0" fontId="1101" fillId="0" borderId="10" xfId="0" applyFont="1" applyBorder="1" applyAlignment="1" applyProtection="1">
      <alignment vertical="center" wrapText="1"/>
    </xf>
    <xf numFmtId="0" fontId="1102" fillId="0" borderId="4" xfId="0" applyFont="1" applyBorder="1" applyAlignment="1" applyProtection="1">
      <alignment vertical="center" wrapText="1"/>
    </xf>
    <xf numFmtId="0" fontId="1103" fillId="0" borderId="10" xfId="0" applyFont="1" applyBorder="1" applyAlignment="1" applyProtection="1">
      <alignment vertical="center" wrapText="1"/>
    </xf>
    <xf numFmtId="0" fontId="1104" fillId="0" borderId="4" xfId="0" applyFont="1" applyBorder="1" applyAlignment="1" applyProtection="1">
      <alignment vertical="center" wrapText="1"/>
    </xf>
    <xf numFmtId="0" fontId="1105" fillId="0" borderId="10" xfId="0" applyFont="1" applyBorder="1" applyAlignment="1" applyProtection="1">
      <alignment vertical="center" wrapText="1"/>
    </xf>
    <xf numFmtId="0" fontId="1106" fillId="0" borderId="4" xfId="0" applyFont="1" applyBorder="1" applyAlignment="1" applyProtection="1">
      <alignment vertical="center" wrapText="1"/>
    </xf>
    <xf numFmtId="0" fontId="1107" fillId="0" borderId="10" xfId="0" applyFont="1" applyBorder="1" applyAlignment="1" applyProtection="1">
      <alignment vertical="center" wrapText="1"/>
    </xf>
    <xf numFmtId="0" fontId="1108" fillId="0" borderId="4" xfId="0" applyFont="1" applyBorder="1" applyAlignment="1" applyProtection="1">
      <alignment vertical="center" wrapText="1"/>
    </xf>
    <xf numFmtId="0" fontId="1109" fillId="0" borderId="10" xfId="0" applyFont="1" applyBorder="1" applyAlignment="1" applyProtection="1">
      <alignment vertical="center" wrapText="1"/>
    </xf>
    <xf numFmtId="0" fontId="1110" fillId="0" borderId="4" xfId="0" applyFont="1" applyBorder="1" applyAlignment="1" applyProtection="1">
      <alignment vertical="center" wrapText="1"/>
    </xf>
    <xf numFmtId="0" fontId="1111" fillId="0" borderId="10" xfId="0" applyFont="1" applyBorder="1" applyAlignment="1" applyProtection="1">
      <alignment vertical="center" wrapText="1"/>
    </xf>
    <xf numFmtId="0" fontId="1112" fillId="0" borderId="4" xfId="0" applyFont="1" applyBorder="1" applyAlignment="1" applyProtection="1">
      <alignment vertical="center" wrapText="1"/>
    </xf>
    <xf numFmtId="0" fontId="1113" fillId="0" borderId="10" xfId="0" applyFont="1" applyBorder="1" applyAlignment="1" applyProtection="1">
      <alignment vertical="center" wrapText="1"/>
    </xf>
    <xf numFmtId="0" fontId="1114" fillId="0" borderId="4" xfId="0" applyFont="1" applyBorder="1" applyAlignment="1" applyProtection="1">
      <alignment vertical="center" wrapText="1"/>
    </xf>
    <xf numFmtId="0" fontId="1115" fillId="0" borderId="10" xfId="0" applyFont="1" applyBorder="1" applyAlignment="1" applyProtection="1">
      <alignment vertical="center" wrapText="1"/>
    </xf>
    <xf numFmtId="0" fontId="1116" fillId="0" borderId="4" xfId="0" applyFont="1" applyBorder="1" applyAlignment="1" applyProtection="1">
      <alignment vertical="center" wrapText="1"/>
    </xf>
    <xf numFmtId="0" fontId="1117" fillId="0" borderId="10" xfId="0" applyFont="1" applyBorder="1" applyAlignment="1" applyProtection="1">
      <alignment vertical="center" wrapText="1"/>
    </xf>
    <xf numFmtId="0" fontId="1118" fillId="0" borderId="4" xfId="0" applyFont="1" applyBorder="1" applyAlignment="1" applyProtection="1">
      <alignment vertical="center" wrapText="1"/>
    </xf>
    <xf numFmtId="0" fontId="1119" fillId="0" borderId="10" xfId="0" applyFont="1" applyBorder="1" applyAlignment="1" applyProtection="1">
      <alignment vertical="center" wrapText="1"/>
    </xf>
    <xf numFmtId="0" fontId="1120" fillId="0" borderId="4" xfId="0" applyFont="1" applyBorder="1" applyAlignment="1" applyProtection="1">
      <alignment vertical="center" wrapText="1"/>
    </xf>
    <xf numFmtId="0" fontId="1121" fillId="0" borderId="10" xfId="0" applyFont="1" applyBorder="1" applyAlignment="1" applyProtection="1">
      <alignment vertical="center" wrapText="1"/>
    </xf>
    <xf numFmtId="0" fontId="1122" fillId="0" borderId="4" xfId="0" applyFont="1" applyBorder="1" applyAlignment="1" applyProtection="1">
      <alignment vertical="center" wrapText="1"/>
    </xf>
    <xf numFmtId="0" fontId="1123" fillId="0" borderId="10" xfId="0" applyFont="1" applyBorder="1" applyAlignment="1" applyProtection="1">
      <alignment vertical="center" wrapText="1"/>
    </xf>
    <xf numFmtId="0" fontId="1124" fillId="0" borderId="4" xfId="0" applyFont="1" applyBorder="1" applyAlignment="1" applyProtection="1">
      <alignment vertical="center" wrapText="1"/>
    </xf>
    <xf numFmtId="0" fontId="1125" fillId="0" borderId="10" xfId="0" applyFont="1" applyBorder="1" applyAlignment="1" applyProtection="1">
      <alignment vertical="center" wrapText="1"/>
    </xf>
    <xf numFmtId="0" fontId="1126" fillId="0" borderId="4" xfId="0" applyFont="1" applyBorder="1" applyAlignment="1" applyProtection="1">
      <alignment vertical="center" wrapText="1"/>
    </xf>
    <xf numFmtId="0" fontId="1127" fillId="0" borderId="10" xfId="0" applyFont="1" applyBorder="1" applyAlignment="1" applyProtection="1">
      <alignment vertical="center" wrapText="1"/>
    </xf>
    <xf numFmtId="0" fontId="1128" fillId="0" borderId="4" xfId="0" applyFont="1" applyBorder="1" applyAlignment="1" applyProtection="1">
      <alignment vertical="center" wrapText="1"/>
    </xf>
    <xf numFmtId="0" fontId="1129" fillId="0" borderId="10" xfId="0" applyFont="1" applyBorder="1" applyAlignment="1" applyProtection="1">
      <alignment vertical="center" wrapText="1"/>
    </xf>
    <xf numFmtId="0" fontId="1130" fillId="0" borderId="4" xfId="0" applyFont="1" applyBorder="1" applyAlignment="1" applyProtection="1">
      <alignment vertical="center" wrapText="1"/>
    </xf>
    <xf numFmtId="0" fontId="1131" fillId="0" borderId="10" xfId="0" applyFont="1" applyBorder="1" applyAlignment="1" applyProtection="1">
      <alignment vertical="center" wrapText="1"/>
    </xf>
    <xf numFmtId="0" fontId="1132" fillId="0" borderId="4" xfId="0" applyFont="1" applyBorder="1" applyAlignment="1" applyProtection="1">
      <alignment vertical="center" wrapText="1"/>
    </xf>
    <xf numFmtId="0" fontId="1133" fillId="0" borderId="10" xfId="0" applyFont="1" applyBorder="1" applyAlignment="1" applyProtection="1">
      <alignment vertical="center" wrapText="1"/>
    </xf>
    <xf numFmtId="0" fontId="1134" fillId="0" borderId="4" xfId="0" applyFont="1" applyBorder="1" applyAlignment="1" applyProtection="1">
      <alignment vertical="center" wrapText="1"/>
    </xf>
    <xf numFmtId="0" fontId="1135" fillId="0" borderId="10" xfId="0" applyFont="1" applyBorder="1" applyAlignment="1" applyProtection="1">
      <alignment vertical="center" wrapText="1"/>
    </xf>
    <xf numFmtId="0" fontId="1136" fillId="0" borderId="4" xfId="0" applyFont="1" applyBorder="1" applyAlignment="1" applyProtection="1">
      <alignment vertical="center" wrapText="1"/>
    </xf>
    <xf numFmtId="0" fontId="1137" fillId="0" borderId="10" xfId="0" applyFont="1" applyBorder="1" applyAlignment="1" applyProtection="1">
      <alignment vertical="center" wrapText="1"/>
    </xf>
    <xf numFmtId="0" fontId="1138" fillId="0" borderId="0" xfId="0" applyFont="1" applyAlignment="1">
      <alignment vertical="center" wrapText="1"/>
    </xf>
    <xf numFmtId="0" fontId="1139" fillId="0" borderId="4" xfId="0" applyFont="1" applyBorder="1" applyAlignment="1" applyProtection="1">
      <alignment vertical="center" wrapText="1"/>
    </xf>
    <xf numFmtId="0" fontId="1140" fillId="0" borderId="10" xfId="0" applyFont="1" applyBorder="1" applyAlignment="1" applyProtection="1">
      <alignment vertical="center" wrapText="1"/>
    </xf>
    <xf numFmtId="0" fontId="1141" fillId="0" borderId="4" xfId="0" applyFont="1" applyBorder="1" applyAlignment="1" applyProtection="1">
      <alignment vertical="center" wrapText="1"/>
    </xf>
    <xf numFmtId="0" fontId="1142" fillId="0" borderId="10" xfId="0" applyFont="1" applyBorder="1" applyAlignment="1" applyProtection="1">
      <alignment vertical="center" wrapText="1"/>
    </xf>
    <xf numFmtId="0" fontId="1143" fillId="0" borderId="4" xfId="0" applyFont="1" applyBorder="1" applyAlignment="1" applyProtection="1">
      <alignment vertical="center" wrapText="1"/>
    </xf>
    <xf numFmtId="0" fontId="1144" fillId="0" borderId="10" xfId="0" applyFont="1" applyBorder="1" applyAlignment="1" applyProtection="1">
      <alignment vertical="center" wrapText="1"/>
    </xf>
    <xf numFmtId="0" fontId="1145" fillId="0" borderId="4" xfId="0" applyFont="1" applyBorder="1" applyAlignment="1" applyProtection="1">
      <alignment vertical="center" wrapText="1"/>
    </xf>
    <xf numFmtId="0" fontId="1146" fillId="0" borderId="10" xfId="0" applyFont="1" applyBorder="1" applyAlignment="1" applyProtection="1">
      <alignment vertical="center" wrapText="1"/>
    </xf>
    <xf numFmtId="0" fontId="1147" fillId="0" borderId="4" xfId="0" applyFont="1" applyBorder="1" applyAlignment="1" applyProtection="1">
      <alignment vertical="center" wrapText="1"/>
    </xf>
    <xf numFmtId="0" fontId="1148" fillId="0" borderId="10" xfId="0" applyFont="1" applyBorder="1" applyAlignment="1" applyProtection="1">
      <alignment vertical="center" wrapText="1"/>
    </xf>
    <xf numFmtId="0" fontId="1149" fillId="0" borderId="4" xfId="0" applyFont="1" applyBorder="1" applyAlignment="1" applyProtection="1">
      <alignment vertical="center" wrapText="1"/>
    </xf>
    <xf numFmtId="0" fontId="1150" fillId="0" borderId="10" xfId="0" applyFont="1" applyBorder="1" applyAlignment="1" applyProtection="1">
      <alignment vertical="center" wrapText="1"/>
    </xf>
    <xf numFmtId="0" fontId="1151" fillId="0" borderId="4" xfId="0" applyFont="1" applyBorder="1" applyAlignment="1" applyProtection="1">
      <alignment vertical="center" wrapText="1"/>
    </xf>
    <xf numFmtId="0" fontId="1152" fillId="0" borderId="10" xfId="0" applyFont="1" applyBorder="1" applyAlignment="1" applyProtection="1">
      <alignment vertical="center" wrapText="1"/>
    </xf>
    <xf numFmtId="0" fontId="1153" fillId="0" borderId="3" xfId="0" applyFont="1" applyBorder="1" applyAlignment="1" applyProtection="1">
      <alignment vertical="center" wrapText="1"/>
    </xf>
    <xf numFmtId="0" fontId="1154" fillId="0" borderId="3" xfId="0" applyFont="1" applyBorder="1" applyAlignment="1" applyProtection="1">
      <alignment vertical="center" wrapText="1"/>
    </xf>
    <xf numFmtId="0" fontId="1155" fillId="0" borderId="4" xfId="0" applyFont="1" applyBorder="1" applyAlignment="1" applyProtection="1">
      <alignment horizontal="left" vertical="center" wrapText="1"/>
    </xf>
    <xf numFmtId="0" fontId="1156" fillId="0" borderId="3" xfId="0" applyFont="1" applyBorder="1" applyAlignment="1" applyProtection="1">
      <alignment horizontal="left" vertical="center" wrapText="1"/>
    </xf>
    <xf numFmtId="0" fontId="1157" fillId="0" borderId="3" xfId="0" applyFont="1" applyBorder="1" applyAlignment="1" applyProtection="1">
      <alignment horizontal="left" vertical="center" wrapText="1"/>
    </xf>
    <xf numFmtId="0" fontId="1158" fillId="0" borderId="3" xfId="0" applyFont="1" applyBorder="1" applyAlignment="1" applyProtection="1">
      <alignment horizontal="left" vertical="center" wrapText="1"/>
    </xf>
    <xf numFmtId="0" fontId="1159" fillId="0" borderId="3" xfId="0" applyFont="1" applyBorder="1" applyAlignment="1" applyProtection="1">
      <alignment horizontal="left" vertical="center" wrapText="1"/>
    </xf>
    <xf numFmtId="0" fontId="1160" fillId="0" borderId="4" xfId="0" applyFont="1" applyBorder="1" applyAlignment="1" applyProtection="1">
      <alignment horizontal="left" vertical="center" wrapText="1"/>
    </xf>
    <xf numFmtId="0" fontId="1161" fillId="0" borderId="4" xfId="0" applyFont="1" applyBorder="1" applyAlignment="1" applyProtection="1">
      <alignment horizontal="left" vertical="center" wrapText="1"/>
    </xf>
    <xf numFmtId="0" fontId="1162" fillId="0" borderId="3" xfId="0" applyFont="1" applyBorder="1" applyAlignment="1" applyProtection="1">
      <alignment horizontal="left" vertical="center" wrapText="1"/>
    </xf>
    <xf numFmtId="0" fontId="1163" fillId="0" borderId="3" xfId="0" applyFont="1" applyBorder="1" applyAlignment="1" applyProtection="1">
      <alignment horizontal="left" vertical="center" wrapText="1"/>
    </xf>
    <xf numFmtId="0" fontId="1164" fillId="0" borderId="3" xfId="0" applyFont="1" applyBorder="1" applyAlignment="1" applyProtection="1">
      <alignment horizontal="left" vertical="center" wrapText="1"/>
    </xf>
    <xf numFmtId="0" fontId="1165" fillId="0" borderId="3" xfId="0" applyFont="1" applyBorder="1" applyAlignment="1" applyProtection="1">
      <alignment horizontal="left" vertical="center" wrapText="1"/>
    </xf>
    <xf numFmtId="0" fontId="1166" fillId="0" borderId="3" xfId="0" applyFont="1" applyBorder="1" applyAlignment="1" applyProtection="1">
      <alignment horizontal="left" vertical="center" wrapText="1"/>
    </xf>
    <xf numFmtId="0" fontId="1167" fillId="0" borderId="3" xfId="0" applyFont="1" applyBorder="1" applyAlignment="1" applyProtection="1">
      <alignment horizontal="left" vertical="center" wrapText="1"/>
    </xf>
    <xf numFmtId="0" fontId="1168" fillId="0" borderId="4" xfId="0" applyFont="1" applyBorder="1" applyAlignment="1" applyProtection="1">
      <alignment horizontal="left" vertical="center" wrapText="1"/>
    </xf>
    <xf numFmtId="0" fontId="1169" fillId="0" borderId="4" xfId="0" applyFont="1" applyBorder="1" applyAlignment="1" applyProtection="1">
      <alignment horizontal="left" vertical="center" wrapText="1"/>
    </xf>
    <xf numFmtId="0" fontId="1170" fillId="0" borderId="3" xfId="0" applyFont="1" applyBorder="1" applyAlignment="1" applyProtection="1">
      <alignment horizontal="left" vertical="center" wrapText="1"/>
    </xf>
    <xf numFmtId="0" fontId="1171" fillId="0" borderId="3" xfId="0" applyFont="1" applyBorder="1" applyAlignment="1" applyProtection="1">
      <alignment horizontal="left" vertical="center" wrapText="1"/>
    </xf>
    <xf numFmtId="0" fontId="1172" fillId="0" borderId="4" xfId="0" applyFont="1" applyBorder="1" applyAlignment="1" applyProtection="1">
      <alignment horizontal="left" vertical="center" wrapText="1"/>
    </xf>
    <xf numFmtId="0" fontId="1173" fillId="0" borderId="3" xfId="0" applyFont="1" applyBorder="1" applyAlignment="1" applyProtection="1">
      <alignment horizontal="left" vertical="center" wrapText="1"/>
    </xf>
    <xf numFmtId="0" fontId="1174" fillId="0" borderId="9" xfId="0" applyFont="1" applyBorder="1" applyAlignment="1" applyProtection="1">
      <alignment vertical="center" wrapText="1"/>
    </xf>
    <xf numFmtId="0" fontId="1175" fillId="0" borderId="10" xfId="0" applyFont="1" applyBorder="1" applyAlignment="1" applyProtection="1">
      <alignment vertical="center" wrapText="1"/>
    </xf>
    <xf numFmtId="0" fontId="1176" fillId="0" borderId="3" xfId="0" applyFont="1" applyBorder="1" applyAlignment="1" applyProtection="1">
      <alignment horizontal="left" vertical="center" wrapText="1"/>
    </xf>
    <xf numFmtId="0" fontId="1177" fillId="0" borderId="3" xfId="0" applyFont="1" applyBorder="1" applyAlignment="1" applyProtection="1">
      <alignment horizontal="left" vertical="center" wrapText="1"/>
    </xf>
    <xf numFmtId="0" fontId="1178" fillId="0" borderId="4" xfId="0" applyFont="1" applyBorder="1" applyAlignment="1" applyProtection="1">
      <alignment horizontal="left" vertical="center" wrapText="1"/>
    </xf>
    <xf numFmtId="0" fontId="1179" fillId="0" borderId="3" xfId="0" applyFont="1" applyBorder="1" applyAlignment="1" applyProtection="1">
      <alignment horizontal="left" vertical="center" wrapText="1"/>
    </xf>
    <xf numFmtId="0" fontId="1180" fillId="0" borderId="9" xfId="0" applyFont="1" applyBorder="1" applyAlignment="1" applyProtection="1">
      <alignment vertical="center" wrapText="1"/>
    </xf>
    <xf numFmtId="0" fontId="1181" fillId="0" borderId="10" xfId="0" applyFont="1" applyBorder="1" applyAlignment="1" applyProtection="1">
      <alignment vertical="center" wrapText="1"/>
    </xf>
    <xf numFmtId="0" fontId="1182" fillId="0" borderId="3" xfId="0" applyFont="1" applyBorder="1" applyAlignment="1" applyProtection="1">
      <alignment horizontal="left" vertical="center" wrapText="1"/>
    </xf>
    <xf numFmtId="0" fontId="1183" fillId="0" borderId="3" xfId="0" applyFont="1" applyBorder="1" applyAlignment="1" applyProtection="1">
      <alignment horizontal="left" vertical="center" wrapText="1"/>
    </xf>
    <xf numFmtId="0" fontId="1184" fillId="0" borderId="4" xfId="0" applyFont="1" applyBorder="1" applyAlignment="1" applyProtection="1">
      <alignment horizontal="left" vertical="center" wrapText="1"/>
    </xf>
    <xf numFmtId="0" fontId="1185" fillId="0" borderId="3" xfId="0" applyFont="1" applyBorder="1" applyAlignment="1" applyProtection="1">
      <alignment horizontal="left" vertical="center" wrapText="1"/>
    </xf>
    <xf numFmtId="0" fontId="1186" fillId="0" borderId="3" xfId="0" applyFont="1" applyBorder="1" applyAlignment="1" applyProtection="1">
      <alignment horizontal="left" vertical="center" wrapText="1"/>
    </xf>
    <xf numFmtId="0" fontId="1187" fillId="0" borderId="9" xfId="0" applyFont="1" applyBorder="1" applyAlignment="1" applyProtection="1">
      <alignment vertical="center" wrapText="1"/>
    </xf>
    <xf numFmtId="0" fontId="1188" fillId="0" borderId="10" xfId="0" applyFont="1" applyBorder="1" applyAlignment="1" applyProtection="1">
      <alignment vertical="center" wrapText="1"/>
    </xf>
    <xf numFmtId="0" fontId="1189" fillId="0" borderId="3" xfId="0" applyFont="1" applyBorder="1" applyAlignment="1" applyProtection="1">
      <alignment horizontal="left" vertical="center" wrapText="1"/>
    </xf>
    <xf numFmtId="0" fontId="1190" fillId="0" borderId="3" xfId="0" applyFont="1" applyBorder="1" applyAlignment="1" applyProtection="1">
      <alignment horizontal="left" vertical="center" wrapText="1"/>
    </xf>
    <xf numFmtId="0" fontId="1191" fillId="0" borderId="3" xfId="0" applyFont="1" applyBorder="1" applyAlignment="1" applyProtection="1">
      <alignment horizontal="left" vertical="center" wrapText="1"/>
    </xf>
    <xf numFmtId="0" fontId="1192" fillId="0" borderId="3" xfId="0" applyFont="1" applyBorder="1" applyAlignment="1" applyProtection="1">
      <alignment horizontal="left" vertical="center" wrapText="1"/>
    </xf>
    <xf numFmtId="0" fontId="1193" fillId="0" borderId="3" xfId="0" applyFont="1" applyBorder="1" applyAlignment="1" applyProtection="1">
      <alignment horizontal="left" vertical="center" wrapText="1"/>
    </xf>
    <xf numFmtId="0" fontId="1194" fillId="0" borderId="3" xfId="0" applyFont="1" applyBorder="1" applyAlignment="1" applyProtection="1">
      <alignment horizontal="left" vertical="center" wrapText="1"/>
    </xf>
    <xf numFmtId="0" fontId="1195" fillId="0" borderId="4" xfId="0" applyFont="1" applyBorder="1" applyAlignment="1" applyProtection="1">
      <alignment horizontal="left" vertical="center" wrapText="1"/>
    </xf>
    <xf numFmtId="0" fontId="1196" fillId="0" borderId="4" xfId="0" applyFont="1" applyBorder="1" applyAlignment="1" applyProtection="1">
      <alignment horizontal="left" vertical="center" wrapText="1"/>
    </xf>
    <xf numFmtId="0" fontId="1197" fillId="0" borderId="3" xfId="0" applyFont="1" applyBorder="1" applyAlignment="1" applyProtection="1">
      <alignment horizontal="left" vertical="center" wrapText="1"/>
    </xf>
    <xf numFmtId="0" fontId="1198" fillId="0" borderId="3" xfId="0" applyFont="1" applyBorder="1" applyAlignment="1" applyProtection="1">
      <alignment horizontal="left" vertical="center" wrapText="1"/>
    </xf>
    <xf numFmtId="0" fontId="1199" fillId="2" borderId="3" xfId="0" applyFont="1" applyFill="1" applyBorder="1" applyAlignment="1" applyProtection="1">
      <alignment vertical="center" wrapText="1"/>
    </xf>
    <xf numFmtId="0" fontId="1200" fillId="2" borderId="3" xfId="0" applyFont="1" applyFill="1" applyBorder="1" applyAlignment="1" applyProtection="1">
      <alignment vertical="center" wrapText="1"/>
    </xf>
    <xf numFmtId="0" fontId="1201" fillId="0" borderId="3" xfId="0" applyFont="1" applyBorder="1" applyAlignment="1" applyProtection="1">
      <alignment horizontal="left" vertical="center" wrapText="1"/>
    </xf>
    <xf numFmtId="0" fontId="1202" fillId="0" borderId="3" xfId="0" applyFont="1" applyBorder="1" applyAlignment="1" applyProtection="1">
      <alignment horizontal="left" vertical="center" wrapText="1"/>
    </xf>
    <xf numFmtId="0" fontId="1203" fillId="0" borderId="3" xfId="0" applyFont="1" applyBorder="1" applyAlignment="1" applyProtection="1">
      <alignment horizontal="left" vertical="center" wrapText="1"/>
    </xf>
    <xf numFmtId="0" fontId="1204" fillId="0" borderId="3" xfId="0" applyFont="1" applyBorder="1" applyAlignment="1" applyProtection="1">
      <alignment horizontal="left" vertical="center" wrapText="1"/>
    </xf>
    <xf numFmtId="0" fontId="1205" fillId="0" borderId="3" xfId="0" applyFont="1" applyBorder="1" applyAlignment="1" applyProtection="1">
      <alignment horizontal="left" vertical="center" wrapText="1"/>
    </xf>
    <xf numFmtId="0" fontId="1206" fillId="0" borderId="3" xfId="0" applyFont="1" applyBorder="1" applyAlignment="1" applyProtection="1">
      <alignment horizontal="left" vertical="center" wrapText="1"/>
    </xf>
    <xf numFmtId="0" fontId="1207" fillId="2" borderId="3" xfId="0" applyFont="1" applyFill="1" applyBorder="1" applyAlignment="1" applyProtection="1">
      <alignment horizontal="left" vertical="center" wrapText="1"/>
    </xf>
    <xf numFmtId="0" fontId="1208" fillId="0" borderId="3" xfId="0" applyFont="1" applyBorder="1" applyAlignment="1" applyProtection="1">
      <alignment horizontal="left" vertical="center" wrapText="1"/>
    </xf>
    <xf numFmtId="0" fontId="1209" fillId="0" borderId="3" xfId="0" applyFont="1" applyBorder="1" applyAlignment="1" applyProtection="1">
      <alignment horizontal="left" vertical="center" wrapText="1"/>
    </xf>
    <xf numFmtId="0" fontId="1210" fillId="0" borderId="3" xfId="0" applyFont="1" applyBorder="1" applyAlignment="1" applyProtection="1">
      <alignment horizontal="left" vertical="center" wrapText="1"/>
    </xf>
    <xf numFmtId="0" fontId="1211" fillId="0" borderId="3" xfId="0" applyFont="1" applyBorder="1" applyAlignment="1" applyProtection="1">
      <alignment horizontal="left" vertical="center" wrapText="1"/>
    </xf>
    <xf numFmtId="0" fontId="1212" fillId="0" borderId="3" xfId="0" applyFont="1" applyBorder="1" applyAlignment="1" applyProtection="1">
      <alignment horizontal="left" vertical="center" wrapText="1"/>
    </xf>
    <xf numFmtId="0" fontId="1213" fillId="0" borderId="3" xfId="0" applyFont="1" applyBorder="1" applyAlignment="1" applyProtection="1">
      <alignment horizontal="left" vertical="center" wrapText="1"/>
    </xf>
    <xf numFmtId="0" fontId="1214" fillId="0" borderId="3" xfId="0" applyFont="1" applyBorder="1" applyAlignment="1" applyProtection="1">
      <alignment horizontal="left" vertical="center" wrapText="1"/>
    </xf>
    <xf numFmtId="0" fontId="1215" fillId="0" borderId="3" xfId="0" applyFont="1" applyBorder="1" applyAlignment="1" applyProtection="1">
      <alignment horizontal="left" vertical="center" wrapText="1"/>
    </xf>
    <xf numFmtId="0" fontId="1216" fillId="0" borderId="3" xfId="0" applyFont="1" applyBorder="1" applyAlignment="1" applyProtection="1">
      <alignment horizontal="left" vertical="center" wrapText="1"/>
    </xf>
    <xf numFmtId="0" fontId="1217" fillId="0" borderId="3" xfId="0" applyFont="1" applyBorder="1" applyAlignment="1" applyProtection="1">
      <alignment horizontal="left" vertical="center" wrapText="1"/>
    </xf>
    <xf numFmtId="0" fontId="1218" fillId="0" borderId="3" xfId="0" applyFont="1" applyBorder="1" applyAlignment="1" applyProtection="1">
      <alignment horizontal="left" vertical="center" wrapText="1"/>
    </xf>
    <xf numFmtId="0" fontId="1219" fillId="0" borderId="3" xfId="0" applyFont="1" applyBorder="1" applyAlignment="1" applyProtection="1">
      <alignment horizontal="left" vertical="center" wrapText="1"/>
    </xf>
    <xf numFmtId="0" fontId="1220" fillId="0" borderId="3" xfId="0" applyFont="1" applyBorder="1" applyAlignment="1" applyProtection="1">
      <alignment horizontal="left" vertical="center" wrapText="1"/>
    </xf>
    <xf numFmtId="0" fontId="1221" fillId="0" borderId="3" xfId="0" applyFont="1" applyBorder="1" applyAlignment="1" applyProtection="1">
      <alignment horizontal="left" vertical="center" wrapText="1"/>
    </xf>
    <xf numFmtId="0" fontId="1222" fillId="0" borderId="3" xfId="0" applyFont="1" applyBorder="1" applyAlignment="1" applyProtection="1">
      <alignment horizontal="left" vertical="center" wrapText="1"/>
    </xf>
    <xf numFmtId="0" fontId="1223" fillId="0" borderId="3" xfId="0" applyFont="1" applyBorder="1" applyAlignment="1" applyProtection="1">
      <alignment horizontal="left" vertical="center" wrapText="1"/>
    </xf>
    <xf numFmtId="0" fontId="1224" fillId="0" borderId="3" xfId="0" applyFont="1" applyBorder="1" applyAlignment="1" applyProtection="1">
      <alignment horizontal="left" vertical="center" wrapText="1"/>
    </xf>
    <xf numFmtId="0" fontId="1225" fillId="0" borderId="3" xfId="0" applyFont="1" applyBorder="1" applyAlignment="1" applyProtection="1">
      <alignment horizontal="left" vertical="center" wrapText="1"/>
    </xf>
    <xf numFmtId="0" fontId="1226" fillId="0" borderId="3" xfId="0" applyFont="1" applyBorder="1" applyAlignment="1" applyProtection="1">
      <alignment horizontal="left" vertical="center" wrapText="1"/>
    </xf>
    <xf numFmtId="0" fontId="1227" fillId="0" borderId="3" xfId="0" applyFont="1" applyBorder="1" applyAlignment="1" applyProtection="1">
      <alignment horizontal="left" vertical="center" wrapText="1"/>
    </xf>
    <xf numFmtId="0" fontId="1228" fillId="0" borderId="4" xfId="0" applyFont="1" applyBorder="1" applyAlignment="1" applyProtection="1">
      <alignment horizontal="left" vertical="center" wrapText="1"/>
    </xf>
    <xf numFmtId="0" fontId="1229" fillId="0" borderId="3" xfId="0" applyFont="1" applyBorder="1" applyAlignment="1" applyProtection="1">
      <alignment horizontal="left" vertical="center" wrapText="1"/>
    </xf>
    <xf numFmtId="0" fontId="1230" fillId="0" borderId="3" xfId="0" applyFont="1" applyBorder="1" applyAlignment="1" applyProtection="1">
      <alignment horizontal="left" vertical="center" wrapText="1"/>
    </xf>
    <xf numFmtId="0" fontId="1231" fillId="0" borderId="3" xfId="0" applyFont="1" applyBorder="1" applyAlignment="1" applyProtection="1">
      <alignment horizontal="left" vertical="center" wrapText="1"/>
    </xf>
    <xf numFmtId="0" fontId="1232" fillId="0" borderId="3" xfId="0" applyFont="1" applyBorder="1" applyAlignment="1" applyProtection="1">
      <alignment horizontal="left" vertical="center" wrapText="1"/>
    </xf>
    <xf numFmtId="0" fontId="1233" fillId="0" borderId="3" xfId="0" applyFont="1" applyBorder="1" applyAlignment="1" applyProtection="1">
      <alignment horizontal="left" vertical="center" wrapText="1"/>
    </xf>
    <xf numFmtId="0" fontId="1234" fillId="0" borderId="3" xfId="0" applyFont="1" applyBorder="1" applyAlignment="1" applyProtection="1">
      <alignment horizontal="left" vertical="center" wrapText="1"/>
    </xf>
    <xf numFmtId="0" fontId="1235" fillId="0" borderId="3" xfId="0" applyFont="1" applyBorder="1" applyAlignment="1" applyProtection="1">
      <alignment horizontal="left" vertical="center" wrapText="1"/>
    </xf>
    <xf numFmtId="0" fontId="1236" fillId="0" borderId="3" xfId="0" applyFont="1" applyBorder="1" applyAlignment="1" applyProtection="1">
      <alignment horizontal="left" vertical="center" wrapText="1"/>
    </xf>
    <xf numFmtId="0" fontId="1237" fillId="0" borderId="3" xfId="0" applyFont="1" applyBorder="1" applyAlignment="1" applyProtection="1">
      <alignment horizontal="left" vertical="center" wrapText="1"/>
    </xf>
    <xf numFmtId="0" fontId="1238" fillId="0" borderId="3" xfId="0" applyFont="1" applyBorder="1" applyAlignment="1" applyProtection="1">
      <alignment horizontal="left" vertical="center" wrapText="1"/>
    </xf>
    <xf numFmtId="0" fontId="1239" fillId="0" borderId="3" xfId="0" applyFont="1" applyBorder="1" applyAlignment="1" applyProtection="1">
      <alignment horizontal="left" vertical="center" wrapText="1"/>
    </xf>
    <xf numFmtId="0" fontId="1240" fillId="2" borderId="3" xfId="0" applyFont="1" applyFill="1" applyBorder="1" applyAlignment="1" applyProtection="1">
      <alignment horizontal="left" vertical="center" wrapText="1"/>
    </xf>
    <xf numFmtId="0" fontId="1241" fillId="2" borderId="3" xfId="0" applyFont="1" applyFill="1" applyBorder="1" applyAlignment="1" applyProtection="1">
      <alignment horizontal="left" vertical="center" wrapText="1"/>
    </xf>
    <xf numFmtId="0" fontId="1242" fillId="0" borderId="3" xfId="0" applyFont="1" applyBorder="1" applyAlignment="1" applyProtection="1">
      <alignment horizontal="left" vertical="center" wrapText="1"/>
    </xf>
    <xf numFmtId="0" fontId="1243" fillId="0" borderId="3" xfId="0" applyFont="1" applyBorder="1" applyAlignment="1" applyProtection="1">
      <alignment horizontal="left" vertical="center" wrapText="1"/>
    </xf>
    <xf numFmtId="0" fontId="1244" fillId="0" borderId="25" xfId="0" applyFont="1" applyBorder="1" applyAlignment="1" applyProtection="1">
      <alignment horizontal="left" vertical="center" wrapText="1"/>
    </xf>
    <xf numFmtId="0" fontId="1245" fillId="0" borderId="25" xfId="0" applyFont="1" applyBorder="1" applyAlignment="1" applyProtection="1">
      <alignment horizontal="left" vertical="center" wrapText="1"/>
    </xf>
    <xf numFmtId="0" fontId="1246" fillId="2" borderId="3" xfId="0" applyFont="1" applyFill="1" applyBorder="1" applyAlignment="1" applyProtection="1">
      <alignment horizontal="left" vertical="center" wrapText="1"/>
    </xf>
    <xf numFmtId="49" fontId="1247" fillId="2" borderId="3" xfId="0" applyNumberFormat="1" applyFont="1" applyFill="1" applyBorder="1" applyAlignment="1" applyProtection="1">
      <alignment horizontal="left" vertical="center" wrapText="1"/>
    </xf>
    <xf numFmtId="0" fontId="1248" fillId="2" borderId="9" xfId="0" applyFont="1" applyFill="1" applyBorder="1" applyAlignment="1" applyProtection="1">
      <alignment vertical="center" wrapText="1"/>
    </xf>
    <xf numFmtId="0" fontId="1249" fillId="2" borderId="23" xfId="0" applyFont="1" applyFill="1" applyBorder="1" applyAlignment="1" applyProtection="1">
      <alignment vertical="center" wrapText="1"/>
    </xf>
    <xf numFmtId="0" fontId="1250" fillId="2" borderId="25" xfId="0" applyFont="1" applyFill="1" applyBorder="1" applyAlignment="1" applyProtection="1">
      <alignment vertical="center" wrapText="1"/>
    </xf>
    <xf numFmtId="0" fontId="1251" fillId="2" borderId="3" xfId="0" applyFont="1" applyFill="1" applyBorder="1" applyAlignment="1" applyProtection="1">
      <alignment vertical="center" wrapText="1"/>
    </xf>
    <xf numFmtId="0" fontId="1252" fillId="2" borderId="3" xfId="0" applyFont="1" applyFill="1" applyBorder="1" applyAlignment="1" applyProtection="1">
      <alignment vertical="center" wrapText="1"/>
    </xf>
    <xf numFmtId="0" fontId="1253" fillId="2" borderId="3" xfId="0" applyFont="1" applyFill="1" applyBorder="1" applyAlignment="1" applyProtection="1">
      <alignment vertical="center" wrapText="1"/>
    </xf>
    <xf numFmtId="0" fontId="1254" fillId="2" borderId="3" xfId="0" applyFont="1" applyFill="1" applyBorder="1" applyAlignment="1" applyProtection="1">
      <alignment vertical="center" wrapText="1"/>
    </xf>
    <xf numFmtId="0" fontId="1255" fillId="0" borderId="3" xfId="0" applyFont="1" applyBorder="1" applyAlignment="1" applyProtection="1">
      <alignment horizontal="left" vertical="center" wrapText="1"/>
    </xf>
    <xf numFmtId="0" fontId="1256" fillId="0" borderId="3" xfId="0" applyFont="1" applyBorder="1" applyAlignment="1" applyProtection="1">
      <alignment horizontal="left" vertical="center" wrapText="1"/>
    </xf>
    <xf numFmtId="0" fontId="1257" fillId="0" borderId="3" xfId="0" applyFont="1" applyBorder="1" applyAlignment="1" applyProtection="1">
      <alignment horizontal="left" vertical="center" wrapText="1"/>
    </xf>
    <xf numFmtId="0" fontId="1258" fillId="0" borderId="3" xfId="0" applyFont="1" applyBorder="1" applyAlignment="1" applyProtection="1">
      <alignment horizontal="left" vertical="center" wrapText="1"/>
    </xf>
    <xf numFmtId="0" fontId="1259" fillId="4" borderId="3" xfId="0" applyFont="1" applyFill="1" applyBorder="1" applyAlignment="1" applyProtection="1">
      <alignment horizontal="left" vertical="center" wrapText="1"/>
    </xf>
    <xf numFmtId="0" fontId="1260" fillId="2" borderId="3" xfId="0" applyFont="1" applyFill="1" applyBorder="1" applyAlignment="1" applyProtection="1">
      <alignment horizontal="left" vertical="center" wrapText="1"/>
    </xf>
    <xf numFmtId="0" fontId="1261" fillId="2" borderId="3" xfId="0" applyFont="1" applyFill="1" applyBorder="1" applyAlignment="1" applyProtection="1">
      <alignment horizontal="left" vertical="center" wrapText="1"/>
    </xf>
    <xf numFmtId="0" fontId="1262" fillId="0" borderId="3" xfId="0" applyFont="1" applyBorder="1" applyAlignment="1" applyProtection="1">
      <alignment horizontal="left" vertical="center" wrapText="1"/>
    </xf>
    <xf numFmtId="0" fontId="1263" fillId="0" borderId="3" xfId="0" applyFont="1" applyBorder="1" applyAlignment="1" applyProtection="1">
      <alignment horizontal="left" vertical="center" wrapText="1"/>
    </xf>
    <xf numFmtId="0" fontId="1264" fillId="0" borderId="3" xfId="0" applyFont="1" applyBorder="1" applyAlignment="1" applyProtection="1">
      <alignment horizontal="left" vertical="center" wrapText="1"/>
    </xf>
    <xf numFmtId="0" fontId="1265" fillId="0" borderId="3" xfId="0" applyFont="1" applyBorder="1" applyAlignment="1" applyProtection="1">
      <alignment horizontal="left" vertical="center" wrapText="1"/>
    </xf>
    <xf numFmtId="0" fontId="1266" fillId="0" borderId="3" xfId="0" applyFont="1" applyBorder="1" applyAlignment="1" applyProtection="1">
      <alignment horizontal="left" vertical="center" wrapText="1"/>
    </xf>
    <xf numFmtId="0" fontId="1267" fillId="0" borderId="3" xfId="0" applyFont="1" applyBorder="1" applyAlignment="1" applyProtection="1">
      <alignment horizontal="left" vertical="center" wrapText="1"/>
    </xf>
    <xf numFmtId="0" fontId="1268" fillId="0" borderId="3" xfId="0" applyFont="1" applyBorder="1" applyAlignment="1" applyProtection="1">
      <alignment horizontal="left" vertical="center" wrapText="1"/>
    </xf>
    <xf numFmtId="0" fontId="1269" fillId="0" borderId="3" xfId="0" applyFont="1" applyBorder="1" applyAlignment="1" applyProtection="1">
      <alignment horizontal="left" vertical="center" wrapText="1"/>
    </xf>
    <xf numFmtId="0" fontId="1270" fillId="0" borderId="3" xfId="0" applyFont="1" applyBorder="1" applyAlignment="1" applyProtection="1">
      <alignment horizontal="left" vertical="center" wrapText="1"/>
    </xf>
    <xf numFmtId="0" fontId="1271" fillId="0" borderId="3" xfId="0" applyFont="1" applyBorder="1" applyAlignment="1" applyProtection="1">
      <alignment horizontal="left" vertical="center" wrapText="1"/>
    </xf>
    <xf numFmtId="0" fontId="1272" fillId="0" borderId="3" xfId="0" applyFont="1" applyBorder="1" applyAlignment="1" applyProtection="1">
      <alignment horizontal="left" vertical="center" wrapText="1"/>
    </xf>
    <xf numFmtId="0" fontId="1273" fillId="0" borderId="3" xfId="0" applyFont="1" applyBorder="1" applyAlignment="1" applyProtection="1">
      <alignment horizontal="left" vertical="center" wrapText="1"/>
    </xf>
    <xf numFmtId="0" fontId="1274" fillId="0" borderId="3" xfId="0" applyFont="1" applyBorder="1" applyAlignment="1" applyProtection="1">
      <alignment horizontal="left" vertical="center" wrapText="1"/>
    </xf>
    <xf numFmtId="0" fontId="1275" fillId="0" borderId="3" xfId="0" applyFont="1" applyBorder="1" applyAlignment="1" applyProtection="1">
      <alignment horizontal="left" vertical="center" wrapText="1"/>
    </xf>
    <xf numFmtId="0" fontId="1276" fillId="0" borderId="3" xfId="0" applyFont="1" applyBorder="1" applyAlignment="1" applyProtection="1">
      <alignment horizontal="left" vertical="center" wrapText="1"/>
    </xf>
    <xf numFmtId="0" fontId="1277" fillId="0" borderId="3" xfId="0" applyFont="1" applyBorder="1" applyAlignment="1" applyProtection="1">
      <alignment horizontal="left" vertical="center" wrapText="1"/>
    </xf>
    <xf numFmtId="0" fontId="1278" fillId="0" borderId="3" xfId="0" applyFont="1" applyBorder="1" applyAlignment="1" applyProtection="1">
      <alignment horizontal="left" vertical="center" wrapText="1"/>
    </xf>
    <xf numFmtId="0" fontId="1279" fillId="0" borderId="3" xfId="0" applyFont="1" applyBorder="1" applyAlignment="1" applyProtection="1">
      <alignment horizontal="left" vertical="center" wrapText="1"/>
    </xf>
    <xf numFmtId="0" fontId="1280" fillId="0" borderId="3" xfId="0" applyFont="1" applyBorder="1" applyAlignment="1" applyProtection="1">
      <alignment horizontal="left" vertical="center" wrapText="1"/>
    </xf>
    <xf numFmtId="0" fontId="1281" fillId="0" borderId="3" xfId="0" applyFont="1" applyBorder="1" applyAlignment="1" applyProtection="1">
      <alignment horizontal="left" vertical="center" wrapText="1"/>
    </xf>
    <xf numFmtId="0" fontId="1282" fillId="0" borderId="3" xfId="0" applyFont="1" applyBorder="1" applyAlignment="1" applyProtection="1">
      <alignment horizontal="left" vertical="center" wrapText="1"/>
    </xf>
    <xf numFmtId="0" fontId="1283" fillId="0" borderId="3" xfId="0" applyFont="1" applyBorder="1" applyAlignment="1" applyProtection="1">
      <alignment horizontal="left" vertical="center" wrapText="1"/>
    </xf>
    <xf numFmtId="0" fontId="1284" fillId="0" borderId="3" xfId="0" applyFont="1" applyBorder="1" applyAlignment="1" applyProtection="1">
      <alignment horizontal="left" vertical="center" wrapText="1"/>
    </xf>
    <xf numFmtId="0" fontId="1285" fillId="0" borderId="3" xfId="0" applyFont="1" applyBorder="1" applyAlignment="1" applyProtection="1">
      <alignment horizontal="left" vertical="center" wrapText="1"/>
    </xf>
    <xf numFmtId="0" fontId="1286" fillId="0" borderId="3" xfId="0" applyFont="1" applyBorder="1" applyAlignment="1" applyProtection="1">
      <alignment horizontal="left" vertical="center" wrapText="1"/>
    </xf>
    <xf numFmtId="0" fontId="1287" fillId="0" borderId="3" xfId="0" applyFont="1" applyBorder="1" applyAlignment="1" applyProtection="1">
      <alignment horizontal="left" vertical="center" wrapText="1"/>
    </xf>
    <xf numFmtId="0" fontId="1288" fillId="0" borderId="3" xfId="0" applyFont="1" applyBorder="1" applyAlignment="1" applyProtection="1">
      <alignment horizontal="left" vertical="center" wrapText="1"/>
    </xf>
    <xf numFmtId="0" fontId="1289" fillId="0" borderId="3" xfId="0" applyFont="1" applyBorder="1" applyAlignment="1" applyProtection="1">
      <alignment horizontal="left" vertical="center" wrapText="1"/>
    </xf>
    <xf numFmtId="0" fontId="1290" fillId="0" borderId="3" xfId="0" applyFont="1" applyBorder="1" applyAlignment="1" applyProtection="1">
      <alignment horizontal="left" vertical="center" wrapText="1"/>
    </xf>
    <xf numFmtId="0" fontId="1291" fillId="0" borderId="3" xfId="0" applyFont="1" applyBorder="1" applyAlignment="1" applyProtection="1">
      <alignment horizontal="left" vertical="center" wrapText="1"/>
    </xf>
    <xf numFmtId="0" fontId="1292" fillId="0" borderId="3" xfId="0" applyFont="1" applyBorder="1" applyAlignment="1" applyProtection="1">
      <alignment horizontal="left" vertical="center" wrapText="1"/>
    </xf>
    <xf numFmtId="0" fontId="1293" fillId="0" borderId="3" xfId="0" applyFont="1" applyBorder="1" applyAlignment="1" applyProtection="1">
      <alignment horizontal="left" vertical="center" wrapText="1"/>
    </xf>
    <xf numFmtId="0" fontId="1294" fillId="0" borderId="3" xfId="0" applyFont="1" applyBorder="1" applyAlignment="1" applyProtection="1">
      <alignment horizontal="left" vertical="center" wrapText="1"/>
    </xf>
    <xf numFmtId="0" fontId="1295" fillId="0" borderId="3" xfId="0" applyFont="1" applyBorder="1" applyAlignment="1" applyProtection="1">
      <alignment horizontal="left" vertical="center" wrapText="1"/>
    </xf>
    <xf numFmtId="0" fontId="1296" fillId="0" borderId="3" xfId="0" applyFont="1" applyBorder="1" applyAlignment="1" applyProtection="1">
      <alignment horizontal="left" vertical="center" wrapText="1"/>
    </xf>
    <xf numFmtId="0" fontId="1297" fillId="0" borderId="3" xfId="0" applyFont="1" applyBorder="1" applyAlignment="1" applyProtection="1">
      <alignment horizontal="left" vertical="center" wrapText="1"/>
    </xf>
    <xf numFmtId="0" fontId="1298" fillId="0" borderId="11" xfId="0" applyFont="1" applyBorder="1" applyAlignment="1" applyProtection="1">
      <alignment horizontal="left" vertical="center" wrapText="1"/>
    </xf>
    <xf numFmtId="0" fontId="1299" fillId="0" borderId="12" xfId="0" applyFont="1" applyBorder="1" applyAlignment="1" applyProtection="1">
      <alignment horizontal="left" vertical="center" wrapText="1"/>
    </xf>
    <xf numFmtId="0" fontId="1300" fillId="0" borderId="12" xfId="0" applyFont="1" applyBorder="1" applyAlignment="1" applyProtection="1">
      <alignment horizontal="left" vertical="center" wrapText="1"/>
    </xf>
    <xf numFmtId="0" fontId="1301" fillId="0" borderId="12" xfId="0" applyFont="1" applyBorder="1" applyAlignment="1" applyProtection="1">
      <alignment horizontal="left" vertical="center" wrapText="1"/>
    </xf>
    <xf numFmtId="0" fontId="1302" fillId="0" borderId="12" xfId="0" applyFont="1" applyBorder="1" applyAlignment="1" applyProtection="1">
      <alignment horizontal="left" vertical="center" wrapText="1"/>
    </xf>
    <xf numFmtId="0" fontId="1303" fillId="0" borderId="4" xfId="0" applyFont="1" applyBorder="1" applyAlignment="1" applyProtection="1">
      <alignment horizontal="left" vertical="center" wrapText="1"/>
    </xf>
    <xf numFmtId="0" fontId="1304" fillId="0" borderId="4" xfId="0" applyFont="1" applyBorder="1" applyAlignment="1" applyProtection="1">
      <alignment horizontal="left" vertical="center" wrapText="1"/>
    </xf>
    <xf numFmtId="0" fontId="1305" fillId="0" borderId="3" xfId="0" applyFont="1" applyBorder="1" applyAlignment="1" applyProtection="1">
      <alignment horizontal="left" vertical="center" wrapText="1"/>
    </xf>
    <xf numFmtId="0" fontId="1306" fillId="0" borderId="3" xfId="0" applyFont="1" applyBorder="1" applyAlignment="1" applyProtection="1">
      <alignment horizontal="left" vertical="center" wrapText="1"/>
    </xf>
    <xf numFmtId="0" fontId="1307" fillId="0" borderId="3" xfId="0" applyFont="1" applyBorder="1" applyAlignment="1" applyProtection="1">
      <alignment horizontal="left" vertical="center" wrapText="1"/>
    </xf>
    <xf numFmtId="0" fontId="1308" fillId="0" borderId="3" xfId="0" applyFont="1" applyBorder="1" applyAlignment="1" applyProtection="1">
      <alignment horizontal="left" vertical="center" wrapText="1"/>
    </xf>
    <xf numFmtId="0" fontId="1309" fillId="0" borderId="3" xfId="0" applyFont="1" applyBorder="1" applyAlignment="1" applyProtection="1">
      <alignment horizontal="left" vertical="center" wrapText="1"/>
    </xf>
    <xf numFmtId="0" fontId="1310" fillId="0" borderId="3" xfId="0" applyFont="1" applyBorder="1" applyAlignment="1" applyProtection="1">
      <alignment horizontal="left" vertical="center" wrapText="1"/>
    </xf>
    <xf numFmtId="0" fontId="1311" fillId="0" borderId="3" xfId="0" applyFont="1" applyBorder="1" applyAlignment="1" applyProtection="1">
      <alignment horizontal="left" vertical="center" wrapText="1"/>
    </xf>
    <xf numFmtId="0" fontId="1312" fillId="0" borderId="3" xfId="0" applyFont="1" applyBorder="1" applyAlignment="1" applyProtection="1">
      <alignment horizontal="left" vertical="center" wrapText="1"/>
    </xf>
    <xf numFmtId="0" fontId="1313" fillId="0" borderId="3" xfId="0" applyFont="1" applyBorder="1" applyAlignment="1" applyProtection="1">
      <alignment horizontal="left" vertical="center" wrapText="1"/>
    </xf>
    <xf numFmtId="0" fontId="1314" fillId="0" borderId="3" xfId="0" applyFont="1" applyBorder="1" applyAlignment="1" applyProtection="1">
      <alignment horizontal="left" vertical="center" wrapText="1"/>
    </xf>
    <xf numFmtId="0" fontId="1315" fillId="0" borderId="3" xfId="0" applyFont="1" applyBorder="1" applyAlignment="1" applyProtection="1">
      <alignment horizontal="left" vertical="center" wrapText="1"/>
    </xf>
    <xf numFmtId="0" fontId="1316" fillId="0" borderId="3" xfId="0" applyFont="1" applyBorder="1" applyAlignment="1" applyProtection="1">
      <alignment horizontal="left" vertical="center" wrapText="1"/>
    </xf>
    <xf numFmtId="0" fontId="1317" fillId="0" borderId="3" xfId="0" applyFont="1" applyBorder="1" applyAlignment="1" applyProtection="1">
      <alignment horizontal="left" vertical="center" wrapText="1"/>
    </xf>
    <xf numFmtId="0" fontId="1318" fillId="0" borderId="3" xfId="0" applyFont="1" applyBorder="1" applyAlignment="1" applyProtection="1">
      <alignment horizontal="left" vertical="center" wrapText="1"/>
    </xf>
    <xf numFmtId="0" fontId="1319" fillId="0" borderId="4" xfId="0" applyFont="1" applyBorder="1" applyAlignment="1" applyProtection="1">
      <alignment horizontal="left" vertical="center" wrapText="1"/>
    </xf>
    <xf numFmtId="0" fontId="1320" fillId="0" borderId="4" xfId="0" applyFont="1" applyBorder="1" applyAlignment="1" applyProtection="1">
      <alignment horizontal="left" vertical="center" wrapText="1"/>
    </xf>
    <xf numFmtId="0" fontId="1321" fillId="0" borderId="3" xfId="0" applyFont="1" applyBorder="1" applyAlignment="1" applyProtection="1">
      <alignment horizontal="left" vertical="center" wrapText="1"/>
    </xf>
    <xf numFmtId="0" fontId="1322" fillId="0" borderId="3" xfId="0" applyFont="1" applyBorder="1" applyAlignment="1" applyProtection="1">
      <alignment horizontal="left" vertical="center" wrapText="1"/>
    </xf>
    <xf numFmtId="0" fontId="1323" fillId="0" borderId="3" xfId="0" applyFont="1" applyBorder="1" applyAlignment="1" applyProtection="1">
      <alignment horizontal="left" vertical="center" wrapText="1"/>
    </xf>
    <xf numFmtId="0" fontId="1324" fillId="0" borderId="3" xfId="0" applyFont="1" applyBorder="1" applyAlignment="1" applyProtection="1">
      <alignment horizontal="left" vertical="center" wrapText="1"/>
    </xf>
    <xf numFmtId="0" fontId="1325" fillId="0" borderId="3" xfId="0" applyFont="1" applyBorder="1" applyAlignment="1" applyProtection="1">
      <alignment horizontal="left" vertical="center" wrapText="1"/>
    </xf>
    <xf numFmtId="0" fontId="1326" fillId="0" borderId="3" xfId="0" applyFont="1" applyBorder="1" applyAlignment="1" applyProtection="1">
      <alignment horizontal="left" vertical="center" wrapText="1"/>
    </xf>
    <xf numFmtId="0" fontId="1327" fillId="0" borderId="4" xfId="0" applyFont="1" applyBorder="1" applyAlignment="1" applyProtection="1">
      <alignment vertical="center" wrapText="1"/>
    </xf>
    <xf numFmtId="0" fontId="1328" fillId="0" borderId="4" xfId="0" applyFont="1" applyBorder="1" applyAlignment="1" applyProtection="1">
      <alignment vertical="center" wrapText="1"/>
    </xf>
    <xf numFmtId="0" fontId="1329" fillId="0" borderId="4" xfId="0" applyFont="1" applyBorder="1" applyAlignment="1" applyProtection="1">
      <alignment vertical="center" wrapText="1"/>
    </xf>
    <xf numFmtId="0" fontId="1330" fillId="0" borderId="10" xfId="0" applyFont="1" applyBorder="1" applyAlignment="1" applyProtection="1">
      <alignment vertical="center" wrapText="1"/>
    </xf>
    <xf numFmtId="0" fontId="1331" fillId="0" borderId="10" xfId="0" applyFont="1" applyBorder="1" applyAlignment="1" applyProtection="1">
      <alignment vertical="center" wrapText="1"/>
    </xf>
    <xf numFmtId="0" fontId="1332" fillId="0" borderId="4" xfId="0" applyFont="1" applyBorder="1" applyAlignment="1" applyProtection="1">
      <alignment vertical="center" wrapText="1"/>
    </xf>
    <xf numFmtId="0" fontId="1333" fillId="0" borderId="10" xfId="0" applyFont="1" applyBorder="1" applyAlignment="1" applyProtection="1">
      <alignment vertical="center" wrapText="1"/>
    </xf>
    <xf numFmtId="0" fontId="1334" fillId="0" borderId="4" xfId="0" applyFont="1" applyBorder="1" applyAlignment="1" applyProtection="1">
      <alignment vertical="center" wrapText="1"/>
    </xf>
    <xf numFmtId="0" fontId="1335" fillId="0" borderId="10" xfId="0" applyFont="1" applyBorder="1" applyAlignment="1" applyProtection="1">
      <alignment vertical="center" wrapText="1"/>
    </xf>
    <xf numFmtId="0" fontId="1336" fillId="0" borderId="4" xfId="0" applyFont="1" applyBorder="1" applyAlignment="1" applyProtection="1">
      <alignment vertical="center" wrapText="1"/>
    </xf>
    <xf numFmtId="0" fontId="1337" fillId="0" borderId="4" xfId="0" applyFont="1" applyBorder="1" applyAlignment="1" applyProtection="1">
      <alignment vertical="center" wrapText="1"/>
    </xf>
    <xf numFmtId="0" fontId="1338" fillId="0" borderId="9" xfId="0" applyFont="1" applyBorder="1" applyAlignment="1" applyProtection="1">
      <alignment vertical="center" wrapText="1"/>
    </xf>
    <xf numFmtId="0" fontId="1339" fillId="0" borderId="10" xfId="0" applyFont="1" applyBorder="1" applyAlignment="1" applyProtection="1">
      <alignment vertical="center" wrapText="1"/>
    </xf>
    <xf numFmtId="0" fontId="1340" fillId="0" borderId="9" xfId="0" applyFont="1" applyBorder="1" applyAlignment="1" applyProtection="1">
      <alignment vertical="center" wrapText="1"/>
    </xf>
    <xf numFmtId="0" fontId="1341" fillId="0" borderId="10" xfId="0" applyFont="1" applyBorder="1" applyAlignment="1" applyProtection="1">
      <alignment vertical="center" wrapText="1"/>
    </xf>
    <xf numFmtId="0" fontId="1342" fillId="0" borderId="9" xfId="0" applyFont="1" applyBorder="1" applyAlignment="1" applyProtection="1">
      <alignment vertical="center" wrapText="1"/>
    </xf>
    <xf numFmtId="0" fontId="1343" fillId="0" borderId="10" xfId="0" applyFont="1" applyBorder="1" applyAlignment="1" applyProtection="1">
      <alignment vertical="center" wrapText="1"/>
    </xf>
    <xf numFmtId="0" fontId="1344" fillId="0" borderId="9" xfId="0" applyFont="1" applyBorder="1" applyAlignment="1" applyProtection="1">
      <alignment vertical="center" wrapText="1"/>
    </xf>
    <xf numFmtId="0" fontId="1345" fillId="0" borderId="10" xfId="0" applyFont="1" applyBorder="1" applyAlignment="1" applyProtection="1">
      <alignment vertical="center" wrapText="1"/>
    </xf>
    <xf numFmtId="0" fontId="1346" fillId="0" borderId="9" xfId="0" applyFont="1" applyBorder="1" applyAlignment="1" applyProtection="1">
      <alignment vertical="center" wrapText="1"/>
    </xf>
    <xf numFmtId="0" fontId="1347" fillId="0" borderId="10" xfId="0" applyFont="1" applyBorder="1" applyAlignment="1" applyProtection="1">
      <alignment vertical="center" wrapText="1"/>
    </xf>
    <xf numFmtId="0" fontId="1348" fillId="0" borderId="3" xfId="0" applyFont="1" applyBorder="1" applyAlignment="1" applyProtection="1">
      <alignment horizontal="left" vertical="center" wrapText="1"/>
    </xf>
    <xf numFmtId="0" fontId="1349" fillId="0" borderId="4" xfId="0" applyFont="1" applyBorder="1" applyAlignment="1" applyProtection="1">
      <alignment horizontal="left" vertical="center" wrapText="1"/>
    </xf>
    <xf numFmtId="0" fontId="1350" fillId="0" borderId="4" xfId="0" applyFont="1" applyBorder="1" applyAlignment="1" applyProtection="1">
      <alignment horizontal="left" vertical="center" wrapText="1"/>
    </xf>
    <xf numFmtId="0" fontId="1351" fillId="0" borderId="3" xfId="0" applyFont="1" applyBorder="1" applyAlignment="1" applyProtection="1">
      <alignment horizontal="left" vertical="center" wrapText="1"/>
    </xf>
    <xf numFmtId="0" fontId="1352" fillId="0" borderId="4" xfId="0" applyFont="1" applyBorder="1" applyAlignment="1" applyProtection="1">
      <alignment horizontal="left" vertical="center" wrapText="1"/>
    </xf>
    <xf numFmtId="0" fontId="1353" fillId="0" borderId="3" xfId="0" applyFont="1" applyBorder="1" applyAlignment="1" applyProtection="1">
      <alignment horizontal="left" vertical="center" wrapText="1"/>
    </xf>
    <xf numFmtId="0" fontId="1354" fillId="0" borderId="3" xfId="0" applyFont="1" applyBorder="1" applyAlignment="1" applyProtection="1">
      <alignment horizontal="left" vertical="center" wrapText="1"/>
    </xf>
    <xf numFmtId="0" fontId="1355" fillId="0" borderId="3" xfId="0" applyFont="1" applyBorder="1" applyAlignment="1" applyProtection="1">
      <alignment horizontal="left" vertical="center" wrapText="1"/>
    </xf>
    <xf numFmtId="0" fontId="1356" fillId="0" borderId="3" xfId="0" applyFont="1" applyBorder="1" applyAlignment="1" applyProtection="1">
      <alignment horizontal="left" vertical="center" wrapText="1"/>
    </xf>
    <xf numFmtId="0" fontId="1357" fillId="14" borderId="4" xfId="0" applyFont="1" applyFill="1" applyBorder="1" applyAlignment="1" applyProtection="1">
      <alignment vertical="center" wrapText="1"/>
    </xf>
    <xf numFmtId="0" fontId="1358" fillId="0" borderId="10" xfId="0" applyFont="1" applyBorder="1" applyAlignment="1" applyProtection="1">
      <alignment vertical="center" wrapText="1"/>
    </xf>
    <xf numFmtId="0" fontId="1359" fillId="0" borderId="4" xfId="0" applyFont="1" applyBorder="1" applyAlignment="1" applyProtection="1">
      <alignment vertical="center" wrapText="1"/>
    </xf>
    <xf numFmtId="0" fontId="1360" fillId="0" borderId="10" xfId="0" applyFont="1" applyBorder="1" applyAlignment="1" applyProtection="1">
      <alignment vertical="center" wrapText="1"/>
    </xf>
    <xf numFmtId="0" fontId="1361" fillId="0" borderId="4" xfId="0" applyFont="1" applyBorder="1" applyAlignment="1" applyProtection="1">
      <alignment vertical="center" wrapText="1"/>
    </xf>
    <xf numFmtId="0" fontId="1362" fillId="0" borderId="10" xfId="0" applyFont="1" applyBorder="1" applyAlignment="1" applyProtection="1">
      <alignment vertical="center" wrapText="1"/>
    </xf>
    <xf numFmtId="0" fontId="1363" fillId="0" borderId="4" xfId="0" applyFont="1" applyBorder="1" applyAlignment="1" applyProtection="1">
      <alignment vertical="center" wrapText="1"/>
    </xf>
    <xf numFmtId="0" fontId="1364" fillId="0" borderId="10" xfId="0" applyFont="1" applyBorder="1" applyAlignment="1" applyProtection="1">
      <alignment vertical="center" wrapText="1"/>
    </xf>
    <xf numFmtId="0" fontId="1365" fillId="0" borderId="4" xfId="0" applyFont="1" applyBorder="1" applyAlignment="1" applyProtection="1">
      <alignment vertical="center" wrapText="1"/>
    </xf>
    <xf numFmtId="0" fontId="1366" fillId="0" borderId="10" xfId="0" applyFont="1" applyBorder="1" applyAlignment="1" applyProtection="1">
      <alignment vertical="center" wrapText="1"/>
    </xf>
    <xf numFmtId="0" fontId="1367" fillId="0" borderId="4" xfId="0" applyFont="1" applyBorder="1" applyAlignment="1" applyProtection="1">
      <alignment vertical="center" wrapText="1"/>
    </xf>
    <xf numFmtId="0" fontId="1368" fillId="0" borderId="10" xfId="0" applyFont="1" applyBorder="1" applyAlignment="1" applyProtection="1">
      <alignment vertical="center" wrapText="1"/>
    </xf>
    <xf numFmtId="0" fontId="1369" fillId="0" borderId="4" xfId="0" applyFont="1" applyBorder="1" applyAlignment="1" applyProtection="1">
      <alignment vertical="center" wrapText="1"/>
    </xf>
    <xf numFmtId="0" fontId="1370" fillId="0" borderId="10" xfId="0" applyFont="1" applyBorder="1" applyAlignment="1" applyProtection="1">
      <alignment vertical="center" wrapText="1"/>
    </xf>
    <xf numFmtId="0" fontId="1371" fillId="0" borderId="4" xfId="0" applyFont="1" applyBorder="1" applyAlignment="1" applyProtection="1">
      <alignment vertical="center" wrapText="1"/>
    </xf>
    <xf numFmtId="0" fontId="1372" fillId="0" borderId="10" xfId="0" applyFont="1" applyBorder="1" applyAlignment="1" applyProtection="1">
      <alignment vertical="center" wrapText="1"/>
    </xf>
    <xf numFmtId="0" fontId="1373" fillId="0" borderId="4" xfId="0" applyFont="1" applyBorder="1" applyAlignment="1" applyProtection="1">
      <alignment vertical="center" wrapText="1"/>
    </xf>
    <xf numFmtId="0" fontId="1374" fillId="0" borderId="10" xfId="0" applyFont="1" applyBorder="1" applyAlignment="1" applyProtection="1">
      <alignment vertical="center" wrapText="1"/>
    </xf>
    <xf numFmtId="0" fontId="1375" fillId="0" borderId="4" xfId="0" applyFont="1" applyBorder="1" applyAlignment="1" applyProtection="1">
      <alignment vertical="center" wrapText="1"/>
    </xf>
    <xf numFmtId="0" fontId="1376" fillId="0" borderId="10" xfId="0" applyFont="1" applyBorder="1" applyAlignment="1" applyProtection="1">
      <alignment vertical="center" wrapText="1"/>
    </xf>
    <xf numFmtId="0" fontId="1377" fillId="0" borderId="4" xfId="0" applyFont="1" applyBorder="1" applyAlignment="1" applyProtection="1">
      <alignment vertical="center" wrapText="1"/>
    </xf>
    <xf numFmtId="0" fontId="1378" fillId="0" borderId="10" xfId="0" applyFont="1" applyBorder="1" applyAlignment="1" applyProtection="1">
      <alignment vertical="center" wrapText="1"/>
    </xf>
    <xf numFmtId="0" fontId="1379" fillId="0" borderId="5" xfId="0" applyFont="1" applyBorder="1" applyAlignment="1" applyProtection="1">
      <alignment vertical="center" wrapText="1"/>
    </xf>
    <xf numFmtId="0" fontId="1380" fillId="0" borderId="10" xfId="0" applyFont="1" applyBorder="1" applyAlignment="1" applyProtection="1">
      <alignment vertical="center" wrapText="1"/>
    </xf>
    <xf numFmtId="0" fontId="1381" fillId="0" borderId="3" xfId="0" applyFont="1" applyBorder="1" applyAlignment="1" applyProtection="1">
      <alignment vertical="center" wrapText="1"/>
    </xf>
    <xf numFmtId="0" fontId="1382" fillId="0" borderId="3" xfId="0" applyFont="1" applyBorder="1" applyAlignment="1" applyProtection="1">
      <alignment vertical="center" wrapText="1"/>
    </xf>
    <xf numFmtId="0" fontId="1383" fillId="0" borderId="3" xfId="0" applyFont="1" applyBorder="1" applyAlignment="1" applyProtection="1">
      <alignment vertical="center" wrapText="1"/>
    </xf>
    <xf numFmtId="0" fontId="1384" fillId="0" borderId="10" xfId="0" applyFont="1" applyBorder="1" applyAlignment="1" applyProtection="1">
      <alignment vertical="center" wrapText="1"/>
    </xf>
    <xf numFmtId="0" fontId="1385" fillId="0" borderId="4" xfId="0" applyFont="1" applyBorder="1" applyAlignment="1" applyProtection="1">
      <alignment vertical="center" wrapText="1"/>
    </xf>
    <xf numFmtId="0" fontId="1386" fillId="0" borderId="10" xfId="0" applyFont="1" applyBorder="1" applyAlignment="1" applyProtection="1">
      <alignment vertical="center" wrapText="1"/>
    </xf>
    <xf numFmtId="0" fontId="1387" fillId="0" borderId="4" xfId="0" applyFont="1" applyBorder="1" applyAlignment="1" applyProtection="1">
      <alignment vertical="center" wrapText="1"/>
    </xf>
    <xf numFmtId="0" fontId="1388" fillId="0" borderId="10" xfId="0" applyFont="1" applyBorder="1" applyAlignment="1" applyProtection="1">
      <alignment vertical="center" wrapText="1"/>
    </xf>
    <xf numFmtId="0" fontId="1389" fillId="0" borderId="4" xfId="0" applyFont="1" applyBorder="1" applyAlignment="1" applyProtection="1">
      <alignment vertical="center" wrapText="1"/>
    </xf>
    <xf numFmtId="0" fontId="1390" fillId="0" borderId="10" xfId="0" applyFont="1" applyBorder="1" applyAlignment="1" applyProtection="1">
      <alignment vertical="center" wrapText="1"/>
    </xf>
    <xf numFmtId="0" fontId="1391" fillId="0" borderId="9" xfId="0" applyFont="1" applyBorder="1" applyAlignment="1" applyProtection="1">
      <alignment vertical="center" wrapText="1"/>
    </xf>
    <xf numFmtId="0" fontId="1392" fillId="0" borderId="10" xfId="0" applyFont="1" applyBorder="1" applyAlignment="1" applyProtection="1">
      <alignment vertical="center" wrapText="1"/>
    </xf>
    <xf numFmtId="0" fontId="1393" fillId="0" borderId="4" xfId="0" applyFont="1" applyBorder="1" applyAlignment="1" applyProtection="1">
      <alignment vertical="center" wrapText="1"/>
    </xf>
    <xf numFmtId="0" fontId="1394" fillId="0" borderId="10" xfId="0" applyFont="1" applyBorder="1" applyAlignment="1" applyProtection="1">
      <alignment vertical="center" wrapText="1"/>
    </xf>
    <xf numFmtId="0" fontId="1395" fillId="0" borderId="4" xfId="0" applyFont="1" applyBorder="1" applyAlignment="1" applyProtection="1">
      <alignment vertical="center" wrapText="1"/>
    </xf>
    <xf numFmtId="0" fontId="1396" fillId="0" borderId="10" xfId="0" applyFont="1" applyBorder="1" applyAlignment="1" applyProtection="1">
      <alignment vertical="center" wrapText="1"/>
    </xf>
    <xf numFmtId="0" fontId="1397" fillId="0" borderId="4" xfId="0" applyFont="1" applyBorder="1" applyAlignment="1" applyProtection="1">
      <alignment vertical="center" wrapText="1"/>
    </xf>
    <xf numFmtId="0" fontId="1398" fillId="0" borderId="10" xfId="0" applyFont="1" applyBorder="1" applyAlignment="1" applyProtection="1">
      <alignment vertical="center" wrapText="1"/>
    </xf>
    <xf numFmtId="0" fontId="1399" fillId="0" borderId="4" xfId="0" applyFont="1" applyBorder="1" applyAlignment="1" applyProtection="1">
      <alignment vertical="center" wrapText="1"/>
    </xf>
    <xf numFmtId="0" fontId="1400" fillId="0" borderId="10" xfId="0" applyFont="1" applyBorder="1" applyAlignment="1" applyProtection="1">
      <alignment vertical="center" wrapText="1"/>
    </xf>
    <xf numFmtId="0" fontId="1401" fillId="0" borderId="10" xfId="0" applyFont="1" applyBorder="1" applyAlignment="1" applyProtection="1">
      <alignment vertical="center" wrapText="1"/>
    </xf>
    <xf numFmtId="0" fontId="1402" fillId="0" borderId="30" xfId="0" applyFont="1" applyBorder="1" applyAlignment="1" applyProtection="1">
      <alignment vertical="center" wrapText="1"/>
    </xf>
    <xf numFmtId="0" fontId="1403" fillId="0" borderId="23" xfId="0" applyFont="1" applyBorder="1" applyAlignment="1" applyProtection="1">
      <alignment vertical="center" wrapText="1"/>
    </xf>
    <xf numFmtId="0" fontId="1404" fillId="0" borderId="3" xfId="0" applyFont="1" applyBorder="1" applyAlignment="1" applyProtection="1">
      <alignment vertical="center" wrapText="1"/>
    </xf>
    <xf numFmtId="0" fontId="1405" fillId="0" borderId="23" xfId="0" applyFont="1" applyBorder="1" applyAlignment="1" applyProtection="1">
      <alignment vertical="center" wrapText="1"/>
    </xf>
    <xf numFmtId="0" fontId="1406" fillId="0" borderId="3" xfId="0" applyFont="1" applyBorder="1" applyAlignment="1" applyProtection="1">
      <alignment vertical="center" wrapText="1"/>
    </xf>
    <xf numFmtId="0" fontId="1407" fillId="0" borderId="3" xfId="0" applyFont="1" applyBorder="1" applyAlignment="1" applyProtection="1">
      <alignment vertical="center" wrapText="1"/>
    </xf>
    <xf numFmtId="0" fontId="1408" fillId="0" borderId="3" xfId="0" applyFont="1" applyBorder="1" applyAlignment="1" applyProtection="1">
      <alignment vertical="center" wrapText="1"/>
    </xf>
    <xf numFmtId="0" fontId="1409" fillId="0" borderId="3" xfId="0" applyFont="1" applyBorder="1" applyAlignment="1" applyProtection="1">
      <alignment vertical="center" wrapText="1"/>
    </xf>
    <xf numFmtId="0" fontId="1410" fillId="0" borderId="3" xfId="0" applyFont="1" applyBorder="1" applyAlignment="1" applyProtection="1">
      <alignment vertical="center" wrapText="1"/>
    </xf>
    <xf numFmtId="0" fontId="1411" fillId="0" borderId="3" xfId="0" applyFont="1" applyBorder="1" applyAlignment="1" applyProtection="1">
      <alignment vertical="center" wrapText="1"/>
    </xf>
    <xf numFmtId="0" fontId="1412" fillId="0" borderId="4" xfId="0" applyFont="1" applyBorder="1" applyAlignment="1" applyProtection="1">
      <alignment horizontal="left" vertical="center" wrapText="1"/>
    </xf>
    <xf numFmtId="0" fontId="1413" fillId="0" borderId="4" xfId="0" applyFont="1" applyBorder="1" applyAlignment="1" applyProtection="1">
      <alignment horizontal="left" vertical="center" wrapText="1"/>
    </xf>
    <xf numFmtId="0" fontId="1414" fillId="17" borderId="3" xfId="0" applyFont="1" applyFill="1" applyBorder="1" applyAlignment="1" applyProtection="1">
      <alignment horizontal="left" vertical="center" wrapText="1"/>
    </xf>
    <xf numFmtId="0" fontId="1415" fillId="0" borderId="4" xfId="0" applyFont="1" applyBorder="1" applyAlignment="1" applyProtection="1">
      <alignment horizontal="left" vertical="center" wrapText="1"/>
    </xf>
    <xf numFmtId="0" fontId="1416" fillId="17" borderId="3" xfId="0" applyFont="1" applyFill="1" applyBorder="1" applyAlignment="1" applyProtection="1">
      <alignment horizontal="left" vertical="center" wrapText="1"/>
    </xf>
    <xf numFmtId="0" fontId="1417" fillId="0" borderId="4" xfId="0" applyFont="1" applyBorder="1" applyAlignment="1" applyProtection="1">
      <alignment horizontal="left" vertical="center" wrapText="1"/>
    </xf>
    <xf numFmtId="0" fontId="1418" fillId="0" borderId="3" xfId="0" applyFont="1" applyBorder="1" applyAlignment="1" applyProtection="1">
      <alignment horizontal="left" vertical="center" wrapText="1"/>
    </xf>
    <xf numFmtId="0" fontId="1419" fillId="0" borderId="3" xfId="0" applyFont="1" applyBorder="1" applyAlignment="1" applyProtection="1">
      <alignment horizontal="left" vertical="center" wrapText="1"/>
    </xf>
    <xf numFmtId="0" fontId="1420" fillId="0" borderId="3" xfId="0" applyFont="1" applyBorder="1" applyAlignment="1" applyProtection="1">
      <alignment vertical="center" wrapText="1"/>
    </xf>
    <xf numFmtId="0" fontId="1421" fillId="0" borderId="24" xfId="0" applyFont="1" applyBorder="1" applyAlignment="1" applyProtection="1">
      <alignment vertical="center" wrapText="1"/>
    </xf>
    <xf numFmtId="0" fontId="1422" fillId="0" borderId="3" xfId="0" applyFont="1" applyBorder="1" applyAlignment="1" applyProtection="1">
      <alignment horizontal="left" vertical="center" wrapText="1"/>
    </xf>
    <xf numFmtId="0" fontId="1423" fillId="0" borderId="3" xfId="0" applyFont="1" applyBorder="1" applyAlignment="1" applyProtection="1">
      <alignment horizontal="left" vertical="center" wrapText="1"/>
    </xf>
    <xf numFmtId="0" fontId="1424" fillId="0" borderId="3" xfId="0" applyFont="1" applyBorder="1" applyAlignment="1" applyProtection="1">
      <alignment horizontal="left" vertical="center" wrapText="1"/>
    </xf>
    <xf numFmtId="0" fontId="1425" fillId="0" borderId="23" xfId="0" applyFont="1" applyBorder="1" applyAlignment="1" applyProtection="1">
      <alignment horizontal="left" vertical="center" wrapText="1"/>
    </xf>
    <xf numFmtId="0" fontId="1426" fillId="0" borderId="9" xfId="0" applyFont="1" applyBorder="1" applyAlignment="1" applyProtection="1">
      <alignment vertical="center" wrapText="1"/>
    </xf>
    <xf numFmtId="0" fontId="1427" fillId="0" borderId="3" xfId="0" applyFont="1" applyBorder="1" applyAlignment="1" applyProtection="1">
      <alignment vertical="center" wrapText="1"/>
    </xf>
    <xf numFmtId="0" fontId="1428" fillId="0" borderId="9" xfId="0" applyFont="1" applyBorder="1" applyAlignment="1" applyProtection="1">
      <alignment vertical="center" wrapText="1"/>
    </xf>
    <xf numFmtId="0" fontId="1429" fillId="0" borderId="10" xfId="0" applyFont="1" applyBorder="1" applyAlignment="1" applyProtection="1">
      <alignment vertical="center" wrapText="1"/>
    </xf>
    <xf numFmtId="0" fontId="1430" fillId="0" borderId="9" xfId="0" applyFont="1" applyBorder="1" applyAlignment="1" applyProtection="1">
      <alignment vertical="center" wrapText="1"/>
    </xf>
    <xf numFmtId="0" fontId="1431" fillId="0" borderId="9" xfId="0" applyFont="1" applyBorder="1" applyAlignment="1" applyProtection="1">
      <alignment vertical="center" wrapText="1"/>
    </xf>
    <xf numFmtId="0" fontId="1432" fillId="0" borderId="10" xfId="0" applyFont="1" applyBorder="1" applyAlignment="1" applyProtection="1">
      <alignment vertical="center" wrapText="1"/>
    </xf>
    <xf numFmtId="0" fontId="1433" fillId="0" borderId="9" xfId="0" applyFont="1" applyBorder="1" applyAlignment="1" applyProtection="1">
      <alignment vertical="center" wrapText="1"/>
    </xf>
    <xf numFmtId="0" fontId="1434" fillId="0" borderId="10" xfId="0" applyFont="1" applyBorder="1" applyAlignment="1" applyProtection="1">
      <alignment vertical="center" wrapText="1"/>
    </xf>
    <xf numFmtId="0" fontId="1435" fillId="0" borderId="9" xfId="0" applyFont="1" applyBorder="1" applyAlignment="1" applyProtection="1">
      <alignment vertical="center" wrapText="1"/>
    </xf>
    <xf numFmtId="0" fontId="1436" fillId="0" borderId="10" xfId="0" applyFont="1" applyBorder="1" applyAlignment="1" applyProtection="1">
      <alignment vertical="center" wrapText="1"/>
    </xf>
    <xf numFmtId="0" fontId="1437" fillId="0" borderId="9" xfId="0" applyFont="1" applyBorder="1" applyAlignment="1" applyProtection="1">
      <alignment vertical="center" wrapText="1"/>
    </xf>
    <xf numFmtId="0" fontId="1438" fillId="0" borderId="10" xfId="0" applyFont="1" applyBorder="1" applyAlignment="1" applyProtection="1">
      <alignment vertical="center" wrapText="1"/>
    </xf>
    <xf numFmtId="0" fontId="1439" fillId="0" borderId="9" xfId="0" applyFont="1" applyBorder="1" applyAlignment="1" applyProtection="1">
      <alignment vertical="center" wrapText="1"/>
    </xf>
    <xf numFmtId="0" fontId="1440" fillId="0" borderId="10" xfId="0" applyFont="1" applyBorder="1" applyAlignment="1" applyProtection="1">
      <alignment vertical="center" wrapText="1"/>
    </xf>
    <xf numFmtId="0" fontId="1441" fillId="0" borderId="5" xfId="0" applyFont="1" applyBorder="1" applyAlignment="1" applyProtection="1">
      <alignment vertical="center" wrapText="1"/>
    </xf>
    <xf numFmtId="0" fontId="1442" fillId="0" borderId="30" xfId="0" applyFont="1" applyBorder="1" applyAlignment="1" applyProtection="1">
      <alignment vertical="center" wrapText="1"/>
    </xf>
    <xf numFmtId="0" fontId="1443" fillId="0" borderId="3" xfId="0" applyFont="1" applyBorder="1" applyAlignment="1" applyProtection="1">
      <alignment vertical="center" wrapText="1"/>
    </xf>
    <xf numFmtId="0" fontId="1444" fillId="0" borderId="3" xfId="0" applyFont="1" applyBorder="1" applyAlignment="1" applyProtection="1">
      <alignment vertical="center" wrapText="1"/>
    </xf>
    <xf numFmtId="0" fontId="1445" fillId="0" borderId="3" xfId="0" applyFont="1" applyBorder="1" applyAlignment="1" applyProtection="1">
      <alignment vertical="center" wrapText="1"/>
    </xf>
    <xf numFmtId="0" fontId="1446" fillId="0" borderId="3" xfId="0" applyFont="1" applyBorder="1" applyAlignment="1" applyProtection="1">
      <alignment vertical="center" wrapText="1"/>
    </xf>
    <xf numFmtId="0" fontId="1447" fillId="0" borderId="3" xfId="0" applyFont="1" applyBorder="1" applyAlignment="1" applyProtection="1">
      <alignment vertical="center" wrapText="1"/>
    </xf>
    <xf numFmtId="0" fontId="1448" fillId="0" borderId="3" xfId="0" applyFont="1" applyBorder="1" applyAlignment="1" applyProtection="1">
      <alignment vertical="center" wrapText="1"/>
    </xf>
    <xf numFmtId="0" fontId="1449" fillId="0" borderId="3" xfId="0" applyFont="1" applyBorder="1" applyAlignment="1" applyProtection="1">
      <alignment vertical="center" wrapText="1"/>
    </xf>
    <xf numFmtId="0" fontId="1450" fillId="0" borderId="3" xfId="0" applyFont="1" applyBorder="1" applyAlignment="1" applyProtection="1">
      <alignment vertical="center" wrapText="1"/>
    </xf>
    <xf numFmtId="0" fontId="1451" fillId="0" borderId="3" xfId="0" applyFont="1" applyBorder="1" applyAlignment="1" applyProtection="1">
      <alignment vertical="center" wrapText="1"/>
    </xf>
    <xf numFmtId="0" fontId="1452" fillId="0" borderId="3" xfId="0" applyFont="1" applyBorder="1" applyAlignment="1" applyProtection="1">
      <alignment vertical="center" wrapText="1"/>
    </xf>
    <xf numFmtId="0" fontId="1453" fillId="0" borderId="4" xfId="0" applyFont="1" applyBorder="1" applyAlignment="1" applyProtection="1">
      <alignment vertical="center" wrapText="1"/>
    </xf>
    <xf numFmtId="0" fontId="1454" fillId="0" borderId="3" xfId="0" applyFont="1" applyBorder="1" applyAlignment="1" applyProtection="1">
      <alignment vertical="center" wrapText="1"/>
    </xf>
    <xf numFmtId="0" fontId="1455" fillId="0" borderId="4" xfId="0" applyFont="1" applyBorder="1" applyAlignment="1" applyProtection="1">
      <alignment vertical="center" wrapText="1"/>
    </xf>
    <xf numFmtId="0" fontId="1456" fillId="0" borderId="3" xfId="0" applyFont="1" applyBorder="1" applyAlignment="1" applyProtection="1">
      <alignment vertical="center" wrapText="1"/>
    </xf>
    <xf numFmtId="0" fontId="1457" fillId="0" borderId="4" xfId="0" applyFont="1" applyBorder="1" applyAlignment="1" applyProtection="1">
      <alignment horizontal="left" vertical="center" wrapText="1"/>
    </xf>
    <xf numFmtId="0" fontId="1458" fillId="0" borderId="4" xfId="0" applyFont="1" applyBorder="1" applyAlignment="1" applyProtection="1">
      <alignment horizontal="left" vertical="center" wrapText="1"/>
    </xf>
    <xf numFmtId="0" fontId="1459" fillId="0" borderId="4" xfId="0" applyFont="1" applyBorder="1" applyAlignment="1" applyProtection="1">
      <alignment horizontal="left" vertical="center" wrapText="1"/>
    </xf>
    <xf numFmtId="0" fontId="1460" fillId="0" borderId="4" xfId="0" applyFont="1" applyBorder="1" applyAlignment="1" applyProtection="1">
      <alignment horizontal="left" vertical="center" wrapText="1"/>
    </xf>
    <xf numFmtId="0" fontId="1461" fillId="0" borderId="3" xfId="0" applyFont="1" applyBorder="1" applyAlignment="1" applyProtection="1">
      <alignment horizontal="left" vertical="center" wrapText="1"/>
    </xf>
    <xf numFmtId="0" fontId="1462" fillId="0" borderId="4" xfId="0" applyFont="1" applyBorder="1" applyAlignment="1" applyProtection="1">
      <alignment horizontal="left" vertical="center" wrapText="1"/>
    </xf>
    <xf numFmtId="0" fontId="1463" fillId="0" borderId="3" xfId="0" applyFont="1" applyBorder="1" applyAlignment="1" applyProtection="1">
      <alignment horizontal="left" vertical="center" wrapText="1"/>
    </xf>
    <xf numFmtId="0" fontId="1464" fillId="0" borderId="3" xfId="0" applyFont="1" applyBorder="1" applyAlignment="1" applyProtection="1">
      <alignment horizontal="left" vertical="center" wrapText="1"/>
    </xf>
    <xf numFmtId="0" fontId="1465" fillId="0" borderId="3" xfId="0" applyFont="1" applyBorder="1" applyAlignment="1" applyProtection="1">
      <alignment horizontal="left" vertical="center" wrapText="1"/>
    </xf>
    <xf numFmtId="0" fontId="1466" fillId="0" borderId="3" xfId="0" applyFont="1" applyBorder="1" applyAlignment="1" applyProtection="1">
      <alignment horizontal="left" vertical="center" wrapText="1"/>
    </xf>
    <xf numFmtId="0" fontId="1467" fillId="0" borderId="3" xfId="0" applyFont="1" applyBorder="1" applyAlignment="1" applyProtection="1">
      <alignment vertical="center" wrapText="1"/>
    </xf>
    <xf numFmtId="0" fontId="1468" fillId="0" borderId="3" xfId="0" applyFont="1" applyBorder="1" applyAlignment="1" applyProtection="1">
      <alignment horizontal="left" vertical="center" wrapText="1"/>
    </xf>
    <xf numFmtId="0" fontId="1469" fillId="0" borderId="3" xfId="0" applyFont="1" applyBorder="1" applyAlignment="1" applyProtection="1">
      <alignment horizontal="left" vertical="center" wrapText="1"/>
    </xf>
    <xf numFmtId="0" fontId="1470" fillId="0" borderId="3" xfId="0" applyFont="1" applyBorder="1" applyAlignment="1" applyProtection="1">
      <alignment horizontal="left" vertical="center" wrapText="1"/>
    </xf>
    <xf numFmtId="0" fontId="1471" fillId="0" borderId="3" xfId="0" applyFont="1" applyBorder="1" applyAlignment="1" applyProtection="1">
      <alignment horizontal="left" vertical="center" wrapText="1"/>
    </xf>
    <xf numFmtId="0" fontId="1472" fillId="0" borderId="3" xfId="0" applyFont="1" applyBorder="1" applyAlignment="1" applyProtection="1">
      <alignment horizontal="left" vertical="center" wrapText="1"/>
    </xf>
    <xf numFmtId="0" fontId="1473" fillId="0" borderId="3" xfId="0" applyFont="1" applyBorder="1" applyAlignment="1" applyProtection="1">
      <alignment horizontal="left" vertical="center" wrapText="1"/>
    </xf>
    <xf numFmtId="0" fontId="1474" fillId="0" borderId="3" xfId="0" applyFont="1" applyBorder="1" applyAlignment="1" applyProtection="1">
      <alignment vertical="center" wrapText="1"/>
    </xf>
    <xf numFmtId="0" fontId="1475" fillId="0" borderId="3" xfId="0" applyFont="1" applyBorder="1" applyAlignment="1" applyProtection="1">
      <alignment horizontal="left" vertical="center" wrapText="1"/>
    </xf>
    <xf numFmtId="0" fontId="1476" fillId="0" borderId="3" xfId="0" applyFont="1" applyBorder="1" applyAlignment="1" applyProtection="1">
      <alignment horizontal="left" vertical="center" wrapText="1"/>
    </xf>
    <xf numFmtId="0" fontId="1477" fillId="0" borderId="3" xfId="0" applyFont="1" applyBorder="1" applyAlignment="1" applyProtection="1">
      <alignment horizontal="left" vertical="center" wrapText="1"/>
    </xf>
    <xf numFmtId="0" fontId="1478" fillId="0" borderId="3" xfId="0" applyFont="1" applyBorder="1" applyAlignment="1" applyProtection="1">
      <alignment vertical="center" wrapText="1"/>
    </xf>
    <xf numFmtId="0" fontId="1479" fillId="0" borderId="3" xfId="0" applyFont="1" applyBorder="1" applyAlignment="1" applyProtection="1">
      <alignment horizontal="left" vertical="center" wrapText="1"/>
    </xf>
    <xf numFmtId="0" fontId="1480" fillId="0" borderId="3" xfId="0" applyFont="1" applyBorder="1" applyAlignment="1" applyProtection="1">
      <alignment vertical="center" wrapText="1"/>
    </xf>
    <xf numFmtId="0" fontId="1481" fillId="0" borderId="3" xfId="0" applyFont="1" applyBorder="1" applyAlignment="1" applyProtection="1">
      <alignment horizontal="left" vertical="center" wrapText="1"/>
    </xf>
    <xf numFmtId="0" fontId="1482" fillId="0" borderId="3" xfId="0" applyFont="1" applyBorder="1" applyAlignment="1" applyProtection="1">
      <alignment horizontal="left" vertical="center" wrapText="1"/>
    </xf>
    <xf numFmtId="0" fontId="1483" fillId="0" borderId="3" xfId="0" applyFont="1" applyBorder="1" applyAlignment="1" applyProtection="1">
      <alignment vertical="center" wrapText="1"/>
    </xf>
    <xf numFmtId="0" fontId="1484" fillId="0" borderId="3" xfId="0" applyFont="1" applyBorder="1" applyAlignment="1" applyProtection="1">
      <alignment horizontal="left" vertical="center" wrapText="1"/>
    </xf>
    <xf numFmtId="0" fontId="1485" fillId="0" borderId="3" xfId="0" applyFont="1" applyBorder="1" applyAlignment="1" applyProtection="1">
      <alignment vertical="center" wrapText="1"/>
    </xf>
    <xf numFmtId="0" fontId="1486" fillId="0" borderId="3" xfId="0" applyFont="1" applyBorder="1" applyAlignment="1" applyProtection="1">
      <alignment horizontal="left" vertical="center" wrapText="1"/>
    </xf>
    <xf numFmtId="0" fontId="1487" fillId="0" borderId="3" xfId="0" applyFont="1" applyBorder="1" applyAlignment="1" applyProtection="1">
      <alignment horizontal="left" vertical="center" wrapText="1"/>
    </xf>
    <xf numFmtId="0" fontId="1488" fillId="0" borderId="3" xfId="0" applyFont="1" applyBorder="1" applyAlignment="1" applyProtection="1">
      <alignment horizontal="left" vertical="center" wrapText="1"/>
    </xf>
    <xf numFmtId="0" fontId="1489" fillId="0" borderId="3" xfId="0" applyFont="1" applyBorder="1" applyAlignment="1" applyProtection="1">
      <alignment horizontal="left" vertical="center" wrapText="1"/>
    </xf>
    <xf numFmtId="0" fontId="1490" fillId="0" borderId="3" xfId="0" applyFont="1" applyBorder="1" applyAlignment="1" applyProtection="1">
      <alignment horizontal="left" vertical="center" wrapText="1"/>
    </xf>
    <xf numFmtId="0" fontId="1491" fillId="0" borderId="3" xfId="0" applyFont="1" applyBorder="1" applyAlignment="1" applyProtection="1">
      <alignment vertical="center" wrapText="1"/>
    </xf>
    <xf numFmtId="0" fontId="1492" fillId="0" borderId="3" xfId="0" applyFont="1" applyBorder="1" applyAlignment="1" applyProtection="1">
      <alignment horizontal="left" vertical="center" wrapText="1"/>
    </xf>
    <xf numFmtId="0" fontId="1493" fillId="0" borderId="3" xfId="0" applyFont="1" applyBorder="1" applyAlignment="1" applyProtection="1">
      <alignment horizontal="left" vertical="center" wrapText="1"/>
    </xf>
    <xf numFmtId="0" fontId="1494" fillId="0" borderId="3" xfId="0" applyFont="1" applyBorder="1" applyAlignment="1" applyProtection="1">
      <alignment horizontal="left" vertical="center" wrapText="1"/>
    </xf>
    <xf numFmtId="0" fontId="1495" fillId="0" borderId="3" xfId="0" applyFont="1" applyBorder="1" applyAlignment="1" applyProtection="1">
      <alignment horizontal="left" vertical="center" wrapText="1"/>
    </xf>
    <xf numFmtId="0" fontId="1496" fillId="0" borderId="3" xfId="0" applyFont="1" applyBorder="1" applyAlignment="1" applyProtection="1">
      <alignment horizontal="left" vertical="center" wrapText="1"/>
    </xf>
    <xf numFmtId="0" fontId="1497" fillId="0" borderId="3" xfId="0" applyFont="1" applyBorder="1" applyAlignment="1" applyProtection="1">
      <alignment horizontal="left" vertical="center" wrapText="1"/>
    </xf>
    <xf numFmtId="0" fontId="1498" fillId="0" borderId="3" xfId="0" applyFont="1" applyBorder="1" applyAlignment="1" applyProtection="1">
      <alignment vertical="center" wrapText="1"/>
    </xf>
    <xf numFmtId="0" fontId="1499" fillId="0" borderId="3" xfId="0" applyFont="1" applyBorder="1" applyAlignment="1" applyProtection="1">
      <alignment horizontal="left" vertical="center" wrapText="1"/>
    </xf>
    <xf numFmtId="0" fontId="1500" fillId="0" borderId="3" xfId="0" applyFont="1" applyBorder="1" applyAlignment="1" applyProtection="1">
      <alignment horizontal="left" vertical="center" wrapText="1"/>
    </xf>
    <xf numFmtId="0" fontId="1501" fillId="0" borderId="3" xfId="0" applyFont="1" applyBorder="1" applyAlignment="1" applyProtection="1">
      <alignment horizontal="left" vertical="center" wrapText="1"/>
    </xf>
    <xf numFmtId="0" fontId="1502" fillId="0" borderId="3" xfId="0" applyFont="1" applyBorder="1" applyAlignment="1" applyProtection="1">
      <alignment horizontal="left" vertical="center" wrapText="1"/>
    </xf>
    <xf numFmtId="0" fontId="1503" fillId="0" borderId="3" xfId="0" applyFont="1" applyBorder="1" applyAlignment="1" applyProtection="1">
      <alignment horizontal="left" vertical="center" wrapText="1"/>
    </xf>
    <xf numFmtId="0" fontId="1504" fillId="0" borderId="3" xfId="0" applyFont="1" applyBorder="1" applyAlignment="1" applyProtection="1">
      <alignment horizontal="left" vertical="center" wrapText="1"/>
    </xf>
    <xf numFmtId="0" fontId="1505" fillId="0" borderId="3" xfId="0" applyFont="1" applyBorder="1" applyAlignment="1" applyProtection="1">
      <alignment horizontal="left" vertical="center" wrapText="1"/>
    </xf>
    <xf numFmtId="0" fontId="1506" fillId="0" borderId="3" xfId="0" applyFont="1" applyBorder="1" applyAlignment="1" applyProtection="1">
      <alignment horizontal="left" vertical="center" wrapText="1"/>
    </xf>
    <xf numFmtId="0" fontId="1507" fillId="0" borderId="3" xfId="0" applyFont="1" applyBorder="1" applyAlignment="1" applyProtection="1">
      <alignment horizontal="left" vertical="center" wrapText="1"/>
    </xf>
    <xf numFmtId="0" fontId="1508" fillId="0" borderId="3" xfId="0" applyFont="1" applyBorder="1" applyAlignment="1" applyProtection="1">
      <alignment vertical="center" wrapText="1"/>
    </xf>
    <xf numFmtId="0" fontId="1509" fillId="0" borderId="3" xfId="0" applyFont="1" applyBorder="1" applyAlignment="1" applyProtection="1">
      <alignment horizontal="left" vertical="center" wrapText="1"/>
    </xf>
    <xf numFmtId="0" fontId="1510" fillId="0" borderId="3" xfId="0" applyFont="1" applyBorder="1" applyAlignment="1" applyProtection="1">
      <alignment horizontal="left" vertical="center" wrapText="1"/>
    </xf>
    <xf numFmtId="0" fontId="1511" fillId="0" borderId="3" xfId="0" applyFont="1" applyBorder="1" applyAlignment="1" applyProtection="1">
      <alignment horizontal="left" vertical="center" wrapText="1"/>
    </xf>
    <xf numFmtId="0" fontId="1512" fillId="0" borderId="3" xfId="0" applyFont="1" applyBorder="1" applyAlignment="1" applyProtection="1">
      <alignment horizontal="left" vertical="center" wrapText="1"/>
    </xf>
    <xf numFmtId="0" fontId="1513" fillId="0" borderId="3" xfId="0" applyFont="1" applyBorder="1" applyAlignment="1" applyProtection="1">
      <alignment horizontal="left" vertical="center" wrapText="1"/>
    </xf>
    <xf numFmtId="0" fontId="1514" fillId="0" borderId="3" xfId="0" applyFont="1" applyBorder="1" applyAlignment="1" applyProtection="1">
      <alignment horizontal="left" vertical="center" wrapText="1"/>
    </xf>
    <xf numFmtId="0" fontId="1515" fillId="4" borderId="3" xfId="0" applyFont="1" applyFill="1" applyBorder="1" applyAlignment="1" applyProtection="1">
      <alignment vertical="center" wrapText="1"/>
    </xf>
    <xf numFmtId="0" fontId="1516" fillId="0" borderId="3" xfId="0" applyFont="1" applyBorder="1" applyAlignment="1" applyProtection="1">
      <alignment horizontal="left" vertical="center" wrapText="1"/>
    </xf>
    <xf numFmtId="0" fontId="1517" fillId="0" borderId="3" xfId="0" applyFont="1" applyBorder="1" applyAlignment="1" applyProtection="1">
      <alignment horizontal="left" vertical="center" wrapText="1"/>
    </xf>
    <xf numFmtId="0" fontId="1518" fillId="0" borderId="3" xfId="0" applyFont="1" applyBorder="1" applyAlignment="1" applyProtection="1">
      <alignment vertical="center" wrapText="1"/>
    </xf>
    <xf numFmtId="0" fontId="1519" fillId="0" borderId="3" xfId="0" applyFont="1" applyBorder="1" applyAlignment="1" applyProtection="1">
      <alignment horizontal="left" vertical="center" wrapText="1"/>
    </xf>
    <xf numFmtId="0" fontId="1520" fillId="0" borderId="4" xfId="0" applyFont="1" applyBorder="1" applyAlignment="1" applyProtection="1">
      <alignment horizontal="left" vertical="center" wrapText="1"/>
    </xf>
    <xf numFmtId="0" fontId="1521" fillId="0" borderId="3" xfId="0" applyFont="1" applyBorder="1" applyAlignment="1" applyProtection="1">
      <alignment horizontal="left" vertical="center" wrapText="1"/>
    </xf>
    <xf numFmtId="0" fontId="1522" fillId="0" borderId="3" xfId="0" applyFont="1" applyBorder="1" applyAlignment="1" applyProtection="1">
      <alignment horizontal="left" vertical="center" wrapText="1"/>
    </xf>
    <xf numFmtId="0" fontId="1523" fillId="0" borderId="3" xfId="0" applyFont="1" applyBorder="1" applyAlignment="1" applyProtection="1">
      <alignment horizontal="left" vertical="center" wrapText="1"/>
    </xf>
    <xf numFmtId="0" fontId="1524" fillId="0" borderId="3" xfId="0" applyFont="1" applyBorder="1" applyAlignment="1" applyProtection="1">
      <alignment horizontal="left" vertical="center" wrapText="1"/>
    </xf>
    <xf numFmtId="0" fontId="1525" fillId="0" borderId="4" xfId="0" applyFont="1" applyBorder="1" applyAlignment="1" applyProtection="1">
      <alignment horizontal="left" vertical="center" wrapText="1"/>
    </xf>
    <xf numFmtId="0" fontId="1526" fillId="0" borderId="3" xfId="0" applyFont="1" applyBorder="1" applyAlignment="1" applyProtection="1">
      <alignment horizontal="left" vertical="center" wrapText="1"/>
    </xf>
    <xf numFmtId="0" fontId="1527" fillId="0" borderId="3" xfId="0" applyFont="1" applyBorder="1" applyAlignment="1" applyProtection="1">
      <alignment horizontal="left" vertical="center" wrapText="1"/>
    </xf>
    <xf numFmtId="0" fontId="1528" fillId="0" borderId="3" xfId="0" applyFont="1" applyBorder="1" applyAlignment="1" applyProtection="1">
      <alignment horizontal="left" vertical="center" wrapText="1"/>
    </xf>
    <xf numFmtId="0" fontId="1529" fillId="0" borderId="3" xfId="0" applyFont="1" applyBorder="1" applyAlignment="1" applyProtection="1">
      <alignment horizontal="left" vertical="center" wrapText="1"/>
    </xf>
    <xf numFmtId="0" fontId="1530" fillId="0" borderId="3" xfId="0" applyFont="1" applyBorder="1" applyAlignment="1" applyProtection="1">
      <alignment horizontal="left" vertical="center" wrapText="1"/>
    </xf>
    <xf numFmtId="0" fontId="1531" fillId="0" borderId="3" xfId="0" applyFont="1" applyBorder="1" applyAlignment="1" applyProtection="1">
      <alignment horizontal="left" vertical="center" wrapText="1"/>
    </xf>
    <xf numFmtId="0" fontId="1532" fillId="0" borderId="3" xfId="0" applyFont="1" applyBorder="1" applyAlignment="1" applyProtection="1">
      <alignment horizontal="left" vertical="center" wrapText="1"/>
    </xf>
    <xf numFmtId="0" fontId="1533" fillId="0" borderId="4" xfId="0" applyFont="1" applyBorder="1" applyAlignment="1" applyProtection="1">
      <alignment horizontal="left" vertical="center" wrapText="1"/>
    </xf>
    <xf numFmtId="0" fontId="1534" fillId="0" borderId="3" xfId="0" applyFont="1" applyBorder="1" applyAlignment="1" applyProtection="1">
      <alignment horizontal="left" vertical="center" wrapText="1"/>
    </xf>
    <xf numFmtId="0" fontId="1535" fillId="0" borderId="3" xfId="0" applyFont="1" applyBorder="1" applyAlignment="1" applyProtection="1">
      <alignment horizontal="left" vertical="center" wrapText="1"/>
    </xf>
    <xf numFmtId="0" fontId="1536" fillId="0" borderId="3" xfId="0" applyFont="1" applyBorder="1" applyAlignment="1" applyProtection="1">
      <alignment horizontal="left" vertical="center" wrapText="1"/>
    </xf>
    <xf numFmtId="0" fontId="1537" fillId="0" borderId="4" xfId="0" applyFont="1" applyBorder="1" applyAlignment="1" applyProtection="1">
      <alignment horizontal="left" vertical="center" wrapText="1"/>
    </xf>
    <xf numFmtId="0" fontId="1538" fillId="0" borderId="4" xfId="0" applyFont="1" applyBorder="1" applyAlignment="1" applyProtection="1">
      <alignment horizontal="left" vertical="center" wrapText="1"/>
    </xf>
    <xf numFmtId="0" fontId="1539" fillId="0" borderId="3" xfId="0" applyFont="1" applyBorder="1" applyAlignment="1" applyProtection="1">
      <alignment horizontal="left" vertical="center" wrapText="1"/>
    </xf>
    <xf numFmtId="0" fontId="1540" fillId="0" borderId="3" xfId="0" applyFont="1" applyBorder="1" applyAlignment="1" applyProtection="1">
      <alignment horizontal="left" vertical="center" wrapText="1"/>
    </xf>
    <xf numFmtId="0" fontId="1541" fillId="0" borderId="3" xfId="0" applyFont="1" applyBorder="1" applyAlignment="1" applyProtection="1">
      <alignment horizontal="left" vertical="center" wrapText="1"/>
    </xf>
    <xf numFmtId="0" fontId="1542" fillId="0" borderId="3" xfId="0" applyFont="1" applyBorder="1" applyAlignment="1" applyProtection="1">
      <alignment horizontal="left" vertical="center" wrapText="1"/>
    </xf>
    <xf numFmtId="0" fontId="1543" fillId="0" borderId="3" xfId="0" applyFont="1" applyBorder="1" applyAlignment="1" applyProtection="1">
      <alignment horizontal="left" vertical="center" wrapText="1"/>
    </xf>
    <xf numFmtId="0" fontId="1544" fillId="0" borderId="3" xfId="0" applyFont="1" applyBorder="1" applyAlignment="1" applyProtection="1">
      <alignment horizontal="left" vertical="center" wrapText="1"/>
    </xf>
    <xf numFmtId="0" fontId="1545" fillId="0" borderId="3" xfId="0" applyFont="1" applyBorder="1" applyAlignment="1" applyProtection="1">
      <alignment horizontal="left" vertical="center" wrapText="1"/>
    </xf>
    <xf numFmtId="0" fontId="1546" fillId="0" borderId="3" xfId="0" applyFont="1" applyBorder="1" applyAlignment="1" applyProtection="1">
      <alignment horizontal="left" vertical="center" wrapText="1"/>
    </xf>
    <xf numFmtId="0" fontId="1547" fillId="0" borderId="3" xfId="0" applyFont="1" applyBorder="1" applyAlignment="1" applyProtection="1">
      <alignment horizontal="left" vertical="center" wrapText="1"/>
    </xf>
    <xf numFmtId="0" fontId="1548" fillId="0" borderId="3" xfId="0" applyFont="1" applyBorder="1" applyAlignment="1" applyProtection="1">
      <alignment horizontal="left" vertical="center" wrapText="1"/>
    </xf>
    <xf numFmtId="0" fontId="1549" fillId="0" borderId="3" xfId="0" applyFont="1" applyBorder="1" applyAlignment="1" applyProtection="1">
      <alignment horizontal="left" vertical="center" wrapText="1"/>
    </xf>
    <xf numFmtId="0" fontId="1550" fillId="0" borderId="3" xfId="0" applyFont="1" applyBorder="1" applyAlignment="1" applyProtection="1">
      <alignment horizontal="left" vertical="center" wrapText="1"/>
    </xf>
    <xf numFmtId="0" fontId="1551" fillId="0" borderId="3" xfId="0" applyFont="1" applyBorder="1" applyAlignment="1" applyProtection="1">
      <alignment horizontal="left" vertical="center" wrapText="1"/>
    </xf>
    <xf numFmtId="0" fontId="1552" fillId="0" borderId="3" xfId="0" applyFont="1" applyBorder="1" applyAlignment="1" applyProtection="1">
      <alignment horizontal="left" vertical="center" wrapText="1"/>
    </xf>
    <xf numFmtId="0" fontId="1553" fillId="0" borderId="3" xfId="0" applyFont="1" applyBorder="1" applyAlignment="1" applyProtection="1">
      <alignment horizontal="left" vertical="center" wrapText="1"/>
    </xf>
    <xf numFmtId="0" fontId="1554" fillId="0" borderId="3" xfId="0" applyFont="1" applyBorder="1" applyAlignment="1" applyProtection="1">
      <alignment horizontal="left" vertical="center" wrapText="1"/>
    </xf>
    <xf numFmtId="0" fontId="1555" fillId="0" borderId="3" xfId="0" applyFont="1" applyBorder="1" applyAlignment="1" applyProtection="1">
      <alignment horizontal="left" vertical="center" wrapText="1"/>
    </xf>
    <xf numFmtId="0" fontId="1556" fillId="0" borderId="3" xfId="0" applyFont="1" applyBorder="1" applyAlignment="1" applyProtection="1">
      <alignment horizontal="left" vertical="center" wrapText="1"/>
    </xf>
    <xf numFmtId="0" fontId="1557" fillId="0" borderId="3" xfId="0" applyFont="1" applyBorder="1" applyAlignment="1" applyProtection="1">
      <alignment horizontal="left" vertical="center" wrapText="1"/>
    </xf>
    <xf numFmtId="0" fontId="1558" fillId="0" borderId="3" xfId="0" applyFont="1" applyBorder="1" applyAlignment="1" applyProtection="1">
      <alignment horizontal="left" vertical="center" wrapText="1"/>
    </xf>
    <xf numFmtId="0" fontId="1559" fillId="0" borderId="3" xfId="0" applyFont="1" applyBorder="1" applyAlignment="1" applyProtection="1">
      <alignment horizontal="left" vertical="center" wrapText="1"/>
    </xf>
    <xf numFmtId="0" fontId="1560" fillId="0" borderId="3" xfId="0" applyFont="1" applyBorder="1" applyAlignment="1" applyProtection="1">
      <alignment horizontal="left" vertical="center" wrapText="1"/>
    </xf>
    <xf numFmtId="0" fontId="1561" fillId="0" borderId="4" xfId="0" applyFont="1" applyBorder="1" applyAlignment="1" applyProtection="1">
      <alignment horizontal="left" vertical="center" wrapText="1"/>
    </xf>
    <xf numFmtId="0" fontId="1562" fillId="0" borderId="3" xfId="0" applyFont="1" applyBorder="1" applyAlignment="1" applyProtection="1">
      <alignment horizontal="left" vertical="center" wrapText="1"/>
    </xf>
    <xf numFmtId="0" fontId="1563" fillId="0" borderId="3" xfId="0" applyFont="1" applyBorder="1" applyAlignment="1" applyProtection="1">
      <alignment horizontal="left" vertical="center" wrapText="1"/>
    </xf>
    <xf numFmtId="0" fontId="1564" fillId="0" borderId="3" xfId="0" applyFont="1" applyBorder="1" applyAlignment="1" applyProtection="1">
      <alignment horizontal="left" vertical="center" wrapText="1"/>
    </xf>
    <xf numFmtId="0" fontId="1565" fillId="0" borderId="4" xfId="0" applyFont="1" applyBorder="1" applyAlignment="1" applyProtection="1">
      <alignment horizontal="left" vertical="center" wrapText="1"/>
    </xf>
    <xf numFmtId="0" fontId="1566" fillId="0" borderId="3" xfId="0" applyFont="1" applyBorder="1" applyAlignment="1" applyProtection="1">
      <alignment horizontal="left" vertical="center" wrapText="1"/>
    </xf>
    <xf numFmtId="0" fontId="1567" fillId="4" borderId="3" xfId="0" applyFont="1" applyFill="1" applyBorder="1" applyAlignment="1" applyProtection="1">
      <alignment horizontal="left" vertical="center" wrapText="1"/>
    </xf>
    <xf numFmtId="0" fontId="1568" fillId="4" borderId="3" xfId="0" applyFont="1" applyFill="1" applyBorder="1" applyAlignment="1" applyProtection="1">
      <alignment vertical="center" wrapText="1"/>
    </xf>
    <xf numFmtId="0" fontId="1569" fillId="0" borderId="3" xfId="0" applyFont="1" applyBorder="1" applyAlignment="1" applyProtection="1">
      <alignment horizontal="left" vertical="center" wrapText="1"/>
    </xf>
    <xf numFmtId="0" fontId="1570" fillId="0" borderId="3" xfId="0" applyFont="1" applyBorder="1" applyAlignment="1" applyProtection="1">
      <alignment vertical="center" wrapText="1"/>
    </xf>
    <xf numFmtId="0" fontId="1571" fillId="5" borderId="0" xfId="0" applyFont="1" applyFill="1" applyAlignment="1">
      <alignment vertical="center" wrapText="1"/>
    </xf>
    <xf numFmtId="0" fontId="1572" fillId="4" borderId="3" xfId="0" applyFont="1" applyFill="1" applyBorder="1" applyAlignment="1" applyProtection="1">
      <alignment horizontal="left" vertical="center" wrapText="1"/>
    </xf>
    <xf numFmtId="0" fontId="1573" fillId="2" borderId="3" xfId="0" applyFont="1" applyFill="1" applyBorder="1" applyAlignment="1" applyProtection="1">
      <alignment vertical="center" wrapText="1"/>
    </xf>
    <xf numFmtId="0" fontId="1574" fillId="4" borderId="3" xfId="0" applyFont="1" applyFill="1" applyBorder="1" applyAlignment="1" applyProtection="1">
      <alignment horizontal="left" vertical="center" wrapText="1"/>
    </xf>
    <xf numFmtId="0" fontId="1575" fillId="4" borderId="3" xfId="0" applyFont="1" applyFill="1" applyBorder="1" applyAlignment="1" applyProtection="1">
      <alignment vertical="center" wrapText="1"/>
    </xf>
    <xf numFmtId="0" fontId="1576" fillId="0" borderId="24" xfId="0" applyFont="1" applyBorder="1" applyAlignment="1" applyProtection="1">
      <alignment vertical="center" wrapText="1"/>
    </xf>
    <xf numFmtId="0" fontId="1577" fillId="0" borderId="0" xfId="0" applyFont="1" applyAlignment="1">
      <alignment vertical="center" wrapText="1"/>
    </xf>
    <xf numFmtId="0" fontId="1578" fillId="0" borderId="3" xfId="0" applyFont="1" applyBorder="1" applyAlignment="1" applyProtection="1">
      <alignment horizontal="left" vertical="center" wrapText="1"/>
    </xf>
    <xf numFmtId="0" fontId="1579" fillId="0" borderId="3" xfId="0" applyFont="1" applyBorder="1" applyAlignment="1" applyProtection="1">
      <alignment horizontal="left" vertical="center" wrapText="1"/>
    </xf>
    <xf numFmtId="0" fontId="1580" fillId="0" borderId="3" xfId="0" applyFont="1" applyBorder="1" applyAlignment="1" applyProtection="1">
      <alignment horizontal="left" vertical="center" wrapText="1"/>
    </xf>
    <xf numFmtId="0" fontId="1581" fillId="0" borderId="3" xfId="0" applyFont="1" applyBorder="1" applyAlignment="1" applyProtection="1">
      <alignment horizontal="left" vertical="center" wrapText="1"/>
    </xf>
    <xf numFmtId="0" fontId="1582" fillId="0" borderId="0" xfId="0" applyFont="1" applyAlignment="1">
      <alignment vertical="center" wrapText="1"/>
    </xf>
    <xf numFmtId="0" fontId="1583" fillId="0" borderId="3" xfId="0" applyFont="1" applyBorder="1" applyAlignment="1" applyProtection="1">
      <alignment vertical="center" wrapText="1"/>
    </xf>
    <xf numFmtId="0" fontId="1585" fillId="4" borderId="3" xfId="0" applyFont="1" applyFill="1" applyBorder="1" applyAlignment="1" applyProtection="1">
      <alignment horizontal="left" vertical="center" wrapText="1"/>
    </xf>
    <xf numFmtId="0" fontId="1586" fillId="0" borderId="4" xfId="0" applyFont="1" applyBorder="1" applyAlignment="1" applyProtection="1">
      <alignment horizontal="left" vertical="center" wrapText="1"/>
    </xf>
    <xf numFmtId="0" fontId="1587" fillId="0" borderId="3" xfId="0" applyFont="1" applyBorder="1" applyAlignment="1" applyProtection="1">
      <alignment horizontal="left" vertical="center" wrapText="1"/>
    </xf>
    <xf numFmtId="0" fontId="1588" fillId="0" borderId="3" xfId="0" applyFont="1" applyBorder="1" applyAlignment="1" applyProtection="1">
      <alignment horizontal="left" vertical="center" wrapText="1"/>
    </xf>
    <xf numFmtId="0" fontId="1589" fillId="0" borderId="3" xfId="0" applyFont="1" applyBorder="1" applyAlignment="1" applyProtection="1">
      <alignment horizontal="left" vertical="center" wrapText="1"/>
    </xf>
    <xf numFmtId="0" fontId="1590" fillId="0" borderId="4" xfId="0" applyFont="1" applyBorder="1" applyAlignment="1" applyProtection="1">
      <alignment horizontal="left" vertical="center" wrapText="1"/>
    </xf>
    <xf numFmtId="0" fontId="1591" fillId="0" borderId="3" xfId="0" applyFont="1" applyBorder="1" applyAlignment="1" applyProtection="1">
      <alignment horizontal="left" vertical="center" wrapText="1"/>
    </xf>
    <xf numFmtId="0" fontId="1592" fillId="0" borderId="3" xfId="0" applyFont="1" applyBorder="1" applyAlignment="1" applyProtection="1">
      <alignment horizontal="left" vertical="center" wrapText="1"/>
    </xf>
    <xf numFmtId="0" fontId="1593" fillId="0" borderId="3" xfId="0" applyFont="1" applyBorder="1" applyAlignment="1" applyProtection="1">
      <alignment horizontal="left" vertical="center" wrapText="1"/>
    </xf>
    <xf numFmtId="0" fontId="1594" fillId="0" borderId="3" xfId="0" applyFont="1" applyBorder="1" applyAlignment="1" applyProtection="1">
      <alignment horizontal="left" vertical="center" wrapText="1"/>
    </xf>
    <xf numFmtId="0" fontId="1595" fillId="0" borderId="3" xfId="0" applyFont="1" applyBorder="1" applyAlignment="1" applyProtection="1">
      <alignment horizontal="left" vertical="center" wrapText="1"/>
    </xf>
    <xf numFmtId="0" fontId="1596" fillId="0" borderId="4" xfId="0" applyFont="1" applyBorder="1" applyAlignment="1" applyProtection="1">
      <alignment horizontal="left" vertical="center" wrapText="1"/>
    </xf>
    <xf numFmtId="0" fontId="1597" fillId="0" borderId="3" xfId="0" applyFont="1" applyBorder="1" applyAlignment="1" applyProtection="1">
      <alignment horizontal="left" vertical="center" wrapText="1"/>
    </xf>
    <xf numFmtId="0" fontId="1598" fillId="0" borderId="3" xfId="0" applyFont="1" applyBorder="1" applyAlignment="1" applyProtection="1">
      <alignment horizontal="left" vertical="center" wrapText="1"/>
    </xf>
    <xf numFmtId="0" fontId="1599" fillId="0" borderId="3" xfId="0" applyFont="1" applyBorder="1" applyAlignment="1" applyProtection="1">
      <alignment horizontal="left" vertical="center" wrapText="1"/>
    </xf>
    <xf numFmtId="0" fontId="1600" fillId="0" borderId="3" xfId="0" applyFont="1" applyBorder="1" applyAlignment="1" applyProtection="1">
      <alignment horizontal="left" vertical="center" wrapText="1"/>
    </xf>
    <xf numFmtId="0" fontId="1601" fillId="2" borderId="3" xfId="0" applyFont="1" applyFill="1" applyBorder="1" applyAlignment="1" applyProtection="1">
      <alignment horizontal="left" vertical="center" wrapText="1"/>
    </xf>
    <xf numFmtId="0" fontId="1602" fillId="2" borderId="3" xfId="0" applyFont="1" applyFill="1" applyBorder="1" applyAlignment="1" applyProtection="1">
      <alignment horizontal="left" vertical="center" wrapText="1"/>
    </xf>
    <xf numFmtId="0" fontId="1603" fillId="0" borderId="4" xfId="0" applyFont="1" applyBorder="1" applyAlignment="1" applyProtection="1">
      <alignment horizontal="left" vertical="center" wrapText="1"/>
    </xf>
    <xf numFmtId="0" fontId="1604" fillId="0" borderId="3" xfId="0" applyFont="1" applyBorder="1" applyAlignment="1" applyProtection="1">
      <alignment horizontal="left" vertical="center" wrapText="1"/>
    </xf>
    <xf numFmtId="0" fontId="1605" fillId="0" borderId="3" xfId="0" applyFont="1" applyBorder="1" applyAlignment="1" applyProtection="1">
      <alignment horizontal="left" vertical="center" wrapText="1"/>
    </xf>
    <xf numFmtId="0" fontId="1606" fillId="0" borderId="3" xfId="0" applyFont="1" applyBorder="1" applyAlignment="1" applyProtection="1">
      <alignment horizontal="left" vertical="center" wrapText="1"/>
    </xf>
    <xf numFmtId="0" fontId="1607" fillId="0" borderId="12" xfId="0" applyFont="1" applyBorder="1" applyAlignment="1" applyProtection="1">
      <alignment horizontal="left" vertical="center" wrapText="1"/>
    </xf>
    <xf numFmtId="0" fontId="1608" fillId="0" borderId="4" xfId="0" applyFont="1" applyBorder="1" applyAlignment="1" applyProtection="1">
      <alignment horizontal="left" vertical="center" wrapText="1"/>
    </xf>
    <xf numFmtId="0" fontId="1609" fillId="0" borderId="3" xfId="0" applyFont="1" applyBorder="1" applyAlignment="1" applyProtection="1">
      <alignment horizontal="left" vertical="center" wrapText="1"/>
    </xf>
    <xf numFmtId="0" fontId="1610" fillId="0" borderId="3" xfId="0" applyFont="1" applyBorder="1" applyAlignment="1" applyProtection="1">
      <alignment horizontal="left" vertical="center" wrapText="1"/>
    </xf>
    <xf numFmtId="0" fontId="1611" fillId="0" borderId="3" xfId="0" applyFont="1" applyBorder="1" applyAlignment="1" applyProtection="1">
      <alignment horizontal="left" vertical="center" wrapText="1"/>
    </xf>
    <xf numFmtId="0" fontId="1612" fillId="0" borderId="3" xfId="0" applyFont="1" applyBorder="1" applyAlignment="1" applyProtection="1">
      <alignment horizontal="left" vertical="center" wrapText="1"/>
    </xf>
    <xf numFmtId="0" fontId="1613" fillId="0" borderId="4" xfId="0" applyFont="1" applyBorder="1" applyAlignment="1" applyProtection="1">
      <alignment horizontal="left" vertical="center" wrapText="1"/>
    </xf>
    <xf numFmtId="0" fontId="1614" fillId="0" borderId="3" xfId="0" applyFont="1" applyBorder="1" applyAlignment="1" applyProtection="1">
      <alignment horizontal="left" vertical="center" wrapText="1"/>
    </xf>
    <xf numFmtId="0" fontId="1615" fillId="0" borderId="3" xfId="0" applyFont="1" applyBorder="1" applyAlignment="1" applyProtection="1">
      <alignment horizontal="left" vertical="center" wrapText="1"/>
    </xf>
    <xf numFmtId="0" fontId="1616" fillId="0" borderId="3" xfId="0" applyFont="1" applyBorder="1" applyAlignment="1" applyProtection="1">
      <alignment horizontal="left" vertical="center" wrapText="1"/>
    </xf>
    <xf numFmtId="0" fontId="1617" fillId="0" borderId="3" xfId="0" applyFont="1" applyBorder="1" applyAlignment="1" applyProtection="1">
      <alignment horizontal="left" vertical="center" wrapText="1"/>
    </xf>
    <xf numFmtId="0" fontId="1618" fillId="0" borderId="3" xfId="0" applyFont="1" applyBorder="1" applyAlignment="1" applyProtection="1">
      <alignment horizontal="left" vertical="center" wrapText="1"/>
    </xf>
    <xf numFmtId="0" fontId="1619" fillId="0" borderId="3" xfId="0" applyFont="1" applyBorder="1" applyAlignment="1" applyProtection="1">
      <alignment horizontal="left" vertical="center" wrapText="1"/>
    </xf>
    <xf numFmtId="0" fontId="1620" fillId="0" borderId="3" xfId="0" applyFont="1" applyBorder="1" applyAlignment="1" applyProtection="1">
      <alignment horizontal="left" vertical="center" wrapText="1"/>
    </xf>
    <xf numFmtId="0" fontId="1621" fillId="0" borderId="4" xfId="0" applyFont="1" applyBorder="1" applyAlignment="1" applyProtection="1">
      <alignment horizontal="left" vertical="center" wrapText="1"/>
    </xf>
    <xf numFmtId="0" fontId="1622" fillId="0" borderId="3" xfId="0" applyFont="1" applyBorder="1" applyAlignment="1" applyProtection="1">
      <alignment horizontal="left" vertical="center" wrapText="1"/>
    </xf>
    <xf numFmtId="0" fontId="1623" fillId="0" borderId="3" xfId="0" applyFont="1" applyBorder="1" applyAlignment="1" applyProtection="1">
      <alignment horizontal="left" vertical="center" wrapText="1"/>
    </xf>
    <xf numFmtId="0" fontId="1624" fillId="0" borderId="3" xfId="0" applyFont="1" applyBorder="1" applyAlignment="1" applyProtection="1">
      <alignment horizontal="left" vertical="center" wrapText="1"/>
    </xf>
    <xf numFmtId="0" fontId="1625" fillId="0" borderId="4" xfId="0" applyFont="1" applyBorder="1" applyAlignment="1" applyProtection="1">
      <alignment horizontal="left" vertical="center" wrapText="1"/>
    </xf>
    <xf numFmtId="0" fontId="1626" fillId="0" borderId="3" xfId="0" applyFont="1" applyBorder="1" applyAlignment="1" applyProtection="1">
      <alignment horizontal="left" vertical="center" wrapText="1"/>
    </xf>
    <xf numFmtId="0" fontId="1627" fillId="0" borderId="3" xfId="0" applyFont="1" applyBorder="1" applyAlignment="1" applyProtection="1">
      <alignment horizontal="left" vertical="center" wrapText="1"/>
    </xf>
    <xf numFmtId="0" fontId="1628" fillId="0" borderId="3" xfId="0" applyFont="1" applyBorder="1" applyAlignment="1" applyProtection="1">
      <alignment horizontal="left" vertical="center" wrapText="1"/>
    </xf>
    <xf numFmtId="0" fontId="1629" fillId="0" borderId="3" xfId="0" applyFont="1" applyBorder="1" applyAlignment="1" applyProtection="1">
      <alignment horizontal="left" vertical="center" wrapText="1"/>
    </xf>
    <xf numFmtId="0" fontId="1630" fillId="0" borderId="4" xfId="0" applyFont="1" applyBorder="1" applyAlignment="1" applyProtection="1">
      <alignment horizontal="left" vertical="center" wrapText="1"/>
    </xf>
    <xf numFmtId="0" fontId="1631" fillId="0" borderId="3" xfId="0" applyFont="1" applyBorder="1" applyAlignment="1" applyProtection="1">
      <alignment horizontal="left" vertical="center" wrapText="1"/>
    </xf>
    <xf numFmtId="0" fontId="1632" fillId="0" borderId="3" xfId="0" applyFont="1" applyBorder="1" applyAlignment="1" applyProtection="1">
      <alignment horizontal="left" vertical="center" wrapText="1"/>
    </xf>
    <xf numFmtId="0" fontId="1633" fillId="0" borderId="3" xfId="0" applyFont="1" applyBorder="1" applyAlignment="1" applyProtection="1">
      <alignment horizontal="left" vertical="center" wrapText="1"/>
    </xf>
    <xf numFmtId="0" fontId="1634" fillId="0" borderId="3" xfId="0" applyFont="1" applyBorder="1" applyAlignment="1" applyProtection="1">
      <alignment horizontal="left" vertical="center" wrapText="1"/>
    </xf>
    <xf numFmtId="0" fontId="1635" fillId="0" borderId="3" xfId="0" applyFont="1" applyBorder="1" applyAlignment="1" applyProtection="1">
      <alignment horizontal="left" vertical="center" wrapText="1"/>
    </xf>
    <xf numFmtId="0" fontId="1636" fillId="0" borderId="3" xfId="0" applyFont="1" applyBorder="1" applyAlignment="1" applyProtection="1">
      <alignment horizontal="left" vertical="center" wrapText="1"/>
    </xf>
    <xf numFmtId="0" fontId="1637" fillId="0" borderId="3" xfId="0" applyFont="1" applyBorder="1" applyAlignment="1" applyProtection="1">
      <alignment horizontal="left" vertical="center" wrapText="1"/>
    </xf>
    <xf numFmtId="0" fontId="1638" fillId="0" borderId="4" xfId="0" applyFont="1" applyBorder="1" applyAlignment="1" applyProtection="1">
      <alignment horizontal="left" vertical="center" wrapText="1"/>
    </xf>
    <xf numFmtId="0" fontId="1639" fillId="0" borderId="3" xfId="0" applyFont="1" applyBorder="1" applyAlignment="1" applyProtection="1">
      <alignment horizontal="left" vertical="center" wrapText="1"/>
    </xf>
    <xf numFmtId="0" fontId="1640" fillId="0" borderId="3" xfId="0" applyFont="1" applyBorder="1" applyAlignment="1" applyProtection="1">
      <alignment horizontal="left" vertical="center" wrapText="1"/>
    </xf>
    <xf numFmtId="0" fontId="1641" fillId="0" borderId="3" xfId="0" applyFont="1" applyBorder="1" applyAlignment="1" applyProtection="1">
      <alignment horizontal="left" vertical="center" wrapText="1"/>
    </xf>
    <xf numFmtId="0" fontId="1642" fillId="0" borderId="4" xfId="0" applyFont="1" applyBorder="1" applyAlignment="1" applyProtection="1">
      <alignment horizontal="left" vertical="center" wrapText="1"/>
    </xf>
    <xf numFmtId="0" fontId="1643" fillId="0" borderId="3" xfId="0" applyFont="1" applyBorder="1" applyAlignment="1" applyProtection="1">
      <alignment horizontal="left" vertical="center" wrapText="1"/>
    </xf>
    <xf numFmtId="0" fontId="1644" fillId="0" borderId="3" xfId="0" applyFont="1" applyBorder="1" applyAlignment="1" applyProtection="1">
      <alignment horizontal="left" vertical="center" wrapText="1"/>
    </xf>
    <xf numFmtId="0" fontId="1645" fillId="0" borderId="3" xfId="0" applyFont="1" applyBorder="1" applyAlignment="1" applyProtection="1">
      <alignment horizontal="left" vertical="center" wrapText="1"/>
    </xf>
    <xf numFmtId="0" fontId="1646" fillId="0" borderId="3" xfId="0" applyFont="1" applyBorder="1" applyAlignment="1" applyProtection="1">
      <alignment horizontal="left" vertical="center" wrapText="1"/>
    </xf>
    <xf numFmtId="0" fontId="1647" fillId="0" borderId="3" xfId="0" applyFont="1" applyBorder="1" applyAlignment="1" applyProtection="1">
      <alignment horizontal="left" vertical="center" wrapText="1"/>
    </xf>
    <xf numFmtId="0" fontId="1648" fillId="0" borderId="3" xfId="0" applyFont="1" applyBorder="1" applyAlignment="1" applyProtection="1">
      <alignment horizontal="left" vertical="center" wrapText="1"/>
    </xf>
    <xf numFmtId="0" fontId="1649" fillId="0" borderId="4" xfId="0" applyFont="1" applyBorder="1" applyAlignment="1" applyProtection="1">
      <alignment horizontal="left" vertical="center" wrapText="1"/>
    </xf>
    <xf numFmtId="0" fontId="1650" fillId="0" borderId="3" xfId="0" applyFont="1" applyBorder="1" applyAlignment="1" applyProtection="1">
      <alignment horizontal="left" vertical="center" wrapText="1"/>
    </xf>
    <xf numFmtId="0" fontId="1651" fillId="0" borderId="3" xfId="0" applyFont="1" applyBorder="1" applyAlignment="1" applyProtection="1">
      <alignment horizontal="left" vertical="center" wrapText="1"/>
    </xf>
    <xf numFmtId="0" fontId="1652" fillId="0" borderId="3" xfId="0" applyFont="1" applyBorder="1" applyAlignment="1" applyProtection="1">
      <alignment horizontal="left" vertical="center" wrapText="1"/>
    </xf>
    <xf numFmtId="0" fontId="1653" fillId="0" borderId="3" xfId="0" applyFont="1" applyBorder="1" applyAlignment="1" applyProtection="1">
      <alignment horizontal="left" vertical="center" wrapText="1"/>
    </xf>
    <xf numFmtId="0" fontId="1654" fillId="0" borderId="4" xfId="0" applyFont="1" applyBorder="1" applyAlignment="1" applyProtection="1">
      <alignment horizontal="left" vertical="center" wrapText="1"/>
    </xf>
    <xf numFmtId="0" fontId="1655" fillId="0" borderId="3" xfId="0" applyFont="1" applyBorder="1" applyAlignment="1" applyProtection="1">
      <alignment horizontal="left" vertical="center" wrapText="1"/>
    </xf>
    <xf numFmtId="0" fontId="1656" fillId="0" borderId="3" xfId="0" applyFont="1" applyBorder="1" applyAlignment="1" applyProtection="1">
      <alignment horizontal="left" vertical="center" wrapText="1"/>
    </xf>
    <xf numFmtId="0" fontId="1657" fillId="0" borderId="3" xfId="0" applyFont="1" applyBorder="1" applyAlignment="1" applyProtection="1">
      <alignment horizontal="left" vertical="center" wrapText="1"/>
    </xf>
    <xf numFmtId="0" fontId="1658" fillId="0" borderId="3" xfId="0" applyFont="1" applyBorder="1" applyAlignment="1" applyProtection="1">
      <alignment horizontal="left" vertical="center" wrapText="1"/>
    </xf>
    <xf numFmtId="0" fontId="1659" fillId="0" borderId="3" xfId="0" applyFont="1" applyBorder="1" applyAlignment="1" applyProtection="1">
      <alignment horizontal="left" vertical="center" wrapText="1"/>
    </xf>
    <xf numFmtId="0" fontId="1660" fillId="0" borderId="3" xfId="0" applyFont="1" applyBorder="1" applyAlignment="1" applyProtection="1">
      <alignment horizontal="left" vertical="center" wrapText="1"/>
    </xf>
    <xf numFmtId="0" fontId="1661" fillId="0" borderId="3" xfId="0" applyFont="1" applyBorder="1" applyAlignment="1" applyProtection="1">
      <alignment horizontal="left" vertical="center" wrapText="1"/>
    </xf>
    <xf numFmtId="0" fontId="1662" fillId="0" borderId="4" xfId="0" applyFont="1" applyBorder="1" applyAlignment="1" applyProtection="1">
      <alignment horizontal="left" vertical="center" wrapText="1"/>
    </xf>
    <xf numFmtId="0" fontId="1663" fillId="0" borderId="3" xfId="0" applyFont="1" applyBorder="1" applyAlignment="1" applyProtection="1">
      <alignment horizontal="left" vertical="center" wrapText="1"/>
    </xf>
    <xf numFmtId="0" fontId="1664" fillId="0" borderId="3" xfId="0" applyFont="1" applyBorder="1" applyAlignment="1" applyProtection="1">
      <alignment horizontal="left" vertical="center" wrapText="1"/>
    </xf>
    <xf numFmtId="0" fontId="1665" fillId="0" borderId="3" xfId="0" applyFont="1" applyBorder="1" applyAlignment="1" applyProtection="1">
      <alignment horizontal="left" vertical="center" wrapText="1"/>
    </xf>
    <xf numFmtId="0" fontId="1666" fillId="0" borderId="3" xfId="0" applyFont="1" applyBorder="1" applyAlignment="1" applyProtection="1">
      <alignment horizontal="left" vertical="center" wrapText="1"/>
    </xf>
    <xf numFmtId="0" fontId="1667" fillId="0" borderId="3" xfId="0" applyFont="1" applyBorder="1" applyAlignment="1" applyProtection="1">
      <alignment horizontal="left" vertical="center" wrapText="1"/>
    </xf>
    <xf numFmtId="0" fontId="1668" fillId="0" borderId="3" xfId="0" applyFont="1" applyBorder="1" applyAlignment="1" applyProtection="1">
      <alignment horizontal="left" vertical="center" wrapText="1"/>
    </xf>
    <xf numFmtId="0" fontId="1669" fillId="0" borderId="3" xfId="0" applyFont="1" applyBorder="1" applyAlignment="1" applyProtection="1">
      <alignment horizontal="left" vertical="center" wrapText="1"/>
    </xf>
    <xf numFmtId="0" fontId="1670" fillId="0" borderId="3" xfId="0" applyFont="1" applyBorder="1" applyAlignment="1" applyProtection="1">
      <alignment horizontal="left" vertical="center" wrapText="1"/>
    </xf>
    <xf numFmtId="0" fontId="1671" fillId="0" borderId="3" xfId="0" applyFont="1" applyBorder="1" applyAlignment="1" applyProtection="1">
      <alignment horizontal="left" vertical="center" wrapText="1"/>
    </xf>
    <xf numFmtId="0" fontId="1672" fillId="0" borderId="3" xfId="0" applyFont="1" applyBorder="1" applyAlignment="1" applyProtection="1">
      <alignment horizontal="left" vertical="center" wrapText="1"/>
    </xf>
    <xf numFmtId="0" fontId="1673" fillId="0" borderId="3" xfId="0" applyFont="1" applyBorder="1" applyAlignment="1" applyProtection="1">
      <alignment horizontal="left" vertical="center" wrapText="1"/>
    </xf>
    <xf numFmtId="0" fontId="1674" fillId="0" borderId="3" xfId="0" applyFont="1" applyBorder="1" applyAlignment="1" applyProtection="1">
      <alignment horizontal="left" vertical="center" wrapText="1"/>
    </xf>
    <xf numFmtId="0" fontId="1675" fillId="0" borderId="3" xfId="0" applyFont="1" applyBorder="1" applyAlignment="1" applyProtection="1">
      <alignment horizontal="left" vertical="center" wrapText="1"/>
    </xf>
    <xf numFmtId="0" fontId="1676" fillId="0" borderId="3" xfId="0" applyFont="1" applyBorder="1" applyAlignment="1" applyProtection="1">
      <alignment horizontal="left" vertical="center" wrapText="1"/>
    </xf>
    <xf numFmtId="0" fontId="1677" fillId="0" borderId="4" xfId="0" applyFont="1" applyBorder="1" applyAlignment="1" applyProtection="1">
      <alignment horizontal="left" vertical="center" wrapText="1"/>
    </xf>
    <xf numFmtId="0" fontId="1678" fillId="0" borderId="4" xfId="0" applyFont="1" applyBorder="1" applyAlignment="1" applyProtection="1">
      <alignment horizontal="left" vertical="center" wrapText="1"/>
    </xf>
    <xf numFmtId="0" fontId="1679" fillId="0" borderId="0" xfId="0" applyFont="1" applyAlignment="1">
      <alignment horizontal="left" vertical="center" wrapText="1"/>
    </xf>
    <xf numFmtId="0" fontId="1680" fillId="0" borderId="0" xfId="0" applyFont="1" applyAlignment="1">
      <alignment horizontal="left" vertical="center" wrapText="1"/>
    </xf>
    <xf numFmtId="0" fontId="1681" fillId="0" borderId="0" xfId="0" applyFont="1" applyAlignment="1">
      <alignment horizontal="left" vertical="center" wrapText="1"/>
    </xf>
    <xf numFmtId="0" fontId="1682" fillId="0" borderId="0" xfId="0" applyFont="1" applyAlignment="1">
      <alignment horizontal="left" vertical="center" wrapText="1"/>
    </xf>
    <xf numFmtId="0" fontId="1683" fillId="0" borderId="0" xfId="0" applyFont="1" applyAlignment="1">
      <alignment horizontal="left" vertical="center" wrapText="1"/>
    </xf>
    <xf numFmtId="0" fontId="1684" fillId="0" borderId="3" xfId="0" applyFont="1" applyBorder="1" applyAlignment="1" applyProtection="1">
      <alignment vertical="top" wrapText="1"/>
    </xf>
    <xf numFmtId="0" fontId="1685" fillId="4" borderId="3" xfId="0" applyFont="1" applyFill="1" applyBorder="1" applyAlignment="1" applyProtection="1">
      <alignment horizontal="left" vertical="center" wrapText="1"/>
    </xf>
    <xf numFmtId="0" fontId="1686" fillId="4" borderId="3" xfId="0" applyFont="1" applyFill="1" applyBorder="1" applyAlignment="1" applyProtection="1">
      <alignment horizontal="left" vertical="center" wrapText="1"/>
    </xf>
    <xf numFmtId="0" fontId="1687" fillId="0" borderId="3" xfId="0" applyFont="1" applyBorder="1" applyAlignment="1" applyProtection="1">
      <alignment horizontal="left" vertical="center" wrapText="1"/>
    </xf>
    <xf numFmtId="0" fontId="1688" fillId="0" borderId="3" xfId="0" applyFont="1" applyBorder="1" applyAlignment="1" applyProtection="1">
      <alignment horizontal="left" vertical="center" wrapText="1"/>
    </xf>
    <xf numFmtId="0" fontId="1689" fillId="4" borderId="3" xfId="0" applyFont="1" applyFill="1" applyBorder="1" applyAlignment="1" applyProtection="1">
      <alignment vertical="center" wrapText="1"/>
    </xf>
    <xf numFmtId="0" fontId="1690" fillId="4" borderId="3" xfId="0" applyFont="1" applyFill="1" applyBorder="1" applyAlignment="1" applyProtection="1">
      <alignment vertical="center" wrapText="1"/>
    </xf>
    <xf numFmtId="0" fontId="1691" fillId="0" borderId="3" xfId="0" applyFont="1" applyBorder="1" applyAlignment="1" applyProtection="1">
      <alignment horizontal="left" vertical="center" wrapText="1"/>
    </xf>
    <xf numFmtId="0" fontId="1692" fillId="4" borderId="3" xfId="0" applyFont="1" applyFill="1" applyBorder="1" applyAlignment="1" applyProtection="1">
      <alignment horizontal="left" vertical="center" wrapText="1"/>
    </xf>
    <xf numFmtId="0" fontId="1693" fillId="4" borderId="3" xfId="0" applyFont="1" applyFill="1" applyBorder="1" applyAlignment="1" applyProtection="1">
      <alignment horizontal="left" vertical="center" wrapText="1"/>
    </xf>
    <xf numFmtId="0" fontId="1694" fillId="4" borderId="3" xfId="0" applyFont="1" applyFill="1" applyBorder="1" applyAlignment="1" applyProtection="1">
      <alignment horizontal="left" vertical="center" wrapText="1"/>
    </xf>
    <xf numFmtId="0" fontId="1695" fillId="4" borderId="3" xfId="0" applyFont="1" applyFill="1" applyBorder="1" applyAlignment="1" applyProtection="1">
      <alignment horizontal="left" vertical="center" wrapText="1"/>
    </xf>
    <xf numFmtId="0" fontId="1696" fillId="4" borderId="3" xfId="0" applyFont="1" applyFill="1" applyBorder="1" applyAlignment="1" applyProtection="1">
      <alignment horizontal="left" vertical="center" wrapText="1"/>
    </xf>
    <xf numFmtId="0" fontId="1697" fillId="4" borderId="3" xfId="0" applyFont="1" applyFill="1" applyBorder="1" applyAlignment="1" applyProtection="1">
      <alignment horizontal="left" vertical="center" wrapText="1"/>
    </xf>
    <xf numFmtId="0" fontId="1698" fillId="0" borderId="3" xfId="0" applyFont="1" applyBorder="1" applyAlignment="1" applyProtection="1">
      <alignment horizontal="left" vertical="center" wrapText="1"/>
    </xf>
    <xf numFmtId="0" fontId="1699" fillId="4" borderId="3" xfId="0" applyFont="1" applyFill="1" applyBorder="1" applyAlignment="1" applyProtection="1">
      <alignment horizontal="left" vertical="center" wrapText="1"/>
    </xf>
    <xf numFmtId="0" fontId="1700" fillId="4" borderId="3" xfId="0" applyFont="1" applyFill="1" applyBorder="1" applyAlignment="1" applyProtection="1">
      <alignment horizontal="left" vertical="center" wrapText="1"/>
    </xf>
    <xf numFmtId="0" fontId="1701" fillId="4" borderId="3" xfId="0" applyFont="1" applyFill="1" applyBorder="1" applyAlignment="1" applyProtection="1">
      <alignment horizontal="left" vertical="center" wrapText="1"/>
    </xf>
    <xf numFmtId="0" fontId="1702" fillId="4" borderId="3" xfId="0" applyFont="1" applyFill="1" applyBorder="1" applyAlignment="1" applyProtection="1">
      <alignment vertical="center" wrapText="1"/>
    </xf>
    <xf numFmtId="0" fontId="1703" fillId="4" borderId="3" xfId="0" applyFont="1" applyFill="1" applyBorder="1" applyAlignment="1" applyProtection="1">
      <alignment vertical="center" wrapText="1"/>
    </xf>
    <xf numFmtId="0" fontId="1704" fillId="4" borderId="3" xfId="0" applyFont="1" applyFill="1" applyBorder="1" applyAlignment="1" applyProtection="1">
      <alignment vertical="center" wrapText="1"/>
    </xf>
    <xf numFmtId="0" fontId="1705" fillId="4" borderId="3" xfId="0" applyFont="1" applyFill="1" applyBorder="1" applyAlignment="1" applyProtection="1">
      <alignment vertical="center" wrapText="1"/>
    </xf>
    <xf numFmtId="0" fontId="1706" fillId="4" borderId="3" xfId="0" applyFont="1" applyFill="1" applyBorder="1" applyAlignment="1" applyProtection="1">
      <alignment vertical="center" wrapText="1"/>
    </xf>
    <xf numFmtId="0" fontId="1707" fillId="4" borderId="3" xfId="0" applyFont="1" applyFill="1" applyBorder="1" applyAlignment="1" applyProtection="1">
      <alignment vertical="center" wrapText="1"/>
    </xf>
    <xf numFmtId="0" fontId="1708" fillId="0" borderId="3" xfId="0" applyFont="1" applyBorder="1" applyAlignment="1" applyProtection="1">
      <alignment vertical="center" wrapText="1"/>
    </xf>
    <xf numFmtId="0" fontId="1709" fillId="0" borderId="3" xfId="0" applyFont="1" applyBorder="1" applyAlignment="1" applyProtection="1">
      <alignment vertical="center" wrapText="1"/>
    </xf>
    <xf numFmtId="0" fontId="1710" fillId="0" borderId="3" xfId="0" applyFont="1" applyBorder="1" applyAlignment="1" applyProtection="1">
      <alignment vertical="center" wrapText="1"/>
    </xf>
    <xf numFmtId="0" fontId="1711" fillId="4" borderId="3" xfId="0" applyFont="1" applyFill="1" applyBorder="1" applyAlignment="1" applyProtection="1">
      <alignment vertical="center" wrapText="1"/>
    </xf>
    <xf numFmtId="0" fontId="1712" fillId="0" borderId="3" xfId="0" applyFont="1" applyBorder="1" applyAlignment="1" applyProtection="1">
      <alignment vertical="center" wrapText="1"/>
    </xf>
    <xf numFmtId="0" fontId="1713" fillId="4" borderId="3" xfId="0" applyFont="1" applyFill="1" applyBorder="1" applyAlignment="1" applyProtection="1">
      <alignment vertical="center" wrapText="1"/>
    </xf>
    <xf numFmtId="0" fontId="1714" fillId="4" borderId="3" xfId="0" applyFont="1" applyFill="1" applyBorder="1" applyAlignment="1" applyProtection="1">
      <alignment vertical="center" wrapText="1"/>
    </xf>
    <xf numFmtId="0" fontId="1715" fillId="4" borderId="3" xfId="0" applyFont="1" applyFill="1" applyBorder="1" applyAlignment="1" applyProtection="1">
      <alignment vertical="center" wrapText="1"/>
    </xf>
    <xf numFmtId="0" fontId="1716" fillId="4" borderId="3" xfId="0" applyFont="1" applyFill="1" applyBorder="1" applyAlignment="1" applyProtection="1">
      <alignment vertical="center" wrapText="1"/>
    </xf>
    <xf numFmtId="0" fontId="1717" fillId="0" borderId="3" xfId="0" applyFont="1" applyBorder="1" applyAlignment="1" applyProtection="1">
      <alignment vertical="center" wrapText="1"/>
    </xf>
    <xf numFmtId="0" fontId="1718" fillId="0" borderId="3" xfId="0" applyFont="1" applyBorder="1" applyAlignment="1" applyProtection="1">
      <alignment vertical="center" wrapText="1"/>
    </xf>
    <xf numFmtId="0" fontId="1719" fillId="4" borderId="3" xfId="0" applyFont="1" applyFill="1" applyBorder="1" applyAlignment="1" applyProtection="1">
      <alignment vertical="center" wrapText="1"/>
    </xf>
    <xf numFmtId="0" fontId="1720" fillId="4" borderId="3" xfId="0" applyFont="1" applyFill="1" applyBorder="1" applyAlignment="1" applyProtection="1">
      <alignment vertical="center" wrapText="1"/>
    </xf>
    <xf numFmtId="0" fontId="1721" fillId="0" borderId="0" xfId="0" applyFont="1" applyAlignment="1">
      <alignment horizontal="left" vertical="center" wrapText="1"/>
    </xf>
    <xf numFmtId="0" fontId="1722" fillId="0" borderId="3" xfId="0" applyFont="1" applyBorder="1" applyAlignment="1" applyProtection="1">
      <alignment vertical="center" wrapText="1"/>
    </xf>
    <xf numFmtId="0" fontId="1723" fillId="0" borderId="3" xfId="0" applyFont="1" applyBorder="1" applyAlignment="1" applyProtection="1">
      <alignment vertical="center" wrapText="1"/>
    </xf>
    <xf numFmtId="0" fontId="1724" fillId="4" borderId="3" xfId="0" applyFont="1" applyFill="1" applyBorder="1" applyAlignment="1" applyProtection="1">
      <alignment vertical="center" wrapText="1"/>
    </xf>
    <xf numFmtId="0" fontId="1725" fillId="4" borderId="3" xfId="0" applyFont="1" applyFill="1" applyBorder="1" applyAlignment="1" applyProtection="1">
      <alignment vertical="center" wrapText="1"/>
    </xf>
    <xf numFmtId="0" fontId="1726" fillId="4" borderId="3" xfId="0" applyFont="1" applyFill="1" applyBorder="1" applyAlignment="1" applyProtection="1">
      <alignment vertical="center" wrapText="1"/>
    </xf>
    <xf numFmtId="0" fontId="1727" fillId="4" borderId="3" xfId="0" applyFont="1" applyFill="1" applyBorder="1" applyAlignment="1" applyProtection="1">
      <alignment vertical="center" wrapText="1"/>
    </xf>
    <xf numFmtId="0" fontId="1728" fillId="0" borderId="3" xfId="0" applyFont="1" applyBorder="1" applyAlignment="1" applyProtection="1">
      <alignment vertical="center" wrapText="1"/>
    </xf>
    <xf numFmtId="0" fontId="1729" fillId="0" borderId="3" xfId="0" applyFont="1" applyBorder="1" applyAlignment="1" applyProtection="1">
      <alignment vertical="center" wrapText="1"/>
    </xf>
    <xf numFmtId="0" fontId="1730" fillId="4" borderId="3" xfId="0" applyFont="1" applyFill="1" applyBorder="1" applyAlignment="1" applyProtection="1">
      <alignment vertical="center" wrapText="1"/>
    </xf>
    <xf numFmtId="0" fontId="1731" fillId="0" borderId="3" xfId="0" applyFont="1" applyBorder="1" applyAlignment="1" applyProtection="1">
      <alignment vertical="center" wrapText="1"/>
    </xf>
    <xf numFmtId="0" fontId="1732" fillId="4" borderId="3" xfId="0" applyFont="1" applyFill="1" applyBorder="1" applyAlignment="1" applyProtection="1">
      <alignment horizontal="left" vertical="center" wrapText="1"/>
    </xf>
    <xf numFmtId="0" fontId="1733" fillId="4" borderId="3" xfId="0" applyFont="1" applyFill="1" applyBorder="1" applyAlignment="1" applyProtection="1">
      <alignment vertical="center" wrapText="1"/>
    </xf>
    <xf numFmtId="0" fontId="1734" fillId="4" borderId="3" xfId="0" applyFont="1" applyFill="1" applyBorder="1" applyAlignment="1" applyProtection="1">
      <alignment vertical="center" wrapText="1"/>
    </xf>
    <xf numFmtId="0" fontId="1735" fillId="0" borderId="0" xfId="0" applyFont="1" applyAlignment="1">
      <alignment horizontal="left" vertical="center" wrapText="1"/>
    </xf>
    <xf numFmtId="0" fontId="1736" fillId="4" borderId="3" xfId="0" applyFont="1" applyFill="1" applyBorder="1" applyAlignment="1" applyProtection="1">
      <alignment horizontal="left" vertical="center" wrapText="1"/>
    </xf>
    <xf numFmtId="0" fontId="1737" fillId="4" borderId="3" xfId="0" applyFont="1" applyFill="1" applyBorder="1" applyAlignment="1" applyProtection="1">
      <alignment horizontal="left" vertical="center" wrapText="1"/>
    </xf>
    <xf numFmtId="0" fontId="1738" fillId="4" borderId="3" xfId="0" applyFont="1" applyFill="1" applyBorder="1" applyAlignment="1" applyProtection="1">
      <alignment horizontal="left" vertical="center" wrapText="1"/>
    </xf>
    <xf numFmtId="0" fontId="1739" fillId="4" borderId="3" xfId="0" applyFont="1" applyFill="1" applyBorder="1" applyAlignment="1" applyProtection="1">
      <alignment horizontal="left" vertical="center" wrapText="1"/>
    </xf>
    <xf numFmtId="0" fontId="1740" fillId="4" borderId="3" xfId="0" applyFont="1" applyFill="1" applyBorder="1" applyAlignment="1" applyProtection="1">
      <alignment horizontal="left" vertical="center" wrapText="1"/>
    </xf>
    <xf numFmtId="0" fontId="1741" fillId="4" borderId="3" xfId="0" applyFont="1" applyFill="1" applyBorder="1" applyAlignment="1" applyProtection="1">
      <alignment horizontal="left" vertical="center" wrapText="1"/>
    </xf>
    <xf numFmtId="0" fontId="1742" fillId="0" borderId="0" xfId="0" applyFont="1" applyAlignment="1">
      <alignment horizontal="left" vertical="center" wrapText="1"/>
    </xf>
    <xf numFmtId="0" fontId="1743" fillId="4" borderId="3" xfId="0" applyFont="1" applyFill="1" applyBorder="1" applyAlignment="1" applyProtection="1">
      <alignment horizontal="left" vertical="center" wrapText="1"/>
    </xf>
    <xf numFmtId="0" fontId="1744" fillId="4" borderId="3" xfId="0" applyFont="1" applyFill="1" applyBorder="1" applyAlignment="1" applyProtection="1">
      <alignment horizontal="left" vertical="center" wrapText="1"/>
    </xf>
    <xf numFmtId="0" fontId="1745" fillId="4" borderId="3" xfId="0" applyFont="1" applyFill="1" applyBorder="1" applyAlignment="1" applyProtection="1">
      <alignment horizontal="left" vertical="center" wrapText="1"/>
    </xf>
    <xf numFmtId="0" fontId="1746" fillId="4" borderId="3" xfId="0" applyFont="1" applyFill="1" applyBorder="1" applyAlignment="1" applyProtection="1">
      <alignment vertical="center" wrapText="1"/>
    </xf>
    <xf numFmtId="0" fontId="1747" fillId="4" borderId="3" xfId="0" applyFont="1" applyFill="1" applyBorder="1" applyAlignment="1" applyProtection="1">
      <alignment vertical="center" wrapText="1"/>
    </xf>
    <xf numFmtId="0" fontId="1748" fillId="4" borderId="3" xfId="0" applyFont="1" applyFill="1" applyBorder="1" applyAlignment="1" applyProtection="1">
      <alignment vertical="center" wrapText="1"/>
    </xf>
    <xf numFmtId="0" fontId="1749" fillId="4" borderId="3" xfId="0" applyFont="1" applyFill="1" applyBorder="1" applyAlignment="1" applyProtection="1">
      <alignment vertical="center" wrapText="1"/>
    </xf>
    <xf numFmtId="0" fontId="1750" fillId="4" borderId="3" xfId="0" applyFont="1" applyFill="1" applyBorder="1" applyAlignment="1" applyProtection="1">
      <alignment vertical="center" wrapText="1"/>
    </xf>
    <xf numFmtId="0" fontId="1751" fillId="4" borderId="3" xfId="0" applyFont="1" applyFill="1" applyBorder="1" applyAlignment="1" applyProtection="1">
      <alignment vertical="center" wrapText="1"/>
    </xf>
    <xf numFmtId="0" fontId="1752" fillId="0" borderId="3" xfId="0" applyFont="1" applyBorder="1" applyAlignment="1" applyProtection="1">
      <alignment vertical="center" wrapText="1"/>
    </xf>
    <xf numFmtId="0" fontId="1753" fillId="0" borderId="3" xfId="0" applyFont="1" applyBorder="1" applyAlignment="1" applyProtection="1">
      <alignment vertical="center" wrapText="1"/>
    </xf>
    <xf numFmtId="0" fontId="1754" fillId="4" borderId="3" xfId="0" applyFont="1" applyFill="1" applyBorder="1" applyAlignment="1" applyProtection="1">
      <alignment vertical="center" wrapText="1"/>
    </xf>
    <xf numFmtId="0" fontId="1755" fillId="0" borderId="3" xfId="0" applyFont="1" applyBorder="1" applyAlignment="1" applyProtection="1">
      <alignment vertical="center" wrapText="1"/>
    </xf>
    <xf numFmtId="0" fontId="1756" fillId="4" borderId="3" xfId="0" applyFont="1" applyFill="1" applyBorder="1" applyAlignment="1" applyProtection="1">
      <alignment vertical="center" wrapText="1"/>
    </xf>
    <xf numFmtId="0" fontId="1757" fillId="4" borderId="3" xfId="0" applyFont="1" applyFill="1" applyBorder="1" applyAlignment="1" applyProtection="1">
      <alignment vertical="center" wrapText="1"/>
    </xf>
    <xf numFmtId="0" fontId="1758" fillId="4" borderId="3" xfId="0" applyFont="1" applyFill="1" applyBorder="1" applyAlignment="1" applyProtection="1">
      <alignment vertical="center" wrapText="1"/>
    </xf>
    <xf numFmtId="0" fontId="1759" fillId="4" borderId="3" xfId="0" applyFont="1" applyFill="1" applyBorder="1" applyAlignment="1" applyProtection="1">
      <alignment vertical="center" wrapText="1"/>
    </xf>
    <xf numFmtId="0" fontId="1760" fillId="0" borderId="3" xfId="0" applyFont="1" applyBorder="1" applyAlignment="1" applyProtection="1">
      <alignment vertical="center" wrapText="1"/>
    </xf>
    <xf numFmtId="0" fontId="1761" fillId="0" borderId="3" xfId="0" applyFont="1" applyBorder="1" applyAlignment="1" applyProtection="1">
      <alignment vertical="center" wrapText="1"/>
    </xf>
    <xf numFmtId="0" fontId="1762" fillId="4" borderId="3" xfId="0" applyFont="1" applyFill="1" applyBorder="1" applyAlignment="1" applyProtection="1">
      <alignment vertical="center" wrapText="1"/>
    </xf>
    <xf numFmtId="0" fontId="1763" fillId="4" borderId="3" xfId="0" applyFont="1" applyFill="1" applyBorder="1" applyAlignment="1" applyProtection="1">
      <alignment vertical="center" wrapText="1"/>
    </xf>
    <xf numFmtId="0" fontId="1764" fillId="0" borderId="0" xfId="0" applyFont="1" applyAlignment="1">
      <alignment horizontal="left" vertical="center" wrapText="1"/>
    </xf>
    <xf numFmtId="0" fontId="1765" fillId="0" borderId="3" xfId="0" applyFont="1" applyBorder="1" applyAlignment="1" applyProtection="1">
      <alignment vertical="center" wrapText="1"/>
    </xf>
    <xf numFmtId="0" fontId="1766" fillId="0" borderId="3" xfId="0" applyFont="1" applyBorder="1" applyAlignment="1" applyProtection="1">
      <alignment vertical="center" wrapText="1"/>
    </xf>
    <xf numFmtId="0" fontId="1767" fillId="4" borderId="3" xfId="0" applyFont="1" applyFill="1" applyBorder="1" applyAlignment="1" applyProtection="1">
      <alignment vertical="center" wrapText="1"/>
    </xf>
    <xf numFmtId="0" fontId="1768" fillId="4" borderId="3" xfId="0" applyFont="1" applyFill="1" applyBorder="1" applyAlignment="1" applyProtection="1">
      <alignment vertical="center" wrapText="1"/>
    </xf>
    <xf numFmtId="0" fontId="1769" fillId="4" borderId="3" xfId="0" applyFont="1" applyFill="1" applyBorder="1" applyAlignment="1" applyProtection="1">
      <alignment vertical="center" wrapText="1"/>
    </xf>
    <xf numFmtId="0" fontId="1770" fillId="4" borderId="3" xfId="0" applyFont="1" applyFill="1" applyBorder="1" applyAlignment="1" applyProtection="1">
      <alignment vertical="center" wrapText="1"/>
    </xf>
    <xf numFmtId="0" fontId="1771" fillId="0" borderId="3" xfId="0" applyFont="1" applyBorder="1" applyAlignment="1" applyProtection="1">
      <alignment vertical="center" wrapText="1"/>
    </xf>
    <xf numFmtId="0" fontId="1772" fillId="0" borderId="3" xfId="0" applyFont="1" applyBorder="1" applyAlignment="1" applyProtection="1">
      <alignment vertical="center" wrapText="1"/>
    </xf>
    <xf numFmtId="0" fontId="1773" fillId="4" borderId="3" xfId="0" applyFont="1" applyFill="1" applyBorder="1" applyAlignment="1" applyProtection="1">
      <alignment vertical="center" wrapText="1"/>
    </xf>
    <xf numFmtId="0" fontId="1774" fillId="0" borderId="3" xfId="0" applyFont="1" applyBorder="1" applyAlignment="1" applyProtection="1">
      <alignment vertical="center" wrapText="1"/>
    </xf>
    <xf numFmtId="0" fontId="1775" fillId="4" borderId="3" xfId="0" applyFont="1" applyFill="1" applyBorder="1" applyAlignment="1" applyProtection="1">
      <alignment horizontal="left" vertical="center" wrapText="1"/>
    </xf>
    <xf numFmtId="0" fontId="1776" fillId="0" borderId="3" xfId="0" applyFont="1" applyBorder="1" applyAlignment="1" applyProtection="1">
      <alignment vertical="center" wrapText="1"/>
    </xf>
    <xf numFmtId="0" fontId="1777" fillId="2" borderId="3" xfId="0" applyFont="1" applyFill="1" applyBorder="1" applyAlignment="1" applyProtection="1">
      <alignment horizontal="left" vertical="center" wrapText="1"/>
    </xf>
    <xf numFmtId="0" fontId="1778" fillId="0" borderId="3" xfId="0" applyFont="1" applyBorder="1" applyAlignment="1" applyProtection="1">
      <alignment vertical="center" wrapText="1"/>
    </xf>
    <xf numFmtId="0" fontId="1779" fillId="0" borderId="3" xfId="0" applyFont="1" applyBorder="1" applyAlignment="1" applyProtection="1">
      <alignment vertical="center" wrapText="1"/>
    </xf>
    <xf numFmtId="0" fontId="1780" fillId="0" borderId="3" xfId="0" applyFont="1" applyBorder="1" applyAlignment="1" applyProtection="1">
      <alignment vertical="center" wrapText="1"/>
    </xf>
    <xf numFmtId="0" fontId="1781" fillId="0" borderId="3" xfId="0" applyFont="1" applyBorder="1" applyAlignment="1" applyProtection="1">
      <alignment vertical="center" wrapText="1"/>
    </xf>
    <xf numFmtId="176" fontId="1782" fillId="0" borderId="3" xfId="0" applyNumberFormat="1" applyFont="1" applyBorder="1" applyAlignment="1" applyProtection="1">
      <alignment horizontal="left" vertical="center" wrapText="1"/>
      <protection locked="0"/>
    </xf>
    <xf numFmtId="0" fontId="1783" fillId="0" borderId="3" xfId="0" applyFont="1" applyBorder="1" applyAlignment="1" applyProtection="1">
      <alignment horizontal="center" vertical="center" wrapText="1"/>
    </xf>
    <xf numFmtId="0" fontId="1784" fillId="0" borderId="3" xfId="0" applyFont="1" applyBorder="1" applyAlignment="1" applyProtection="1">
      <alignment horizontal="center" vertical="center" wrapText="1"/>
    </xf>
    <xf numFmtId="0" fontId="1785" fillId="4" borderId="3" xfId="0" applyFont="1" applyFill="1" applyBorder="1" applyAlignment="1" applyProtection="1">
      <alignment vertical="center" wrapText="1"/>
    </xf>
    <xf numFmtId="0" fontId="1786" fillId="4" borderId="4" xfId="0" applyFont="1" applyFill="1" applyBorder="1" applyAlignment="1" applyProtection="1">
      <alignment vertical="center" wrapText="1"/>
    </xf>
    <xf numFmtId="0" fontId="1787" fillId="0" borderId="3" xfId="0" applyFont="1" applyBorder="1" applyAlignment="1" applyProtection="1">
      <alignment vertical="center" wrapText="1"/>
    </xf>
    <xf numFmtId="177" fontId="1788" fillId="0" borderId="3" xfId="0" applyNumberFormat="1" applyFont="1" applyBorder="1" applyAlignment="1" applyProtection="1">
      <alignment horizontal="center" vertical="center" wrapText="1"/>
    </xf>
    <xf numFmtId="177" fontId="1789" fillId="4" borderId="3" xfId="0" applyNumberFormat="1" applyFont="1" applyFill="1" applyBorder="1" applyAlignment="1" applyProtection="1">
      <alignment horizontal="left" vertical="center" wrapText="1"/>
    </xf>
    <xf numFmtId="177" fontId="1790" fillId="4" borderId="3" xfId="0" applyNumberFormat="1" applyFont="1" applyFill="1" applyBorder="1" applyAlignment="1" applyProtection="1">
      <alignment horizontal="left" vertical="center" wrapText="1"/>
    </xf>
    <xf numFmtId="177" fontId="1791" fillId="0" borderId="3" xfId="0" applyNumberFormat="1" applyFont="1" applyBorder="1" applyAlignment="1" applyProtection="1">
      <alignment horizontal="left" vertical="top" wrapText="1"/>
    </xf>
    <xf numFmtId="177" fontId="1792" fillId="0" borderId="3" xfId="0" applyNumberFormat="1" applyFont="1" applyBorder="1" applyAlignment="1" applyProtection="1">
      <alignment horizontal="center" vertical="center" wrapText="1"/>
    </xf>
    <xf numFmtId="177" fontId="1793" fillId="4" borderId="3" xfId="0" applyNumberFormat="1" applyFont="1" applyFill="1" applyBorder="1" applyAlignment="1" applyProtection="1">
      <alignment horizontal="left" vertical="center" wrapText="1"/>
    </xf>
    <xf numFmtId="177" fontId="1794" fillId="4" borderId="3" xfId="0" applyNumberFormat="1" applyFont="1" applyFill="1" applyBorder="1" applyAlignment="1" applyProtection="1">
      <alignment horizontal="left" vertical="center" wrapText="1"/>
    </xf>
    <xf numFmtId="177" fontId="1795" fillId="4" borderId="3" xfId="0" applyNumberFormat="1" applyFont="1" applyFill="1" applyBorder="1" applyAlignment="1" applyProtection="1">
      <alignment horizontal="center" vertical="center" wrapText="1"/>
    </xf>
    <xf numFmtId="177" fontId="1796" fillId="0" borderId="3" xfId="0" applyNumberFormat="1" applyFont="1" applyBorder="1" applyAlignment="1" applyProtection="1">
      <alignment horizontal="left" vertical="top" wrapText="1"/>
    </xf>
    <xf numFmtId="177" fontId="1797" fillId="4" borderId="3" xfId="0" applyNumberFormat="1" applyFont="1" applyFill="1" applyBorder="1" applyAlignment="1" applyProtection="1">
      <alignment horizontal="left" vertical="center" wrapText="1"/>
    </xf>
    <xf numFmtId="177" fontId="1798" fillId="4" borderId="3" xfId="0" applyNumberFormat="1" applyFont="1" applyFill="1" applyBorder="1" applyAlignment="1" applyProtection="1">
      <alignment horizontal="left" vertical="center" wrapText="1"/>
    </xf>
    <xf numFmtId="177" fontId="1799" fillId="0" borderId="6" xfId="0" applyNumberFormat="1" applyFont="1" applyBorder="1" applyAlignment="1" applyProtection="1">
      <alignment horizontal="left" vertical="center" wrapText="1"/>
    </xf>
    <xf numFmtId="177" fontId="1800" fillId="0" borderId="6" xfId="0" applyNumberFormat="1" applyFont="1" applyBorder="1" applyAlignment="1" applyProtection="1">
      <alignment horizontal="left" vertical="center" wrapText="1"/>
    </xf>
    <xf numFmtId="177" fontId="1801" fillId="0" borderId="6" xfId="0" applyNumberFormat="1" applyFont="1" applyBorder="1" applyAlignment="1" applyProtection="1">
      <alignment horizontal="left" vertical="center" wrapText="1"/>
    </xf>
    <xf numFmtId="177" fontId="1802" fillId="0" borderId="6" xfId="0" applyNumberFormat="1" applyFont="1" applyBorder="1" applyAlignment="1" applyProtection="1">
      <alignment horizontal="left" vertical="center" wrapText="1"/>
    </xf>
    <xf numFmtId="0" fontId="1803" fillId="0" borderId="3" xfId="0" applyFont="1" applyBorder="1" applyAlignment="1" applyProtection="1">
      <alignment horizontal="center" vertical="center" wrapText="1"/>
    </xf>
    <xf numFmtId="0" fontId="1804" fillId="0" borderId="3" xfId="0" applyFont="1" applyBorder="1" applyAlignment="1" applyProtection="1">
      <alignment horizontal="center" vertical="center" wrapText="1"/>
    </xf>
    <xf numFmtId="0" fontId="1805" fillId="0" borderId="3" xfId="0" applyFont="1" applyBorder="1" applyAlignment="1" applyProtection="1">
      <alignment horizontal="center" vertical="center" wrapText="1"/>
    </xf>
    <xf numFmtId="0" fontId="1806" fillId="0" borderId="3" xfId="0" applyFont="1" applyBorder="1" applyAlignment="1" applyProtection="1">
      <alignment horizontal="center" vertical="center" wrapText="1"/>
    </xf>
    <xf numFmtId="0" fontId="1807" fillId="0" borderId="3" xfId="0" applyFont="1" applyBorder="1" applyAlignment="1" applyProtection="1">
      <alignment horizontal="center" vertical="center" wrapText="1"/>
    </xf>
    <xf numFmtId="0" fontId="1808" fillId="0" borderId="3" xfId="0" applyFont="1" applyBorder="1" applyAlignment="1" applyProtection="1">
      <alignment horizontal="center" vertical="center" wrapText="1"/>
    </xf>
    <xf numFmtId="0" fontId="1809" fillId="0" borderId="3" xfId="0" applyFont="1" applyBorder="1" applyAlignment="1" applyProtection="1">
      <alignment horizontal="center" vertical="center" wrapText="1"/>
    </xf>
    <xf numFmtId="0" fontId="1810" fillId="0" borderId="3" xfId="0" applyFont="1" applyBorder="1" applyAlignment="1" applyProtection="1">
      <alignment vertical="center" wrapText="1"/>
    </xf>
    <xf numFmtId="0" fontId="4" fillId="0" borderId="3" xfId="0" applyFont="1" applyBorder="1" applyAlignment="1" applyProtection="1">
      <alignment horizontal="center" vertical="center" shrinkToFit="1"/>
    </xf>
    <xf numFmtId="178" fontId="30" fillId="4" borderId="3" xfId="0" applyNumberFormat="1" applyFont="1" applyFill="1" applyBorder="1" applyAlignment="1" applyProtection="1">
      <alignment horizontal="center" vertical="center" wrapText="1"/>
    </xf>
    <xf numFmtId="49" fontId="5" fillId="0" borderId="3" xfId="0" applyNumberFormat="1" applyFont="1" applyBorder="1" applyAlignment="1" applyProtection="1">
      <alignment horizontal="center" vertical="center" wrapText="1"/>
    </xf>
    <xf numFmtId="178" fontId="21" fillId="4" borderId="3" xfId="0" applyNumberFormat="1" applyFont="1" applyFill="1" applyBorder="1" applyAlignment="1" applyProtection="1">
      <alignment horizontal="center" vertical="center" wrapText="1"/>
    </xf>
    <xf numFmtId="0" fontId="20" fillId="0" borderId="0" xfId="0" applyFont="1" applyAlignment="1">
      <alignment horizontal="left" vertical="center" wrapText="1"/>
    </xf>
    <xf numFmtId="0" fontId="29" fillId="0" borderId="0" xfId="0" applyFont="1" applyAlignment="1">
      <alignment horizontal="left" vertical="center" wrapText="1"/>
    </xf>
    <xf numFmtId="0" fontId="29" fillId="0" borderId="0" xfId="0" applyFont="1" applyAlignment="1">
      <alignment horizontal="left" vertical="top" wrapText="1"/>
    </xf>
    <xf numFmtId="0" fontId="20" fillId="0" borderId="0" xfId="0" applyFont="1" applyAlignment="1">
      <alignment horizontal="left" vertical="top" wrapText="1"/>
    </xf>
    <xf numFmtId="0" fontId="72" fillId="7" borderId="2" xfId="0" applyFont="1" applyFill="1" applyBorder="1" applyAlignment="1" applyProtection="1">
      <alignment horizontal="center" vertical="center" wrapText="1"/>
    </xf>
    <xf numFmtId="0" fontId="14" fillId="7" borderId="5" xfId="0" applyFont="1" applyFill="1" applyBorder="1" applyAlignment="1" applyProtection="1">
      <alignment horizontal="center" vertical="center" wrapText="1"/>
    </xf>
    <xf numFmtId="0" fontId="75" fillId="7" borderId="31" xfId="0" applyFont="1" applyFill="1" applyBorder="1" applyAlignment="1" applyProtection="1">
      <alignment horizontal="center" vertical="center" wrapText="1"/>
    </xf>
    <xf numFmtId="0" fontId="14" fillId="7" borderId="30" xfId="0" applyFont="1" applyFill="1" applyBorder="1" applyAlignment="1" applyProtection="1">
      <alignment horizontal="center" vertical="center" wrapText="1"/>
    </xf>
    <xf numFmtId="0" fontId="68" fillId="7" borderId="44" xfId="0" applyFont="1" applyFill="1" applyBorder="1" applyAlignment="1" applyProtection="1">
      <alignment horizontal="center" vertical="center" wrapText="1"/>
    </xf>
    <xf numFmtId="0" fontId="14" fillId="7" borderId="38" xfId="0" applyFont="1" applyFill="1" applyBorder="1" applyAlignment="1" applyProtection="1">
      <alignment horizontal="center" vertical="center" wrapText="1"/>
    </xf>
    <xf numFmtId="0" fontId="67" fillId="7" borderId="7" xfId="0" applyFont="1" applyFill="1" applyBorder="1" applyAlignment="1" applyProtection="1">
      <alignment horizontal="center" vertical="center" wrapText="1"/>
    </xf>
    <xf numFmtId="0" fontId="14" fillId="7" borderId="7" xfId="0" applyFont="1" applyFill="1" applyBorder="1" applyAlignment="1" applyProtection="1">
      <alignment horizontal="center" vertical="center" wrapText="1"/>
    </xf>
    <xf numFmtId="0" fontId="41" fillId="2" borderId="3" xfId="0" applyFont="1" applyFill="1" applyBorder="1" applyAlignment="1" applyProtection="1">
      <alignment vertical="center" wrapText="1"/>
    </xf>
    <xf numFmtId="0" fontId="3" fillId="0" borderId="3" xfId="0" applyFont="1" applyBorder="1" applyProtection="1">
      <alignment vertical="center"/>
    </xf>
    <xf numFmtId="0" fontId="70" fillId="7" borderId="2" xfId="0" applyFont="1" applyFill="1" applyBorder="1" applyAlignment="1" applyProtection="1">
      <alignment horizontal="center" vertical="center" wrapText="1"/>
    </xf>
    <xf numFmtId="0" fontId="83" fillId="7" borderId="2" xfId="0" applyFont="1" applyFill="1" applyBorder="1" applyAlignment="1" applyProtection="1">
      <alignment horizontal="center" vertical="center" wrapText="1"/>
    </xf>
    <xf numFmtId="0" fontId="41" fillId="2" borderId="4" xfId="0" applyFont="1" applyFill="1" applyBorder="1" applyAlignment="1" applyProtection="1">
      <alignment vertical="center" wrapText="1"/>
    </xf>
    <xf numFmtId="0" fontId="3" fillId="0" borderId="0" xfId="0" applyFont="1">
      <alignment vertical="center"/>
    </xf>
    <xf numFmtId="0" fontId="14" fillId="7" borderId="9" xfId="0" applyFont="1" applyFill="1" applyBorder="1" applyAlignment="1" applyProtection="1">
      <alignment horizontal="center" vertical="center" wrapText="1"/>
    </xf>
    <xf numFmtId="0" fontId="14" fillId="7" borderId="29" xfId="0" applyFont="1" applyFill="1" applyBorder="1" applyAlignment="1" applyProtection="1">
      <alignment horizontal="center" vertical="center" wrapText="1"/>
    </xf>
    <xf numFmtId="0" fontId="76" fillId="7" borderId="2" xfId="0" applyFont="1" applyFill="1" applyBorder="1" applyAlignment="1" applyProtection="1">
      <alignment horizontal="center" vertical="center" wrapText="1"/>
    </xf>
    <xf numFmtId="0" fontId="14" fillId="7" borderId="3" xfId="0" applyFont="1" applyFill="1" applyBorder="1" applyAlignment="1" applyProtection="1">
      <alignment horizontal="center" vertical="center" wrapText="1"/>
    </xf>
    <xf numFmtId="0" fontId="14" fillId="7" borderId="26" xfId="0" applyFont="1" applyFill="1" applyBorder="1" applyAlignment="1" applyProtection="1">
      <alignment horizontal="center" vertical="center" wrapText="1"/>
    </xf>
    <xf numFmtId="0" fontId="16" fillId="7" borderId="2" xfId="0" applyFont="1" applyFill="1" applyBorder="1" applyAlignment="1" applyProtection="1">
      <alignment horizontal="center" vertical="center" textRotation="90" wrapText="1"/>
    </xf>
    <xf numFmtId="0" fontId="16" fillId="7" borderId="5" xfId="0" applyFont="1" applyFill="1" applyBorder="1" applyAlignment="1" applyProtection="1">
      <alignment horizontal="center" vertical="center" textRotation="90" wrapText="1"/>
    </xf>
    <xf numFmtId="0" fontId="84" fillId="7" borderId="31" xfId="0" applyFont="1" applyFill="1" applyBorder="1" applyAlignment="1" applyProtection="1">
      <alignment horizontal="center" vertical="center" wrapText="1"/>
    </xf>
    <xf numFmtId="0" fontId="14" fillId="7" borderId="36" xfId="0" applyFont="1" applyFill="1" applyBorder="1" applyAlignment="1" applyProtection="1">
      <alignment horizontal="center" vertical="center" wrapText="1"/>
    </xf>
    <xf numFmtId="0" fontId="14" fillId="7" borderId="37" xfId="0" applyFont="1" applyFill="1" applyBorder="1" applyAlignment="1" applyProtection="1">
      <alignment horizontal="center" vertical="center" wrapText="1"/>
    </xf>
    <xf numFmtId="0" fontId="41" fillId="2" borderId="10" xfId="0" applyFont="1" applyFill="1" applyBorder="1" applyAlignment="1" applyProtection="1">
      <alignment vertical="center" wrapText="1"/>
    </xf>
    <xf numFmtId="0" fontId="37" fillId="9" borderId="41" xfId="0" applyFont="1" applyFill="1" applyBorder="1" applyProtection="1">
      <alignment vertical="center"/>
    </xf>
    <xf numFmtId="0" fontId="69" fillId="7" borderId="2" xfId="0" applyFont="1" applyFill="1" applyBorder="1" applyAlignment="1" applyProtection="1">
      <alignment horizontal="center" vertical="center" wrapText="1"/>
    </xf>
    <xf numFmtId="0" fontId="77" fillId="7" borderId="2" xfId="0" applyFont="1" applyFill="1" applyBorder="1" applyAlignment="1" applyProtection="1">
      <alignment horizontal="center" vertical="center" wrapText="1"/>
    </xf>
    <xf numFmtId="0" fontId="82" fillId="7" borderId="2" xfId="0" applyFont="1" applyFill="1" applyBorder="1" applyAlignment="1" applyProtection="1">
      <alignment horizontal="center" vertical="center" wrapText="1"/>
    </xf>
    <xf numFmtId="0" fontId="79" fillId="7" borderId="2" xfId="0" applyFont="1" applyFill="1" applyBorder="1" applyAlignment="1" applyProtection="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0" borderId="3" xfId="0" applyFont="1" applyBorder="1" applyAlignment="1" applyProtection="1">
      <alignment horizontal="left" vertical="center" wrapText="1"/>
    </xf>
    <xf numFmtId="0" fontId="14" fillId="7" borderId="34" xfId="0" applyFont="1" applyFill="1" applyBorder="1" applyAlignment="1" applyProtection="1">
      <alignment horizontal="center" vertical="center" wrapText="1"/>
    </xf>
    <xf numFmtId="0" fontId="81" fillId="7" borderId="2" xfId="0" applyFont="1" applyFill="1" applyBorder="1" applyAlignment="1" applyProtection="1">
      <alignment horizontal="center" vertical="center" wrapText="1"/>
    </xf>
    <xf numFmtId="0" fontId="74" fillId="7" borderId="3" xfId="0" applyFont="1" applyFill="1" applyBorder="1" applyAlignment="1" applyProtection="1">
      <alignment horizontal="center" vertical="center" wrapText="1"/>
    </xf>
    <xf numFmtId="0" fontId="14" fillId="7" borderId="25" xfId="0" applyFont="1" applyFill="1" applyBorder="1" applyAlignment="1" applyProtection="1">
      <alignment horizontal="center" vertical="center" wrapText="1"/>
    </xf>
    <xf numFmtId="0" fontId="73" fillId="7" borderId="3" xfId="0" applyFont="1" applyFill="1" applyBorder="1" applyAlignment="1" applyProtection="1">
      <alignment horizontal="center" vertical="center" wrapText="1"/>
    </xf>
    <xf numFmtId="0" fontId="78" fillId="7" borderId="2" xfId="0" applyFont="1" applyFill="1" applyBorder="1" applyAlignment="1" applyProtection="1">
      <alignment horizontal="center" vertical="center" wrapText="1"/>
    </xf>
    <xf numFmtId="0" fontId="71" fillId="7" borderId="2" xfId="0" applyFont="1" applyFill="1" applyBorder="1" applyAlignment="1" applyProtection="1">
      <alignment horizontal="center" vertical="center" wrapText="1"/>
    </xf>
    <xf numFmtId="0" fontId="80" fillId="7" borderId="32" xfId="0" applyFont="1" applyFill="1" applyBorder="1" applyAlignment="1" applyProtection="1">
      <alignment horizontal="center" vertical="center" wrapText="1"/>
    </xf>
    <xf numFmtId="0" fontId="14" fillId="7" borderId="8" xfId="0" applyFont="1" applyFill="1" applyBorder="1" applyAlignment="1" applyProtection="1">
      <alignment horizontal="center" vertical="center" wrapText="1"/>
    </xf>
    <xf numFmtId="0" fontId="50" fillId="0" borderId="0" xfId="0" applyFont="1" applyAlignment="1">
      <alignment horizontal="center" vertical="center" wrapText="1"/>
    </xf>
    <xf numFmtId="0" fontId="2" fillId="0" borderId="0" xfId="0" applyFont="1">
      <alignment vertical="center"/>
    </xf>
    <xf numFmtId="0" fontId="912" fillId="7" borderId="2" xfId="0" applyFont="1" applyFill="1" applyBorder="1" applyAlignment="1" applyProtection="1">
      <alignment horizontal="center" vertical="center" wrapText="1"/>
    </xf>
    <xf numFmtId="0" fontId="923" fillId="7" borderId="2" xfId="0" applyFont="1" applyFill="1" applyBorder="1" applyAlignment="1" applyProtection="1">
      <alignment horizontal="center" vertical="center" wrapText="1"/>
    </xf>
    <xf numFmtId="0" fontId="14" fillId="7" borderId="34" xfId="0" applyFont="1" applyFill="1" applyBorder="1" applyAlignment="1" applyProtection="1">
      <alignment horizontal="center" vertical="center"/>
    </xf>
    <xf numFmtId="0" fontId="14" fillId="7" borderId="7" xfId="0" applyFont="1" applyFill="1" applyBorder="1" applyAlignment="1" applyProtection="1">
      <alignment horizontal="center" vertical="center"/>
    </xf>
    <xf numFmtId="0" fontId="922" fillId="7" borderId="2" xfId="0" applyFont="1" applyFill="1" applyBorder="1" applyAlignment="1" applyProtection="1">
      <alignment horizontal="center" vertical="center" wrapText="1"/>
    </xf>
    <xf numFmtId="49" fontId="917" fillId="7" borderId="3" xfId="0" applyNumberFormat="1" applyFont="1" applyFill="1" applyBorder="1" applyAlignment="1" applyProtection="1">
      <alignment horizontal="center" vertical="center" wrapText="1"/>
    </xf>
    <xf numFmtId="49" fontId="14" fillId="7" borderId="25" xfId="0" applyNumberFormat="1" applyFont="1" applyFill="1" applyBorder="1" applyAlignment="1" applyProtection="1">
      <alignment horizontal="center" vertical="center" wrapText="1"/>
    </xf>
    <xf numFmtId="0" fontId="910" fillId="7" borderId="7" xfId="0" applyFont="1" applyFill="1" applyBorder="1" applyAlignment="1" applyProtection="1">
      <alignment horizontal="center" vertical="center" wrapText="1"/>
    </xf>
    <xf numFmtId="0" fontId="920" fillId="7" borderId="2" xfId="0" applyFont="1" applyFill="1" applyBorder="1" applyAlignment="1" applyProtection="1">
      <alignment horizontal="center" vertical="center" wrapText="1"/>
    </xf>
    <xf numFmtId="0" fontId="925" fillId="7" borderId="2" xfId="0" applyFont="1" applyFill="1" applyBorder="1" applyAlignment="1" applyProtection="1">
      <alignment horizontal="center" vertical="center" wrapText="1"/>
    </xf>
    <xf numFmtId="0" fontId="915" fillId="7" borderId="2" xfId="0" applyFont="1" applyFill="1" applyBorder="1" applyAlignment="1" applyProtection="1">
      <alignment horizontal="center" vertical="center" wrapText="1"/>
    </xf>
    <xf numFmtId="2" fontId="924" fillId="7" borderId="2" xfId="0" applyNumberFormat="1" applyFont="1" applyFill="1" applyBorder="1" applyAlignment="1" applyProtection="1">
      <alignment horizontal="center" vertical="center" wrapText="1"/>
    </xf>
    <xf numFmtId="2" fontId="14" fillId="7" borderId="5" xfId="0" applyNumberFormat="1" applyFont="1" applyFill="1" applyBorder="1" applyAlignment="1" applyProtection="1">
      <alignment horizontal="center" vertical="center" wrapText="1"/>
    </xf>
    <xf numFmtId="0" fontId="916" fillId="7" borderId="2" xfId="0" applyFont="1" applyFill="1" applyBorder="1" applyAlignment="1" applyProtection="1">
      <alignment horizontal="left" vertical="center" wrapText="1"/>
    </xf>
    <xf numFmtId="0" fontId="14" fillId="7" borderId="5" xfId="0" applyFont="1" applyFill="1" applyBorder="1" applyAlignment="1" applyProtection="1">
      <alignment horizontal="left" vertical="center" wrapText="1"/>
    </xf>
    <xf numFmtId="0" fontId="927" fillId="7" borderId="32" xfId="0" applyFont="1" applyFill="1" applyBorder="1" applyAlignment="1" applyProtection="1">
      <alignment horizontal="center" vertical="center" wrapText="1"/>
    </xf>
    <xf numFmtId="0" fontId="914" fillId="7" borderId="2" xfId="0" applyFont="1" applyFill="1" applyBorder="1" applyAlignment="1" applyProtection="1">
      <alignment horizontal="center" vertical="center" wrapText="1"/>
    </xf>
    <xf numFmtId="0" fontId="911" fillId="7" borderId="44" xfId="0" applyFont="1" applyFill="1" applyBorder="1" applyAlignment="1" applyProtection="1">
      <alignment horizontal="center" vertical="center" wrapText="1"/>
    </xf>
    <xf numFmtId="0" fontId="921" fillId="7" borderId="2" xfId="0" applyFont="1" applyFill="1" applyBorder="1" applyAlignment="1" applyProtection="1">
      <alignment horizontal="center" vertical="center" wrapText="1"/>
    </xf>
    <xf numFmtId="0" fontId="926" fillId="7" borderId="2" xfId="0" applyFont="1" applyFill="1" applyBorder="1" applyAlignment="1" applyProtection="1">
      <alignment horizontal="center" vertical="center" wrapText="1"/>
    </xf>
    <xf numFmtId="0" fontId="918" fillId="7" borderId="2" xfId="0" applyFont="1" applyFill="1" applyBorder="1" applyAlignment="1" applyProtection="1">
      <alignment horizontal="center" vertical="center" wrapText="1"/>
    </xf>
    <xf numFmtId="0" fontId="919" fillId="7" borderId="2" xfId="0" applyFont="1" applyFill="1" applyBorder="1" applyAlignment="1" applyProtection="1">
      <alignment horizontal="center" vertical="center" wrapText="1"/>
    </xf>
    <xf numFmtId="0" fontId="913" fillId="7" borderId="2" xfId="0" applyFont="1" applyFill="1" applyBorder="1" applyAlignment="1" applyProtection="1">
      <alignment horizontal="center" vertical="center" wrapText="1"/>
    </xf>
    <xf numFmtId="0" fontId="12" fillId="0" borderId="0" xfId="0" applyFont="1" applyAlignment="1">
      <alignment horizontal="center" vertical="center" wrapText="1"/>
    </xf>
    <xf numFmtId="0" fontId="12" fillId="2" borderId="0" xfId="0" applyFont="1" applyFill="1" applyAlignment="1">
      <alignment horizontal="center" vertical="center" wrapText="1"/>
    </xf>
    <xf numFmtId="0" fontId="1584" fillId="16" borderId="0" xfId="0" applyFont="1" applyFill="1" applyAlignment="1">
      <alignment vertical="center" wrapText="1"/>
    </xf>
    <xf numFmtId="0" fontId="3" fillId="16" borderId="0" xfId="0" applyFont="1" applyFill="1">
      <alignment vertical="center"/>
    </xf>
    <xf numFmtId="0" fontId="24" fillId="0" borderId="0" xfId="0" applyFont="1" applyAlignment="1">
      <alignment horizontal="center" vertical="center" wrapText="1"/>
    </xf>
    <xf numFmtId="0" fontId="4" fillId="0" borderId="25" xfId="0" applyFont="1" applyBorder="1" applyAlignment="1" applyProtection="1">
      <alignment horizontal="left" vertical="center" wrapText="1"/>
    </xf>
    <xf numFmtId="0" fontId="4" fillId="0" borderId="4" xfId="0" applyFont="1" applyBorder="1" applyAlignment="1" applyProtection="1">
      <alignment horizontal="left" vertical="center" wrapText="1"/>
    </xf>
    <xf numFmtId="0" fontId="46" fillId="0" borderId="3" xfId="0" applyFont="1" applyBorder="1" applyAlignment="1" applyProtection="1">
      <alignment horizontal="center" vertical="center" wrapText="1"/>
    </xf>
    <xf numFmtId="0" fontId="45" fillId="0" borderId="3" xfId="0" applyFont="1" applyBorder="1" applyAlignment="1" applyProtection="1">
      <alignment horizontal="center" vertical="top" wrapText="1"/>
    </xf>
    <xf numFmtId="0" fontId="33" fillId="0" borderId="0" xfId="0" applyFont="1" applyAlignment="1">
      <alignment horizontal="left" vertical="center" wrapText="1"/>
    </xf>
    <xf numFmtId="0" fontId="4" fillId="0" borderId="0" xfId="0" applyFont="1" applyAlignment="1">
      <alignment horizontal="left" vertical="center" wrapText="1"/>
    </xf>
    <xf numFmtId="0" fontId="32" fillId="0" borderId="0" xfId="0" applyFont="1" applyAlignment="1">
      <alignment horizontal="left" vertical="center"/>
    </xf>
    <xf numFmtId="0" fontId="4" fillId="4" borderId="25" xfId="0" applyFont="1" applyFill="1" applyBorder="1" applyAlignment="1" applyProtection="1">
      <alignment horizontal="center" vertical="center"/>
    </xf>
    <xf numFmtId="0" fontId="4" fillId="4" borderId="5" xfId="0" applyFont="1" applyFill="1" applyBorder="1" applyAlignment="1" applyProtection="1">
      <alignment horizontal="center" vertical="center"/>
    </xf>
    <xf numFmtId="0" fontId="4" fillId="4" borderId="4" xfId="0" applyFont="1" applyFill="1" applyBorder="1" applyAlignment="1" applyProtection="1">
      <alignment horizontal="center" vertical="center"/>
    </xf>
    <xf numFmtId="178" fontId="21" fillId="4" borderId="23" xfId="0" applyNumberFormat="1" applyFont="1" applyFill="1" applyBorder="1" applyAlignment="1" applyProtection="1">
      <alignment horizontal="center" vertical="center" wrapText="1"/>
    </xf>
    <xf numFmtId="178" fontId="21" fillId="4" borderId="24" xfId="0" applyNumberFormat="1" applyFont="1" applyFill="1" applyBorder="1" applyAlignment="1" applyProtection="1">
      <alignment horizontal="center" vertical="center" wrapText="1"/>
    </xf>
    <xf numFmtId="178" fontId="21" fillId="4" borderId="25" xfId="0" applyNumberFormat="1" applyFont="1" applyFill="1" applyBorder="1" applyAlignment="1" applyProtection="1">
      <alignment horizontal="center" vertical="center" wrapText="1"/>
    </xf>
    <xf numFmtId="178" fontId="21" fillId="4" borderId="4" xfId="0" applyNumberFormat="1" applyFont="1" applyFill="1" applyBorder="1" applyAlignment="1" applyProtection="1">
      <alignment horizontal="center" vertical="center" wrapText="1"/>
    </xf>
    <xf numFmtId="178" fontId="21" fillId="2" borderId="25" xfId="0" applyNumberFormat="1" applyFont="1" applyFill="1" applyBorder="1" applyAlignment="1" applyProtection="1">
      <alignment horizontal="center" vertical="center" wrapText="1"/>
    </xf>
    <xf numFmtId="178" fontId="21" fillId="2" borderId="4" xfId="0" applyNumberFormat="1" applyFont="1" applyFill="1" applyBorder="1" applyAlignment="1" applyProtection="1">
      <alignment horizontal="center" vertical="center" wrapText="1"/>
    </xf>
    <xf numFmtId="178" fontId="21" fillId="4" borderId="25" xfId="0" applyNumberFormat="1" applyFont="1" applyFill="1" applyBorder="1" applyAlignment="1" applyProtection="1">
      <alignment horizontal="left" vertical="center" wrapText="1"/>
    </xf>
    <xf numFmtId="178" fontId="21" fillId="4" borderId="5" xfId="0" applyNumberFormat="1" applyFont="1" applyFill="1" applyBorder="1" applyAlignment="1" applyProtection="1">
      <alignment horizontal="left" vertical="center" wrapText="1"/>
    </xf>
    <xf numFmtId="178" fontId="21" fillId="4" borderId="4" xfId="0" applyNumberFormat="1" applyFont="1" applyFill="1" applyBorder="1" applyAlignment="1" applyProtection="1">
      <alignment horizontal="left" vertical="center" wrapText="1"/>
    </xf>
    <xf numFmtId="0" fontId="4" fillId="4" borderId="3" xfId="0" applyFont="1" applyFill="1" applyBorder="1" applyAlignment="1" applyProtection="1">
      <alignment horizontal="center" vertical="center"/>
    </xf>
    <xf numFmtId="0" fontId="4" fillId="0" borderId="23" xfId="0" applyFont="1" applyBorder="1" applyAlignment="1" applyProtection="1">
      <alignment horizontal="center" vertical="center" wrapText="1"/>
    </xf>
    <xf numFmtId="0" fontId="4" fillId="0" borderId="15" xfId="0" applyFont="1" applyBorder="1" applyAlignment="1" applyProtection="1">
      <alignment horizontal="center" vertical="center" wrapText="1"/>
    </xf>
    <xf numFmtId="0" fontId="4" fillId="0" borderId="24" xfId="0" applyFont="1" applyBorder="1" applyAlignment="1" applyProtection="1">
      <alignment horizontal="center" vertical="center" wrapText="1"/>
    </xf>
    <xf numFmtId="178" fontId="31" fillId="4" borderId="25" xfId="0" applyNumberFormat="1" applyFont="1" applyFill="1" applyBorder="1" applyAlignment="1" applyProtection="1">
      <alignment horizontal="center" vertical="center" wrapText="1"/>
    </xf>
    <xf numFmtId="178" fontId="31" fillId="4" borderId="5" xfId="0" applyNumberFormat="1" applyFont="1" applyFill="1" applyBorder="1" applyAlignment="1" applyProtection="1">
      <alignment horizontal="center" vertical="center" wrapText="1"/>
    </xf>
    <xf numFmtId="178" fontId="31" fillId="4" borderId="4" xfId="0" applyNumberFormat="1" applyFont="1" applyFill="1" applyBorder="1" applyAlignment="1" applyProtection="1">
      <alignment horizontal="center" vertical="center" wrapText="1"/>
    </xf>
    <xf numFmtId="178" fontId="21" fillId="0" borderId="25" xfId="0" applyNumberFormat="1" applyFont="1" applyBorder="1" applyAlignment="1" applyProtection="1">
      <alignment horizontal="right" vertical="center" wrapText="1"/>
    </xf>
    <xf numFmtId="178" fontId="21" fillId="0" borderId="4" xfId="0" applyNumberFormat="1" applyFont="1" applyBorder="1" applyAlignment="1" applyProtection="1">
      <alignment horizontal="right" vertical="center" wrapText="1"/>
    </xf>
    <xf numFmtId="178" fontId="21" fillId="4" borderId="34" xfId="0" applyNumberFormat="1" applyFont="1" applyFill="1" applyBorder="1" applyAlignment="1" applyProtection="1">
      <alignment horizontal="center" vertical="center" wrapText="1"/>
    </xf>
    <xf numFmtId="178" fontId="21" fillId="4" borderId="7" xfId="0" applyNumberFormat="1" applyFont="1" applyFill="1" applyBorder="1" applyAlignment="1" applyProtection="1">
      <alignment horizontal="center" vertical="center" wrapText="1"/>
    </xf>
    <xf numFmtId="178" fontId="21" fillId="4" borderId="26" xfId="0" applyNumberFormat="1" applyFont="1" applyFill="1" applyBorder="1" applyAlignment="1" applyProtection="1">
      <alignment horizontal="center" vertical="center" wrapText="1"/>
    </xf>
    <xf numFmtId="178" fontId="21" fillId="4" borderId="9" xfId="0" applyNumberFormat="1" applyFont="1" applyFill="1" applyBorder="1" applyAlignment="1" applyProtection="1">
      <alignment horizontal="center" vertical="center" wrapText="1"/>
    </xf>
    <xf numFmtId="178" fontId="21" fillId="4" borderId="29" xfId="0" applyNumberFormat="1" applyFont="1" applyFill="1" applyBorder="1" applyAlignment="1" applyProtection="1">
      <alignment horizontal="center" vertical="center" wrapText="1"/>
    </xf>
    <xf numFmtId="178" fontId="21" fillId="4" borderId="10" xfId="0" applyNumberFormat="1" applyFont="1" applyFill="1" applyBorder="1" applyAlignment="1" applyProtection="1">
      <alignment horizontal="center" vertical="center" wrapText="1"/>
    </xf>
    <xf numFmtId="178" fontId="21" fillId="4" borderId="15" xfId="0" applyNumberFormat="1" applyFont="1" applyFill="1" applyBorder="1" applyAlignment="1" applyProtection="1">
      <alignment horizontal="center" vertical="center" wrapText="1"/>
    </xf>
    <xf numFmtId="0" fontId="4" fillId="0" borderId="25" xfId="0" applyFont="1" applyBorder="1" applyAlignment="1" applyProtection="1">
      <alignment horizontal="center" vertical="center" wrapText="1"/>
    </xf>
    <xf numFmtId="0" fontId="4" fillId="0" borderId="4" xfId="0" applyFont="1" applyBorder="1" applyAlignment="1" applyProtection="1">
      <alignment horizontal="center" vertical="center" wrapText="1"/>
    </xf>
    <xf numFmtId="178" fontId="21" fillId="0" borderId="23" xfId="0" applyNumberFormat="1" applyFont="1" applyBorder="1" applyAlignment="1" applyProtection="1">
      <alignment horizontal="center" vertical="center" wrapText="1"/>
    </xf>
    <xf numFmtId="178" fontId="21" fillId="0" borderId="24" xfId="0" applyNumberFormat="1" applyFont="1" applyBorder="1" applyAlignment="1" applyProtection="1">
      <alignment horizontal="center" vertical="center" wrapText="1"/>
    </xf>
    <xf numFmtId="178" fontId="21" fillId="0" borderId="25" xfId="0" applyNumberFormat="1" applyFont="1" applyBorder="1" applyAlignment="1" applyProtection="1">
      <alignment horizontal="center" vertical="center" wrapText="1"/>
    </xf>
    <xf numFmtId="178" fontId="21" fillId="0" borderId="4" xfId="0" applyNumberFormat="1" applyFont="1" applyBorder="1" applyAlignment="1" applyProtection="1">
      <alignment horizontal="center" vertical="center" wrapText="1"/>
    </xf>
    <xf numFmtId="49" fontId="5" fillId="0" borderId="25" xfId="0" applyNumberFormat="1" applyFont="1" applyBorder="1" applyAlignment="1" applyProtection="1">
      <alignment horizontal="center" vertical="center" wrapText="1"/>
    </xf>
    <xf numFmtId="49" fontId="5" fillId="0" borderId="5" xfId="0" applyNumberFormat="1" applyFont="1" applyBorder="1" applyAlignment="1" applyProtection="1">
      <alignment horizontal="center" vertical="center" wrapText="1"/>
    </xf>
    <xf numFmtId="49" fontId="5" fillId="0" borderId="4" xfId="0" applyNumberFormat="1" applyFont="1" applyBorder="1" applyAlignment="1" applyProtection="1">
      <alignment horizontal="center" vertical="center" wrapText="1"/>
    </xf>
    <xf numFmtId="0" fontId="8" fillId="0" borderId="25" xfId="0" applyFont="1" applyBorder="1" applyAlignment="1" applyProtection="1">
      <alignment horizontal="center" vertical="center"/>
    </xf>
    <xf numFmtId="0" fontId="8" fillId="0" borderId="5" xfId="0" applyFont="1" applyBorder="1" applyAlignment="1" applyProtection="1">
      <alignment horizontal="center" vertical="center"/>
    </xf>
    <xf numFmtId="0" fontId="8" fillId="0" borderId="4" xfId="0" applyFont="1" applyBorder="1" applyAlignment="1" applyProtection="1">
      <alignment horizontal="center" vertical="center"/>
    </xf>
    <xf numFmtId="0" fontId="4" fillId="0" borderId="3" xfId="0" applyFont="1" applyBorder="1" applyAlignment="1" applyProtection="1">
      <alignment horizontal="center" vertical="center"/>
    </xf>
    <xf numFmtId="178" fontId="21" fillId="4" borderId="5" xfId="0" applyNumberFormat="1" applyFont="1" applyFill="1" applyBorder="1" applyAlignment="1" applyProtection="1">
      <alignment horizontal="center" vertical="center" wrapText="1"/>
    </xf>
    <xf numFmtId="178" fontId="21" fillId="4" borderId="25" xfId="0" applyNumberFormat="1" applyFont="1" applyFill="1" applyBorder="1" applyAlignment="1" applyProtection="1">
      <alignment horizontal="center" vertical="center" shrinkToFit="1"/>
    </xf>
    <xf numFmtId="178" fontId="21" fillId="4" borderId="4" xfId="0" applyNumberFormat="1" applyFont="1" applyFill="1" applyBorder="1" applyAlignment="1" applyProtection="1">
      <alignment horizontal="center" vertical="center" shrinkToFit="1"/>
    </xf>
    <xf numFmtId="178" fontId="30" fillId="4" borderId="23" xfId="0" applyNumberFormat="1" applyFont="1" applyFill="1" applyBorder="1" applyAlignment="1" applyProtection="1">
      <alignment horizontal="center" vertical="center" wrapText="1"/>
    </xf>
    <xf numFmtId="178" fontId="30" fillId="4" borderId="15" xfId="0" applyNumberFormat="1" applyFont="1" applyFill="1" applyBorder="1" applyAlignment="1" applyProtection="1">
      <alignment horizontal="center" vertical="center" wrapText="1"/>
    </xf>
    <xf numFmtId="178" fontId="30" fillId="4" borderId="24" xfId="0" applyNumberFormat="1" applyFont="1" applyFill="1" applyBorder="1" applyAlignment="1" applyProtection="1">
      <alignment horizontal="center" vertical="center" wrapText="1"/>
    </xf>
    <xf numFmtId="0" fontId="34" fillId="4" borderId="3" xfId="0" applyFont="1" applyFill="1" applyBorder="1" applyAlignment="1" applyProtection="1">
      <alignment horizontal="center" vertical="center" wrapText="1"/>
    </xf>
    <xf numFmtId="0" fontId="4" fillId="0" borderId="3" xfId="0" applyFont="1" applyBorder="1" applyAlignment="1" applyProtection="1">
      <alignment horizontal="left" vertical="center"/>
    </xf>
  </cellXfs>
  <cellStyles count="1">
    <cellStyle name="常规" xfId="0" builtinId="0"/>
  </cellStyles>
  <dxfs count="41">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685800</xdr:rowOff>
    </xdr:from>
    <xdr:ext cx="11483340" cy="1156970"/>
    <xdr:pic>
      <xdr:nvPicPr>
        <xdr:cNvPr id="2" name="图片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0" y="5524500"/>
          <a:ext cx="11483340" cy="1156970"/>
        </a:xfrm>
        <a:prstGeom prst="rect">
          <a:avLst/>
        </a:prstGeom>
      </xdr:spPr>
    </xdr:pic>
    <xdr:clientData/>
  </xdr:oneCellAnchor>
  <xdr:oneCellAnchor>
    <xdr:from>
      <xdr:col>1</xdr:col>
      <xdr:colOff>154305</xdr:colOff>
      <xdr:row>2</xdr:row>
      <xdr:rowOff>1163955</xdr:rowOff>
    </xdr:from>
    <xdr:ext cx="10617835" cy="6426835"/>
    <xdr:pic>
      <xdr:nvPicPr>
        <xdr:cNvPr id="3" name="图片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tretch>
          <a:fillRect/>
        </a:stretch>
      </xdr:blipFill>
      <xdr:spPr>
        <a:xfrm>
          <a:off x="506730" y="6688455"/>
          <a:ext cx="10617835" cy="642683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9F2C-8078-4D5F-9230-67811D84D76C}">
  <sheetPr>
    <outlinePr summaryBelow="0" summaryRight="0"/>
  </sheetPr>
  <dimension ref="A1:E82"/>
  <sheetViews>
    <sheetView tabSelected="1" topLeftCell="A29" workbookViewId="0"/>
  </sheetViews>
  <sheetFormatPr defaultColWidth="8.875" defaultRowHeight="14.25" customHeight="1"/>
  <cols>
    <col min="2" max="2" width="71.125" style="254" customWidth="1"/>
    <col min="4" max="4" width="9.625" style="254"/>
    <col min="5" max="5" width="45.625" style="254" customWidth="1"/>
  </cols>
  <sheetData>
    <row r="1" spans="1:5" ht="14.25" customHeight="1">
      <c r="A1" s="593" t="s">
        <v>0</v>
      </c>
      <c r="B1" s="593" t="s">
        <v>1</v>
      </c>
      <c r="C1" s="593" t="s">
        <v>2</v>
      </c>
      <c r="D1" s="593" t="s">
        <v>3</v>
      </c>
    </row>
    <row r="2" spans="1:5" ht="14.25" customHeight="1">
      <c r="A2" s="593"/>
      <c r="B2" s="593" t="s">
        <v>4</v>
      </c>
      <c r="C2" s="593" t="s">
        <v>5</v>
      </c>
      <c r="D2" s="593">
        <v>20250611</v>
      </c>
    </row>
    <row r="3" spans="1:5" ht="27.75" customHeight="1">
      <c r="A3" s="593"/>
      <c r="B3" s="1556" t="s">
        <v>6</v>
      </c>
      <c r="C3" s="593" t="s">
        <v>7</v>
      </c>
      <c r="D3" s="593">
        <v>20250626</v>
      </c>
      <c r="E3" s="254" t="s">
        <v>8</v>
      </c>
    </row>
    <row r="4" spans="1:5" ht="14.25" customHeight="1">
      <c r="A4" s="593"/>
      <c r="B4" s="593" t="s">
        <v>9</v>
      </c>
      <c r="C4" s="593" t="s">
        <v>5</v>
      </c>
      <c r="D4" s="593">
        <v>20250708</v>
      </c>
    </row>
    <row r="5" spans="1:5" ht="14.25" customHeight="1">
      <c r="A5" s="593"/>
      <c r="B5" s="593" t="s">
        <v>10</v>
      </c>
      <c r="C5" s="593" t="s">
        <v>7</v>
      </c>
      <c r="D5" s="593">
        <v>20250805</v>
      </c>
    </row>
    <row r="6" spans="1:5" ht="14.25" customHeight="1">
      <c r="A6" s="593"/>
      <c r="B6" s="593" t="s">
        <v>11</v>
      </c>
      <c r="C6" s="593" t="s">
        <v>7</v>
      </c>
      <c r="D6" s="593">
        <v>20250818</v>
      </c>
    </row>
    <row r="7" spans="1:5" ht="14.25" customHeight="1">
      <c r="A7" s="593"/>
      <c r="B7" s="581" t="s">
        <v>12</v>
      </c>
      <c r="C7" s="581" t="s">
        <v>5</v>
      </c>
      <c r="D7" s="581">
        <v>20250915</v>
      </c>
    </row>
    <row r="8" spans="1:5" ht="14.25" customHeight="1">
      <c r="A8" s="1032"/>
      <c r="B8" s="1181" t="s">
        <v>13</v>
      </c>
      <c r="C8" s="1181" t="s">
        <v>7</v>
      </c>
      <c r="D8" s="1181">
        <v>20251007</v>
      </c>
      <c r="E8" s="1103"/>
    </row>
    <row r="9" spans="1:5" ht="14.25" customHeight="1">
      <c r="A9" s="1032"/>
      <c r="B9" s="1181" t="s">
        <v>14</v>
      </c>
      <c r="C9" s="1181" t="s">
        <v>5</v>
      </c>
      <c r="D9" s="1181">
        <v>20251111</v>
      </c>
      <c r="E9" s="1103"/>
    </row>
    <row r="10" spans="1:5" ht="14.25" customHeight="1">
      <c r="A10" s="1032"/>
      <c r="B10" s="1181" t="s">
        <v>15</v>
      </c>
      <c r="C10" s="1181" t="s">
        <v>16</v>
      </c>
      <c r="D10" s="1181">
        <v>20251111</v>
      </c>
      <c r="E10" s="1103"/>
    </row>
    <row r="11" spans="1:5" ht="14.25" customHeight="1">
      <c r="A11" s="1032"/>
      <c r="B11" s="1181" t="s">
        <v>17</v>
      </c>
      <c r="C11" s="1181" t="s">
        <v>16</v>
      </c>
      <c r="D11" s="1181">
        <v>20251112</v>
      </c>
      <c r="E11" s="1103"/>
    </row>
    <row r="12" spans="1:5" ht="14.25" customHeight="1">
      <c r="A12" s="1032"/>
      <c r="B12" s="1181" t="s">
        <v>18</v>
      </c>
      <c r="C12" s="1181" t="s">
        <v>16</v>
      </c>
      <c r="D12" s="1181">
        <v>20251124</v>
      </c>
      <c r="E12" s="1103"/>
    </row>
    <row r="13" spans="1:5" ht="14.25" customHeight="1">
      <c r="A13" s="1032"/>
      <c r="B13" s="1181" t="s">
        <v>19</v>
      </c>
      <c r="C13" s="1181" t="s">
        <v>20</v>
      </c>
      <c r="D13" s="1181">
        <v>20251126</v>
      </c>
      <c r="E13" s="1103"/>
    </row>
    <row r="14" spans="1:5" ht="14.25" customHeight="1">
      <c r="A14" s="1032"/>
      <c r="B14" s="1181" t="s">
        <v>21</v>
      </c>
      <c r="C14" s="1181" t="s">
        <v>16</v>
      </c>
      <c r="D14" s="1181">
        <v>20251126</v>
      </c>
      <c r="E14" s="1103"/>
    </row>
    <row r="15" spans="1:5" ht="14.25" customHeight="1">
      <c r="A15" s="1032"/>
      <c r="B15" s="1181" t="s">
        <v>22</v>
      </c>
      <c r="C15" s="1181" t="s">
        <v>5</v>
      </c>
      <c r="D15" s="1181">
        <v>20251126</v>
      </c>
      <c r="E15" s="1103"/>
    </row>
    <row r="16" spans="1:5" ht="14.25" customHeight="1">
      <c r="A16" s="1032"/>
      <c r="B16" s="1181" t="s">
        <v>23</v>
      </c>
      <c r="C16" s="1181" t="s">
        <v>16</v>
      </c>
      <c r="D16" s="1181">
        <v>20251126</v>
      </c>
      <c r="E16" s="1103"/>
    </row>
    <row r="17" spans="1:5" ht="14.25" customHeight="1">
      <c r="A17" s="1032"/>
      <c r="B17" s="1181" t="s">
        <v>24</v>
      </c>
      <c r="C17" s="1181" t="s">
        <v>16</v>
      </c>
      <c r="D17" s="1181">
        <v>20251127</v>
      </c>
      <c r="E17" s="1103"/>
    </row>
    <row r="18" spans="1:5" ht="27.75" customHeight="1">
      <c r="B18" s="1557" t="s">
        <v>25</v>
      </c>
      <c r="C18" s="1181" t="s">
        <v>16</v>
      </c>
      <c r="D18" s="1181">
        <v>20251201</v>
      </c>
      <c r="E18" s="1103"/>
    </row>
    <row r="19" spans="1:5" ht="14.25" customHeight="1">
      <c r="B19" s="1181" t="s">
        <v>26</v>
      </c>
      <c r="C19" s="1181" t="s">
        <v>27</v>
      </c>
      <c r="D19" s="1181">
        <v>20251205</v>
      </c>
      <c r="E19" s="1103"/>
    </row>
    <row r="20" spans="1:5" ht="54.75" customHeight="1">
      <c r="B20" s="1558" t="s">
        <v>28</v>
      </c>
      <c r="C20" s="1181" t="s">
        <v>16</v>
      </c>
      <c r="D20" s="1181">
        <v>20251208</v>
      </c>
      <c r="E20" s="1103"/>
    </row>
    <row r="21" spans="1:5" ht="14.25" customHeight="1">
      <c r="B21" s="1181" t="s">
        <v>29</v>
      </c>
      <c r="C21" s="1181" t="s">
        <v>5</v>
      </c>
      <c r="D21" s="1181"/>
      <c r="E21" s="1103"/>
    </row>
    <row r="22" spans="1:5" ht="14.25" customHeight="1">
      <c r="B22" s="1181" t="s">
        <v>30</v>
      </c>
      <c r="C22" s="1181" t="s">
        <v>5</v>
      </c>
      <c r="D22" s="1181"/>
      <c r="E22" s="1103"/>
    </row>
    <row r="23" spans="1:5" ht="14.25" customHeight="1">
      <c r="B23" s="1181" t="s">
        <v>31</v>
      </c>
      <c r="C23" s="1181" t="s">
        <v>5</v>
      </c>
      <c r="D23" s="1181"/>
      <c r="E23" s="1103"/>
    </row>
    <row r="24" spans="1:5" ht="14.25" customHeight="1">
      <c r="B24" s="1181" t="s">
        <v>32</v>
      </c>
      <c r="C24" s="1181" t="s">
        <v>5</v>
      </c>
      <c r="D24" s="1181"/>
      <c r="E24" s="1103"/>
    </row>
    <row r="25" spans="1:5" ht="14.25" customHeight="1">
      <c r="B25" s="1181" t="s">
        <v>33</v>
      </c>
      <c r="C25" s="1181" t="s">
        <v>5</v>
      </c>
      <c r="D25" s="1181"/>
      <c r="E25" s="1103"/>
    </row>
    <row r="26" spans="1:5" ht="14.25" customHeight="1">
      <c r="B26" s="1181" t="s">
        <v>34</v>
      </c>
      <c r="C26" s="1181" t="s">
        <v>5</v>
      </c>
      <c r="D26" s="1181"/>
      <c r="E26" s="1103"/>
    </row>
    <row r="27" spans="1:5" ht="14.25" customHeight="1">
      <c r="B27" s="1181" t="s">
        <v>35</v>
      </c>
      <c r="C27" s="1181" t="s">
        <v>5</v>
      </c>
      <c r="D27" s="1181"/>
      <c r="E27" s="1103"/>
    </row>
    <row r="28" spans="1:5" ht="14.25" customHeight="1">
      <c r="B28" s="1181" t="s">
        <v>36</v>
      </c>
      <c r="C28" s="1181" t="s">
        <v>5</v>
      </c>
      <c r="D28" s="1181"/>
      <c r="E28" s="1103"/>
    </row>
    <row r="29" spans="1:5" ht="14.25" customHeight="1">
      <c r="B29" s="1181" t="s">
        <v>37</v>
      </c>
      <c r="C29" s="1181" t="s">
        <v>5</v>
      </c>
      <c r="D29" s="1181">
        <v>20251216</v>
      </c>
      <c r="E29" s="1103"/>
    </row>
    <row r="30" spans="1:5" ht="27.75" customHeight="1">
      <c r="B30" s="1559" t="s">
        <v>38</v>
      </c>
      <c r="C30" s="1181" t="s">
        <v>5</v>
      </c>
      <c r="D30" s="1181">
        <v>20251216</v>
      </c>
      <c r="E30" s="1103"/>
    </row>
    <row r="31" spans="1:5" ht="14.25" customHeight="1">
      <c r="B31" s="1181" t="s">
        <v>39</v>
      </c>
      <c r="C31" s="1181" t="s">
        <v>5</v>
      </c>
      <c r="D31" s="1181">
        <v>20251217</v>
      </c>
      <c r="E31" s="1103"/>
    </row>
    <row r="32" spans="1:5" ht="27.75" customHeight="1">
      <c r="B32" s="1419" t="s">
        <v>40</v>
      </c>
      <c r="C32" s="1181" t="s">
        <v>5</v>
      </c>
      <c r="D32" s="1181">
        <v>20251218</v>
      </c>
      <c r="E32" s="1103"/>
    </row>
    <row r="33" spans="2:5" ht="14.25" customHeight="1">
      <c r="B33" s="1181" t="s">
        <v>41</v>
      </c>
      <c r="C33" s="1181" t="s">
        <v>5</v>
      </c>
      <c r="D33" s="1181">
        <v>20251220</v>
      </c>
      <c r="E33" s="1103"/>
    </row>
    <row r="34" spans="2:5" ht="14.25" customHeight="1">
      <c r="B34" s="1181" t="s">
        <v>42</v>
      </c>
      <c r="C34" s="1181" t="s">
        <v>16</v>
      </c>
      <c r="D34" s="1181">
        <v>20251223</v>
      </c>
      <c r="E34" s="1103"/>
    </row>
    <row r="35" spans="2:5" ht="14.25" customHeight="1">
      <c r="B35" s="1181" t="s">
        <v>43</v>
      </c>
      <c r="C35" s="1181" t="s">
        <v>27</v>
      </c>
      <c r="D35" s="1181">
        <v>20251225</v>
      </c>
      <c r="E35" s="1103"/>
    </row>
    <row r="36" spans="2:5" ht="14.25" customHeight="1">
      <c r="B36" s="1181" t="s">
        <v>44</v>
      </c>
      <c r="C36" s="1181" t="s">
        <v>20</v>
      </c>
      <c r="D36" s="1181">
        <v>20260106</v>
      </c>
      <c r="E36" s="1103"/>
    </row>
    <row r="37" spans="2:5" ht="14.25" customHeight="1">
      <c r="B37" s="1181" t="s">
        <v>45</v>
      </c>
      <c r="C37" s="1181" t="s">
        <v>5</v>
      </c>
      <c r="D37" s="1181">
        <v>20260113</v>
      </c>
      <c r="E37" s="1103"/>
    </row>
    <row r="38" spans="2:5" ht="14.25" customHeight="1">
      <c r="B38" s="1181" t="s">
        <v>46</v>
      </c>
      <c r="C38" s="1181" t="s">
        <v>27</v>
      </c>
      <c r="D38" s="1181">
        <v>20260119</v>
      </c>
      <c r="E38" s="1103"/>
    </row>
    <row r="39" spans="2:5" ht="14.25" customHeight="1">
      <c r="B39" s="1181" t="s">
        <v>47</v>
      </c>
      <c r="C39" s="1181" t="s">
        <v>16</v>
      </c>
      <c r="D39" s="1181">
        <v>20260129</v>
      </c>
      <c r="E39" s="1103"/>
    </row>
    <row r="40" spans="2:5" ht="14.25" customHeight="1">
      <c r="B40" s="1181" t="s">
        <v>48</v>
      </c>
      <c r="C40" s="1181" t="s">
        <v>27</v>
      </c>
      <c r="D40" s="1181">
        <v>20260304</v>
      </c>
      <c r="E40" s="1103"/>
    </row>
    <row r="41" spans="2:5" ht="14.25" customHeight="1">
      <c r="B41" s="1181" t="s">
        <v>49</v>
      </c>
      <c r="C41" s="1432" t="s">
        <v>16</v>
      </c>
      <c r="D41" s="1181">
        <v>20260304</v>
      </c>
      <c r="E41" s="1103"/>
    </row>
    <row r="42" spans="2:5" ht="14.25" customHeight="1">
      <c r="B42" s="1181" t="s">
        <v>50</v>
      </c>
      <c r="C42" s="1432" t="s">
        <v>16</v>
      </c>
      <c r="D42" s="1181">
        <v>20260311</v>
      </c>
      <c r="E42" s="1103"/>
    </row>
    <row r="43" spans="2:5" ht="27.75" customHeight="1">
      <c r="B43" s="1419" t="s">
        <v>51</v>
      </c>
      <c r="C43" s="1432" t="s">
        <v>16</v>
      </c>
      <c r="D43" s="1181">
        <v>20260311</v>
      </c>
      <c r="E43" s="1103"/>
    </row>
    <row r="44" spans="2:5" ht="14.25" customHeight="1">
      <c r="B44" s="1181" t="s">
        <v>52</v>
      </c>
      <c r="C44" s="1432" t="s">
        <v>27</v>
      </c>
      <c r="D44" s="1181">
        <v>20260316</v>
      </c>
      <c r="E44" s="1103"/>
    </row>
    <row r="45" spans="2:5" ht="14.25" customHeight="1">
      <c r="B45" s="1181" t="s">
        <v>53</v>
      </c>
      <c r="C45" s="1442" t="s">
        <v>16</v>
      </c>
      <c r="D45" s="1181">
        <v>20260317</v>
      </c>
      <c r="E45" s="1103"/>
    </row>
    <row r="46" spans="2:5" ht="14.25" customHeight="1">
      <c r="B46" s="1181" t="s">
        <v>54</v>
      </c>
      <c r="C46" s="1442" t="s">
        <v>16</v>
      </c>
      <c r="D46" s="1181">
        <v>20260319</v>
      </c>
      <c r="E46" s="1103"/>
    </row>
    <row r="47" spans="2:5" ht="54.75" customHeight="1">
      <c r="B47" s="1560" t="s">
        <v>55</v>
      </c>
      <c r="C47" s="1442" t="s">
        <v>16</v>
      </c>
      <c r="D47" s="1181">
        <v>20260320</v>
      </c>
      <c r="E47" s="1103"/>
    </row>
    <row r="48" spans="2:5" ht="27.75" customHeight="1">
      <c r="B48" s="1561" t="s">
        <v>56</v>
      </c>
      <c r="C48" s="1442" t="s">
        <v>16</v>
      </c>
      <c r="D48" s="1181">
        <v>20260324</v>
      </c>
      <c r="E48" s="1103"/>
    </row>
    <row r="49" spans="2:5" ht="54.75" customHeight="1">
      <c r="B49" s="1562" t="s">
        <v>57</v>
      </c>
      <c r="C49" s="1442" t="s">
        <v>16</v>
      </c>
      <c r="D49" s="1181">
        <v>20260325</v>
      </c>
      <c r="E49" s="1103"/>
    </row>
    <row r="50" spans="2:5" ht="14.25" customHeight="1">
      <c r="B50" s="1181" t="s">
        <v>58</v>
      </c>
      <c r="C50" s="1442" t="s">
        <v>16</v>
      </c>
      <c r="D50" s="1181">
        <v>20260326</v>
      </c>
      <c r="E50" s="1103"/>
    </row>
    <row r="51" spans="2:5" ht="14.25" customHeight="1">
      <c r="B51" s="1181" t="s">
        <v>59</v>
      </c>
      <c r="C51" s="1442" t="s">
        <v>16</v>
      </c>
      <c r="D51" s="1181">
        <v>20260327</v>
      </c>
      <c r="E51" s="1103"/>
    </row>
    <row r="52" spans="2:5" ht="14.25" customHeight="1">
      <c r="B52" s="1181" t="s">
        <v>60</v>
      </c>
      <c r="C52" s="1442" t="s">
        <v>16</v>
      </c>
      <c r="D52" s="1181">
        <v>20260331</v>
      </c>
      <c r="E52" s="1103"/>
    </row>
    <row r="53" spans="2:5" ht="189.75" customHeight="1">
      <c r="B53" s="1563" t="s">
        <v>61</v>
      </c>
      <c r="C53" s="1442" t="s">
        <v>16</v>
      </c>
      <c r="D53" s="1181">
        <v>20260402</v>
      </c>
      <c r="E53" s="1103"/>
    </row>
    <row r="54" spans="2:5" ht="14.25" customHeight="1">
      <c r="B54" s="1181" t="s">
        <v>62</v>
      </c>
      <c r="C54" s="1442" t="s">
        <v>16</v>
      </c>
      <c r="D54" s="1181">
        <v>20260403</v>
      </c>
      <c r="E54" s="1103"/>
    </row>
    <row r="55" spans="2:5" ht="14.25" customHeight="1">
      <c r="B55" s="1181" t="s">
        <v>63</v>
      </c>
      <c r="C55" s="1442" t="s">
        <v>16</v>
      </c>
      <c r="D55" s="1181">
        <v>20260407</v>
      </c>
      <c r="E55" s="1103"/>
    </row>
    <row r="56" spans="2:5" ht="14.25" customHeight="1">
      <c r="B56" s="1181" t="s">
        <v>64</v>
      </c>
      <c r="C56" s="1442" t="s">
        <v>16</v>
      </c>
      <c r="D56" s="1181">
        <v>20260409</v>
      </c>
      <c r="E56" s="1103"/>
    </row>
    <row r="57" spans="2:5" ht="14.25" customHeight="1">
      <c r="B57" s="1181" t="s">
        <v>65</v>
      </c>
      <c r="C57" s="1442" t="s">
        <v>16</v>
      </c>
      <c r="D57" s="1181">
        <v>20260413</v>
      </c>
      <c r="E57" s="1103"/>
    </row>
    <row r="58" spans="2:5" ht="41.25" customHeight="1">
      <c r="B58" s="1564" t="s">
        <v>66</v>
      </c>
      <c r="C58" s="1442" t="s">
        <v>16</v>
      </c>
      <c r="D58" s="1181">
        <v>20260420</v>
      </c>
      <c r="E58" s="1103"/>
    </row>
    <row r="59" spans="2:5" ht="162.75" customHeight="1">
      <c r="B59" s="1565" t="s">
        <v>67</v>
      </c>
      <c r="C59" s="1442" t="s">
        <v>16</v>
      </c>
      <c r="D59" s="1181">
        <v>20260421</v>
      </c>
      <c r="E59" s="1103"/>
    </row>
    <row r="60" spans="2:5" ht="68.25" customHeight="1">
      <c r="B60" s="1566" t="s">
        <v>68</v>
      </c>
      <c r="C60" s="1442" t="s">
        <v>16</v>
      </c>
      <c r="D60" s="1181">
        <v>20260422</v>
      </c>
      <c r="E60" s="1103"/>
    </row>
    <row r="61" spans="2:5" ht="27.75" customHeight="1">
      <c r="B61" s="1567" t="s">
        <v>69</v>
      </c>
      <c r="C61" s="1442" t="s">
        <v>70</v>
      </c>
      <c r="D61" s="1181">
        <v>20260423</v>
      </c>
      <c r="E61" s="1103"/>
    </row>
    <row r="62" spans="2:5" ht="14.25" customHeight="1">
      <c r="B62" s="1181" t="s">
        <v>71</v>
      </c>
      <c r="C62" s="1442" t="s">
        <v>70</v>
      </c>
      <c r="D62" s="1181">
        <v>20260427</v>
      </c>
      <c r="E62" s="1103"/>
    </row>
    <row r="63" spans="2:5" ht="14.25" customHeight="1">
      <c r="B63" s="1181" t="s">
        <v>72</v>
      </c>
      <c r="C63" s="1442" t="s">
        <v>16</v>
      </c>
      <c r="D63" s="1181">
        <v>20260427</v>
      </c>
      <c r="E63" s="1103"/>
    </row>
    <row r="64" spans="2:5" ht="14.25" customHeight="1">
      <c r="B64" s="1181" t="s">
        <v>73</v>
      </c>
      <c r="C64" s="1442" t="s">
        <v>16</v>
      </c>
      <c r="D64" s="1181">
        <v>20260506</v>
      </c>
      <c r="E64" s="1103"/>
    </row>
    <row r="65" spans="2:5" ht="14.25" customHeight="1">
      <c r="B65" s="1181" t="s">
        <v>74</v>
      </c>
      <c r="C65" s="1442" t="s">
        <v>16</v>
      </c>
      <c r="D65" s="1181">
        <v>20260515</v>
      </c>
      <c r="E65" s="1103"/>
    </row>
    <row r="66" spans="2:5" ht="14.25" customHeight="1">
      <c r="B66" s="1468" t="s">
        <v>75</v>
      </c>
      <c r="C66" s="1442" t="s">
        <v>16</v>
      </c>
      <c r="D66" s="1181">
        <v>20260518</v>
      </c>
      <c r="E66" s="1103"/>
    </row>
    <row r="67" spans="2:5" ht="164.25" customHeight="1">
      <c r="B67" s="1568" t="s">
        <v>76</v>
      </c>
      <c r="C67" s="1442" t="s">
        <v>16</v>
      </c>
      <c r="D67" s="1181">
        <v>20260521</v>
      </c>
      <c r="E67" s="1103"/>
    </row>
    <row r="68" spans="2:5" ht="14.25" customHeight="1">
      <c r="B68" s="1468" t="s">
        <v>77</v>
      </c>
      <c r="C68" s="1554" t="s">
        <v>16</v>
      </c>
      <c r="D68" s="1468">
        <v>20260604</v>
      </c>
      <c r="E68" s="1103"/>
    </row>
    <row r="69" spans="2:5" ht="14.25" customHeight="1">
      <c r="B69" s="581" t="s">
        <v>78</v>
      </c>
      <c r="C69" s="1205" t="s">
        <v>16</v>
      </c>
      <c r="D69" s="581">
        <v>20260609</v>
      </c>
      <c r="E69" s="1295"/>
    </row>
    <row r="70" spans="2:5" ht="14.25" customHeight="1">
      <c r="B70" s="1468" t="s">
        <v>79</v>
      </c>
      <c r="C70" s="1554" t="s">
        <v>16</v>
      </c>
      <c r="D70" s="1468">
        <v>20260609</v>
      </c>
      <c r="E70" s="1295"/>
    </row>
    <row r="71" spans="2:5" ht="14.25" customHeight="1">
      <c r="B71" s="1468" t="s">
        <v>80</v>
      </c>
      <c r="C71" s="1554" t="s">
        <v>16</v>
      </c>
      <c r="D71" s="1468">
        <v>20260612</v>
      </c>
      <c r="E71" s="1295"/>
    </row>
    <row r="72" spans="2:5" ht="14.25" customHeight="1">
      <c r="B72" s="1468" t="s">
        <v>81</v>
      </c>
      <c r="C72" s="1554" t="s">
        <v>16</v>
      </c>
      <c r="D72" s="1468">
        <v>20260616</v>
      </c>
      <c r="E72" s="1295"/>
    </row>
    <row r="73" spans="2:5" ht="14.25" customHeight="1">
      <c r="B73" s="1468" t="s">
        <v>82</v>
      </c>
      <c r="C73" s="1554" t="s">
        <v>16</v>
      </c>
      <c r="D73" s="1468">
        <v>20260623</v>
      </c>
      <c r="E73" s="1295"/>
    </row>
    <row r="74" spans="2:5" ht="14.25" customHeight="1">
      <c r="B74" s="1468" t="s">
        <v>83</v>
      </c>
      <c r="C74" s="1554" t="s">
        <v>16</v>
      </c>
      <c r="D74" s="1468">
        <v>20260624</v>
      </c>
      <c r="E74" s="1295"/>
    </row>
    <row r="75" spans="2:5" ht="14.25" customHeight="1">
      <c r="B75" s="1468" t="s">
        <v>84</v>
      </c>
      <c r="C75" s="1554" t="s">
        <v>16</v>
      </c>
      <c r="D75" s="1468">
        <v>20260624</v>
      </c>
      <c r="E75" s="1295"/>
    </row>
    <row r="76" spans="2:5" ht="14.25" customHeight="1">
      <c r="B76" s="1468" t="s">
        <v>85</v>
      </c>
      <c r="C76" s="1554" t="s">
        <v>16</v>
      </c>
      <c r="D76" s="1468">
        <v>20260710</v>
      </c>
      <c r="E76" s="1295"/>
    </row>
    <row r="77" spans="2:5" ht="14.25" customHeight="1">
      <c r="B77" s="1468" t="s">
        <v>86</v>
      </c>
      <c r="C77" s="1554" t="s">
        <v>16</v>
      </c>
      <c r="D77" s="1468">
        <v>20260729</v>
      </c>
      <c r="E77" s="1295"/>
    </row>
    <row r="78" spans="2:5" ht="14.25" customHeight="1">
      <c r="B78" s="1468" t="s">
        <v>87</v>
      </c>
      <c r="C78" s="1554" t="s">
        <v>16</v>
      </c>
      <c r="D78" s="1468">
        <v>20260729</v>
      </c>
      <c r="E78" s="1295"/>
    </row>
    <row r="79" spans="2:5" ht="14.25" customHeight="1">
      <c r="B79" s="1468" t="s">
        <v>88</v>
      </c>
      <c r="C79" s="1554" t="s">
        <v>16</v>
      </c>
      <c r="D79" s="1468">
        <v>20260729</v>
      </c>
      <c r="E79" s="1295"/>
    </row>
    <row r="80" spans="2:5" ht="14.25" customHeight="1">
      <c r="B80" s="1468" t="s">
        <v>89</v>
      </c>
      <c r="C80" s="1554" t="s">
        <v>16</v>
      </c>
      <c r="D80" s="1468">
        <v>20260730</v>
      </c>
      <c r="E80" s="1295"/>
    </row>
    <row r="81" spans="2:5" ht="14.25" customHeight="1">
      <c r="B81" s="1468" t="s">
        <v>90</v>
      </c>
      <c r="C81" s="1554" t="s">
        <v>16</v>
      </c>
      <c r="D81" s="1468">
        <v>20260803</v>
      </c>
      <c r="E81" s="1295"/>
    </row>
    <row r="82" spans="2:5" ht="14.25" customHeight="1">
      <c r="B82" s="1295"/>
      <c r="D82" s="1295"/>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22FB-2C82-45CA-8B7E-F3922803B725}">
  <sheetPr>
    <outlinePr summaryBelow="0" summaryRight="0"/>
  </sheetPr>
  <dimension ref="A1:G31"/>
  <sheetViews>
    <sheetView workbookViewId="0">
      <selection sqref="A1:G1"/>
    </sheetView>
  </sheetViews>
  <sheetFormatPr defaultColWidth="8.875" defaultRowHeight="14.25" customHeight="1"/>
  <cols>
    <col min="1" max="1" width="26.5" style="254" customWidth="1"/>
    <col min="2" max="2" width="50.375" style="254" customWidth="1"/>
    <col min="3" max="3" width="38" style="254" customWidth="1"/>
    <col min="4" max="4" width="14.125" style="13" customWidth="1"/>
    <col min="6" max="6" width="32.5" style="254" customWidth="1"/>
    <col min="7" max="7" width="65.875" style="254" customWidth="1"/>
  </cols>
  <sheetData>
    <row r="1" spans="1:7" ht="18.75" customHeight="1">
      <c r="A1" s="3278" t="s">
        <v>114</v>
      </c>
      <c r="B1" s="3278"/>
      <c r="C1" s="3278"/>
      <c r="D1" s="3278"/>
      <c r="E1" s="3278"/>
      <c r="F1" s="3278"/>
      <c r="G1" s="3278"/>
    </row>
    <row r="2" spans="1:7" ht="14.25" customHeight="1">
      <c r="A2" s="3280" t="s">
        <v>115</v>
      </c>
      <c r="B2" s="3280"/>
      <c r="C2" s="3280"/>
      <c r="D2" s="3279" t="s">
        <v>116</v>
      </c>
      <c r="E2" s="3277" t="s">
        <v>117</v>
      </c>
      <c r="F2" s="3277"/>
      <c r="G2" s="3277"/>
    </row>
    <row r="3" spans="1:7" ht="14.25" customHeight="1">
      <c r="A3" s="3280"/>
      <c r="B3" s="3280"/>
      <c r="C3" s="3280"/>
      <c r="D3" s="3279"/>
      <c r="E3" s="3277" t="s">
        <v>118</v>
      </c>
      <c r="F3" s="3277" t="s">
        <v>119</v>
      </c>
      <c r="G3" s="3277" t="s">
        <v>120</v>
      </c>
    </row>
    <row r="4" spans="1:7" ht="14.25" customHeight="1">
      <c r="A4" s="420" t="s">
        <v>121</v>
      </c>
      <c r="B4" s="421" t="s">
        <v>122</v>
      </c>
      <c r="C4" s="422" t="s">
        <v>123</v>
      </c>
      <c r="D4" s="3279"/>
      <c r="E4" s="3277"/>
      <c r="F4" s="3277"/>
      <c r="G4" s="3277"/>
    </row>
    <row r="5" spans="1:7" ht="14.25" customHeight="1">
      <c r="A5" s="24" t="s">
        <v>124</v>
      </c>
      <c r="B5" s="24" t="s">
        <v>125</v>
      </c>
      <c r="C5" s="22" t="s">
        <v>126</v>
      </c>
      <c r="D5" s="19" t="s">
        <v>127</v>
      </c>
      <c r="E5" s="27"/>
      <c r="F5" s="27"/>
      <c r="G5" s="27"/>
    </row>
    <row r="6" spans="1:7" ht="14.25" customHeight="1">
      <c r="A6" s="24" t="s">
        <v>128</v>
      </c>
      <c r="B6" s="24" t="s">
        <v>129</v>
      </c>
      <c r="C6" s="22" t="s">
        <v>130</v>
      </c>
      <c r="D6" s="19" t="s">
        <v>131</v>
      </c>
      <c r="E6" s="27"/>
      <c r="F6" s="27"/>
      <c r="G6" s="27"/>
    </row>
    <row r="7" spans="1:7" s="1072" customFormat="1" ht="14.25" customHeight="1">
      <c r="A7" s="1091" t="s">
        <v>132</v>
      </c>
      <c r="B7" s="1091" t="s">
        <v>133</v>
      </c>
      <c r="C7" s="1091" t="s">
        <v>134</v>
      </c>
      <c r="D7" s="1100" t="s">
        <v>135</v>
      </c>
      <c r="E7" s="1139"/>
      <c r="F7" s="1139"/>
      <c r="G7" s="1139"/>
    </row>
    <row r="8" spans="1:7" s="1072" customFormat="1" ht="14.25" customHeight="1">
      <c r="A8" s="1091" t="s">
        <v>136</v>
      </c>
      <c r="B8" s="1091" t="s">
        <v>137</v>
      </c>
      <c r="C8" s="1091" t="s">
        <v>138</v>
      </c>
      <c r="D8" s="1100" t="s">
        <v>139</v>
      </c>
      <c r="E8" s="1139"/>
      <c r="F8" s="1139"/>
      <c r="G8" s="1139"/>
    </row>
    <row r="9" spans="1:7" s="1072" customFormat="1" ht="14.25" customHeight="1">
      <c r="A9" s="1091" t="s">
        <v>140</v>
      </c>
      <c r="B9" s="1091" t="s">
        <v>141</v>
      </c>
      <c r="C9" s="1091" t="s">
        <v>142</v>
      </c>
      <c r="D9" s="1100" t="s">
        <v>143</v>
      </c>
      <c r="E9" s="1139"/>
      <c r="F9" s="1139"/>
      <c r="G9" s="1139"/>
    </row>
    <row r="10" spans="1:7" ht="14.25" customHeight="1">
      <c r="A10" s="24" t="s">
        <v>144</v>
      </c>
      <c r="B10" s="24" t="s">
        <v>145</v>
      </c>
      <c r="C10" s="22" t="s">
        <v>146</v>
      </c>
      <c r="D10" s="19" t="s">
        <v>147</v>
      </c>
      <c r="E10" s="27"/>
      <c r="F10" s="27"/>
      <c r="G10" s="27"/>
    </row>
    <row r="11" spans="1:7" ht="14.25" customHeight="1">
      <c r="A11" s="24" t="s">
        <v>148</v>
      </c>
      <c r="B11" s="24" t="s">
        <v>149</v>
      </c>
      <c r="C11" s="22" t="s">
        <v>150</v>
      </c>
      <c r="D11" s="19" t="s">
        <v>151</v>
      </c>
      <c r="E11" s="27"/>
      <c r="F11" s="27"/>
      <c r="G11" s="27"/>
    </row>
    <row r="12" spans="1:7" ht="14.25" customHeight="1">
      <c r="A12" s="24" t="s">
        <v>152</v>
      </c>
      <c r="B12" s="24" t="s">
        <v>153</v>
      </c>
      <c r="C12" s="22" t="s">
        <v>154</v>
      </c>
      <c r="D12" s="19" t="s">
        <v>155</v>
      </c>
      <c r="E12" s="27"/>
      <c r="F12" s="27"/>
      <c r="G12" s="27"/>
    </row>
    <row r="13" spans="1:7" ht="14.25" customHeight="1">
      <c r="A13" s="24" t="s">
        <v>156</v>
      </c>
      <c r="B13" s="24" t="s">
        <v>157</v>
      </c>
      <c r="C13" s="22" t="s">
        <v>158</v>
      </c>
      <c r="D13" s="19" t="s">
        <v>159</v>
      </c>
      <c r="E13" s="27"/>
      <c r="F13" s="27"/>
      <c r="G13" s="27"/>
    </row>
    <row r="14" spans="1:7" ht="14.25" customHeight="1">
      <c r="A14" s="24" t="s">
        <v>160</v>
      </c>
      <c r="B14" s="24" t="s">
        <v>161</v>
      </c>
      <c r="C14" s="22" t="s">
        <v>162</v>
      </c>
      <c r="D14" s="19" t="s">
        <v>163</v>
      </c>
      <c r="E14" s="27"/>
      <c r="F14" s="27"/>
      <c r="G14" s="27"/>
    </row>
    <row r="15" spans="1:7" ht="14.25" customHeight="1">
      <c r="A15" s="24" t="s">
        <v>164</v>
      </c>
      <c r="B15" s="24" t="s">
        <v>165</v>
      </c>
      <c r="C15" s="22" t="s">
        <v>166</v>
      </c>
      <c r="D15" s="19" t="s">
        <v>167</v>
      </c>
      <c r="E15" s="27"/>
      <c r="F15" s="27"/>
      <c r="G15" s="27"/>
    </row>
    <row r="16" spans="1:7" ht="14.25" customHeight="1">
      <c r="A16" s="24" t="s">
        <v>168</v>
      </c>
      <c r="B16" s="24" t="s">
        <v>169</v>
      </c>
      <c r="C16" s="22" t="s">
        <v>170</v>
      </c>
      <c r="D16" s="19" t="s">
        <v>171</v>
      </c>
      <c r="E16" s="27"/>
      <c r="F16" s="27"/>
      <c r="G16" s="27"/>
    </row>
    <row r="17" spans="1:7" ht="14.25" customHeight="1">
      <c r="A17" s="24" t="s">
        <v>172</v>
      </c>
      <c r="B17" s="24" t="s">
        <v>173</v>
      </c>
      <c r="C17" s="22" t="s">
        <v>174</v>
      </c>
      <c r="D17" s="19" t="s">
        <v>175</v>
      </c>
      <c r="E17" s="27"/>
      <c r="F17" s="27"/>
      <c r="G17" s="27"/>
    </row>
    <row r="18" spans="1:7" ht="14.25" customHeight="1">
      <c r="A18" s="24" t="s">
        <v>176</v>
      </c>
      <c r="B18" s="24" t="s">
        <v>177</v>
      </c>
      <c r="C18" s="22" t="s">
        <v>178</v>
      </c>
      <c r="D18" s="19" t="s">
        <v>179</v>
      </c>
      <c r="E18" s="27"/>
      <c r="F18" s="27"/>
      <c r="G18" s="27"/>
    </row>
    <row r="19" spans="1:7" s="1072" customFormat="1" ht="14.25" customHeight="1">
      <c r="A19" s="1091" t="s">
        <v>180</v>
      </c>
      <c r="B19" s="1091" t="s">
        <v>181</v>
      </c>
      <c r="C19" s="1091" t="s">
        <v>182</v>
      </c>
      <c r="D19" s="1100" t="s">
        <v>183</v>
      </c>
      <c r="E19" s="1139"/>
      <c r="F19" s="1139"/>
      <c r="G19" s="1139"/>
    </row>
    <row r="20" spans="1:7" s="1072" customFormat="1" ht="14.25" customHeight="1">
      <c r="A20" s="1091" t="s">
        <v>184</v>
      </c>
      <c r="B20" s="1091" t="s">
        <v>185</v>
      </c>
      <c r="C20" s="1091" t="s">
        <v>186</v>
      </c>
      <c r="D20" s="1100" t="s">
        <v>187</v>
      </c>
      <c r="E20" s="1139"/>
      <c r="F20" s="1139"/>
      <c r="G20" s="1139"/>
    </row>
    <row r="21" spans="1:7" s="1072" customFormat="1" ht="14.25" customHeight="1">
      <c r="A21" s="1091" t="s">
        <v>188</v>
      </c>
      <c r="B21" s="1091" t="s">
        <v>189</v>
      </c>
      <c r="C21" s="1091" t="s">
        <v>190</v>
      </c>
      <c r="D21" s="1100" t="s">
        <v>191</v>
      </c>
      <c r="E21" s="1139"/>
      <c r="F21" s="1139"/>
      <c r="G21" s="1139"/>
    </row>
    <row r="22" spans="1:7" s="1072" customFormat="1" ht="14.25" customHeight="1">
      <c r="A22" s="1091" t="s">
        <v>192</v>
      </c>
      <c r="B22" s="1091" t="s">
        <v>193</v>
      </c>
      <c r="C22" s="1091" t="s">
        <v>194</v>
      </c>
      <c r="D22" s="1100" t="s">
        <v>195</v>
      </c>
      <c r="E22" s="1139"/>
      <c r="F22" s="1139"/>
      <c r="G22" s="1139"/>
    </row>
    <row r="23" spans="1:7" s="1072" customFormat="1" ht="14.25" customHeight="1">
      <c r="A23" s="1091" t="s">
        <v>196</v>
      </c>
      <c r="B23" s="1091" t="s">
        <v>197</v>
      </c>
      <c r="C23" s="1091" t="s">
        <v>198</v>
      </c>
      <c r="D23" s="1100" t="s">
        <v>199</v>
      </c>
      <c r="E23" s="1139"/>
      <c r="F23" s="1139"/>
      <c r="G23" s="1139"/>
    </row>
    <row r="24" spans="1:7" s="1072" customFormat="1" ht="14.25" customHeight="1">
      <c r="A24" s="1091" t="s">
        <v>200</v>
      </c>
      <c r="B24" s="1091" t="s">
        <v>201</v>
      </c>
      <c r="C24" s="1091" t="s">
        <v>202</v>
      </c>
      <c r="D24" s="1100" t="s">
        <v>203</v>
      </c>
      <c r="E24" s="1139"/>
      <c r="F24" s="1139"/>
      <c r="G24" s="1139"/>
    </row>
    <row r="25" spans="1:7" ht="74.25" customHeight="1">
      <c r="A25" s="27" t="s">
        <v>204</v>
      </c>
      <c r="B25" s="27" t="s">
        <v>205</v>
      </c>
      <c r="C25" s="27" t="s">
        <v>206</v>
      </c>
      <c r="D25" s="19" t="s">
        <v>207</v>
      </c>
      <c r="E25" s="27" t="s">
        <v>208</v>
      </c>
      <c r="F25" s="44" t="s">
        <v>209</v>
      </c>
      <c r="G25" s="44" t="s">
        <v>210</v>
      </c>
    </row>
    <row r="26" spans="1:7" ht="74.25" customHeight="1">
      <c r="A26" s="27" t="s">
        <v>211</v>
      </c>
      <c r="B26" s="27" t="s">
        <v>212</v>
      </c>
      <c r="C26" s="27" t="s">
        <v>213</v>
      </c>
      <c r="D26" s="19" t="s">
        <v>214</v>
      </c>
      <c r="E26" s="27" t="s">
        <v>208</v>
      </c>
      <c r="F26" s="44" t="s">
        <v>209</v>
      </c>
      <c r="G26" s="44" t="s">
        <v>210</v>
      </c>
    </row>
    <row r="27" spans="1:7" ht="74.25" customHeight="1">
      <c r="A27" s="581" t="s">
        <v>215</v>
      </c>
      <c r="B27" s="1569" t="s">
        <v>216</v>
      </c>
      <c r="C27" s="581" t="s">
        <v>217</v>
      </c>
      <c r="D27" s="562" t="s">
        <v>218</v>
      </c>
      <c r="E27" s="581" t="s">
        <v>208</v>
      </c>
      <c r="F27" s="539"/>
      <c r="G27" s="539"/>
    </row>
    <row r="28" spans="1:7" ht="14.25" customHeight="1">
      <c r="A28" s="1468" t="s">
        <v>219</v>
      </c>
      <c r="B28" s="1032" t="s">
        <v>220</v>
      </c>
      <c r="C28" s="1468" t="s">
        <v>221</v>
      </c>
      <c r="D28" s="1392" t="s">
        <v>222</v>
      </c>
      <c r="E28" s="1468" t="s">
        <v>208</v>
      </c>
      <c r="F28" s="1468"/>
      <c r="G28" s="1468"/>
    </row>
    <row r="29" spans="1:7" ht="14.25" customHeight="1">
      <c r="A29" s="1468" t="s">
        <v>223</v>
      </c>
      <c r="B29" s="1032" t="s">
        <v>224</v>
      </c>
      <c r="C29" s="1468" t="s">
        <v>225</v>
      </c>
      <c r="D29" s="1392" t="s">
        <v>226</v>
      </c>
      <c r="E29" s="1554"/>
      <c r="F29" s="1468"/>
      <c r="G29" s="1468"/>
    </row>
    <row r="30" spans="1:7" ht="14.25" customHeight="1">
      <c r="A30" s="1295"/>
      <c r="B30" s="1295"/>
      <c r="C30" s="1468"/>
      <c r="D30" s="1392"/>
      <c r="E30" s="1554"/>
      <c r="F30" s="1468"/>
      <c r="G30" s="1468"/>
    </row>
    <row r="31" spans="1:7" ht="14.25" customHeight="1">
      <c r="C31" s="1295"/>
      <c r="F31" s="1295"/>
      <c r="G31" s="1295"/>
    </row>
  </sheetData>
  <mergeCells count="7">
    <mergeCell ref="G3:G4"/>
    <mergeCell ref="E3:E4"/>
    <mergeCell ref="A1:G1"/>
    <mergeCell ref="D2:D4"/>
    <mergeCell ref="E2:G2"/>
    <mergeCell ref="A2:C3"/>
    <mergeCell ref="F3:F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7275F-B43F-487F-89EB-28ED120CE330}">
  <sheetPr>
    <outlinePr summaryBelow="0" summaryRight="0"/>
  </sheetPr>
  <dimension ref="A1:AN6"/>
  <sheetViews>
    <sheetView workbookViewId="0">
      <selection sqref="A1:AF2"/>
    </sheetView>
  </sheetViews>
  <sheetFormatPr defaultColWidth="8.125" defaultRowHeight="13.5" customHeight="1"/>
  <cols>
    <col min="1" max="31" width="4.625" style="7" customWidth="1"/>
    <col min="32" max="32" width="4.625" style="200" customWidth="1"/>
    <col min="33" max="40" width="8.125" style="7"/>
  </cols>
  <sheetData>
    <row r="1" spans="1:32" ht="381" customHeight="1">
      <c r="A1" s="3283" t="s">
        <v>227</v>
      </c>
      <c r="B1" s="3283"/>
      <c r="C1" s="3283"/>
      <c r="D1" s="3283"/>
      <c r="E1" s="3283"/>
      <c r="F1" s="3283"/>
      <c r="G1" s="3284"/>
      <c r="H1" s="3284"/>
      <c r="I1" s="3284"/>
      <c r="J1" s="3284"/>
      <c r="K1" s="3284"/>
      <c r="L1" s="3284"/>
      <c r="M1" s="3284"/>
      <c r="N1" s="3284"/>
      <c r="O1" s="3284"/>
      <c r="P1" s="3284"/>
      <c r="Q1" s="3284"/>
      <c r="R1" s="3284"/>
      <c r="S1" s="3284"/>
      <c r="T1" s="3284"/>
      <c r="U1" s="3284"/>
      <c r="V1" s="3284"/>
      <c r="W1" s="3284"/>
      <c r="X1" s="3284"/>
      <c r="Y1" s="3284"/>
      <c r="Z1" s="3284"/>
      <c r="AA1" s="3284"/>
      <c r="AB1" s="3284"/>
      <c r="AC1" s="3284"/>
      <c r="AD1" s="3284"/>
      <c r="AE1" s="3284"/>
      <c r="AF1" s="3284"/>
    </row>
    <row r="2" spans="1:32" s="254" customFormat="1" ht="54" customHeight="1">
      <c r="A2" s="3284"/>
      <c r="B2" s="3284"/>
      <c r="C2" s="3284"/>
      <c r="D2" s="3284"/>
      <c r="E2" s="3284"/>
      <c r="F2" s="3284"/>
      <c r="G2" s="3284"/>
      <c r="H2" s="3284"/>
      <c r="I2" s="3284"/>
      <c r="J2" s="3284"/>
      <c r="K2" s="3284"/>
      <c r="L2" s="3284"/>
      <c r="M2" s="3284"/>
      <c r="N2" s="3284"/>
      <c r="O2" s="3284"/>
      <c r="P2" s="3284"/>
      <c r="Q2" s="3284"/>
      <c r="R2" s="3284"/>
      <c r="S2" s="3284"/>
      <c r="T2" s="3284"/>
      <c r="U2" s="3284"/>
      <c r="V2" s="3284"/>
      <c r="W2" s="3284"/>
      <c r="X2" s="3284"/>
      <c r="Y2" s="3284"/>
      <c r="Z2" s="3284"/>
      <c r="AA2" s="3284"/>
      <c r="AB2" s="3284"/>
      <c r="AC2" s="3284"/>
      <c r="AD2" s="3284"/>
      <c r="AE2" s="3284"/>
      <c r="AF2" s="3284"/>
    </row>
    <row r="3" spans="1:32" s="254" customFormat="1" ht="339" customHeight="1">
      <c r="A3" s="201"/>
      <c r="B3" s="201"/>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row>
    <row r="4" spans="1:32" s="254" customFormat="1" ht="273.95" customHeight="1">
      <c r="A4" s="201"/>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row>
    <row r="5" spans="1:32" ht="135.94999999999999" customHeight="1">
      <c r="A5" s="3282" t="s">
        <v>228</v>
      </c>
      <c r="B5" s="3282"/>
      <c r="C5" s="3282"/>
      <c r="D5" s="3282"/>
      <c r="E5" s="3282"/>
      <c r="F5" s="3282"/>
      <c r="G5" s="3281"/>
      <c r="H5" s="3281"/>
      <c r="I5" s="3281"/>
      <c r="J5" s="3281"/>
      <c r="K5" s="3281"/>
      <c r="L5" s="3281"/>
      <c r="M5" s="3281"/>
      <c r="N5" s="3281"/>
      <c r="O5" s="3281"/>
      <c r="P5" s="3281"/>
      <c r="Q5" s="3281"/>
      <c r="R5" s="3281"/>
      <c r="S5" s="3281"/>
      <c r="T5" s="3281"/>
      <c r="U5" s="3281"/>
      <c r="V5" s="3281"/>
      <c r="W5" s="3281"/>
      <c r="X5" s="3281"/>
      <c r="Y5" s="3281"/>
      <c r="Z5" s="3281"/>
      <c r="AA5" s="3281"/>
      <c r="AB5" s="3281"/>
      <c r="AC5" s="3281"/>
      <c r="AD5" s="3281"/>
      <c r="AE5" s="3281"/>
      <c r="AF5" s="3281"/>
    </row>
    <row r="6" spans="1:32" ht="18" customHeight="1">
      <c r="A6" s="3281"/>
      <c r="B6" s="3281"/>
      <c r="C6" s="3281"/>
      <c r="D6" s="3281"/>
      <c r="E6" s="3281"/>
      <c r="F6" s="3281"/>
      <c r="G6" s="3281"/>
      <c r="H6" s="3281"/>
      <c r="I6" s="3281"/>
      <c r="J6" s="3281"/>
      <c r="K6" s="3281"/>
      <c r="L6" s="3281"/>
      <c r="M6" s="3281"/>
      <c r="N6" s="3281"/>
      <c r="O6" s="3281"/>
      <c r="P6" s="3281"/>
      <c r="Q6" s="3281"/>
      <c r="R6" s="3281"/>
      <c r="S6" s="3281"/>
      <c r="T6" s="3281"/>
      <c r="U6" s="3281"/>
      <c r="V6" s="3281"/>
      <c r="W6" s="3281"/>
      <c r="X6" s="3281"/>
      <c r="Y6" s="3281"/>
      <c r="Z6" s="3281"/>
      <c r="AA6" s="3281"/>
      <c r="AB6" s="3281"/>
      <c r="AC6" s="3281"/>
      <c r="AD6" s="3281"/>
      <c r="AE6" s="3281"/>
      <c r="AF6" s="3281"/>
    </row>
  </sheetData>
  <mergeCells count="3">
    <mergeCell ref="A6:AF6"/>
    <mergeCell ref="A5:AF5"/>
    <mergeCell ref="A1:AF2"/>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D4D12-E52C-4E08-B025-824417323E4C}">
  <sheetPr>
    <outlinePr summaryBelow="0" summaryRight="0"/>
  </sheetPr>
  <dimension ref="A1:AX1594"/>
  <sheetViews>
    <sheetView showGridLines="0" workbookViewId="0">
      <pane xSplit="4" topLeftCell="E1" activePane="topRight" state="frozen"/>
      <selection pane="topRight" sqref="A1:AJ1"/>
    </sheetView>
  </sheetViews>
  <sheetFormatPr defaultColWidth="9" defaultRowHeight="14.25" customHeight="1" outlineLevelRow="1"/>
  <cols>
    <col min="1" max="1" width="10.625" style="49" customWidth="1"/>
    <col min="2" max="2" width="11.5" style="49" customWidth="1"/>
    <col min="3" max="3" width="8.125" style="49" customWidth="1"/>
    <col min="4" max="4" width="9.125" style="49"/>
    <col min="5" max="5" width="5.875" style="49" customWidth="1"/>
    <col min="6" max="6" width="6.375" style="49" customWidth="1"/>
    <col min="7" max="7" width="5.625" style="49" customWidth="1"/>
    <col min="8" max="8" width="6.625" style="49" customWidth="1"/>
    <col min="9" max="9" width="4.375" style="49" customWidth="1"/>
    <col min="10" max="12" width="6.375" style="49" customWidth="1"/>
    <col min="13" max="13" width="5.375" style="49" customWidth="1"/>
    <col min="14" max="15" width="6.375" style="49" customWidth="1"/>
    <col min="16" max="16" width="6.625" style="49" customWidth="1"/>
    <col min="17" max="17" width="6.875" style="49" customWidth="1"/>
    <col min="18" max="18" width="3.125" style="49" customWidth="1"/>
    <col min="19" max="19" width="6.375" style="49" customWidth="1"/>
    <col min="20" max="20" width="3.375" style="49" customWidth="1"/>
    <col min="21" max="21" width="3.625" style="49" customWidth="1"/>
    <col min="22" max="22" width="3.625" style="56" customWidth="1"/>
    <col min="23" max="23" width="6.875" style="56" customWidth="1"/>
    <col min="24" max="24" width="30" style="67" customWidth="1"/>
    <col min="25" max="25" width="42.5" style="56" customWidth="1"/>
    <col min="26" max="26" width="9.125" style="49" customWidth="1"/>
    <col min="27" max="27" width="9.5" style="49" customWidth="1"/>
    <col min="28" max="29" width="8.5" style="49" customWidth="1"/>
    <col min="30" max="30" width="11.5" style="49" customWidth="1"/>
    <col min="31" max="31" width="36.125" style="49" customWidth="1"/>
    <col min="32" max="32" width="7.375" style="49" customWidth="1"/>
    <col min="33" max="34" width="6.625" style="49" customWidth="1"/>
    <col min="35" max="35" width="5.625" style="49" customWidth="1"/>
    <col min="36" max="36" width="8.125" style="49" customWidth="1"/>
    <col min="37" max="37" width="23.5" style="49" customWidth="1"/>
    <col min="38" max="38" width="19.125" style="108" customWidth="1"/>
    <col min="39" max="40" width="9" style="49"/>
  </cols>
  <sheetData>
    <row r="1" spans="1:37" ht="14.25" customHeight="1">
      <c r="A1" s="3315" t="s">
        <v>229</v>
      </c>
      <c r="B1" s="3315"/>
      <c r="C1" s="3315"/>
      <c r="D1" s="3315"/>
      <c r="E1" s="3315"/>
      <c r="F1" s="3315"/>
      <c r="G1" s="3315"/>
      <c r="H1" s="3315"/>
      <c r="I1" s="3315"/>
      <c r="J1" s="3315"/>
      <c r="K1" s="3315"/>
      <c r="L1" s="3315"/>
      <c r="M1" s="3315"/>
      <c r="N1" s="3315"/>
      <c r="O1" s="3315"/>
      <c r="P1" s="3315"/>
      <c r="Q1" s="3315"/>
      <c r="R1" s="3315"/>
      <c r="S1" s="3315"/>
      <c r="T1" s="3315"/>
      <c r="U1" s="3315"/>
      <c r="V1" s="3316"/>
      <c r="W1" s="3316"/>
      <c r="X1" s="3317"/>
      <c r="Y1" s="3316"/>
      <c r="Z1" s="3315"/>
      <c r="AA1" s="3315"/>
      <c r="AB1" s="3315"/>
      <c r="AC1" s="3315"/>
      <c r="AD1" s="3315"/>
      <c r="AE1" s="3315"/>
      <c r="AF1" s="3315"/>
      <c r="AG1" s="3315"/>
      <c r="AH1" s="3315"/>
      <c r="AI1" s="3315"/>
      <c r="AJ1" s="3315"/>
      <c r="AK1" s="59"/>
    </row>
    <row r="2" spans="1:37" ht="14.25" customHeight="1">
      <c r="A2" s="3318" t="s">
        <v>230</v>
      </c>
      <c r="B2" s="3292"/>
      <c r="C2" s="3292"/>
      <c r="D2" s="3292"/>
      <c r="E2" s="3292"/>
      <c r="F2" s="3292"/>
      <c r="G2" s="3291" t="s">
        <v>231</v>
      </c>
      <c r="H2" s="3292"/>
      <c r="I2" s="3292"/>
      <c r="J2" s="3292"/>
      <c r="K2" s="3292"/>
      <c r="L2" s="3292"/>
      <c r="M2" s="3292"/>
      <c r="N2" s="3292"/>
      <c r="O2" s="3292"/>
      <c r="P2" s="3292"/>
      <c r="Q2" s="3292"/>
      <c r="R2" s="3292"/>
      <c r="S2" s="3292"/>
      <c r="T2" s="3292"/>
      <c r="U2" s="3292"/>
      <c r="V2" s="3292"/>
      <c r="W2" s="60"/>
      <c r="X2" s="3302" t="s">
        <v>232</v>
      </c>
      <c r="Y2" s="3292"/>
      <c r="Z2" s="3292"/>
      <c r="AA2" s="3292"/>
      <c r="AB2" s="3292"/>
      <c r="AC2" s="3292"/>
      <c r="AD2" s="3292"/>
      <c r="AE2" s="3292"/>
      <c r="AF2" s="3292"/>
      <c r="AG2" s="3292"/>
      <c r="AH2" s="3292"/>
      <c r="AI2" s="3292"/>
      <c r="AJ2" s="3303"/>
      <c r="AK2" s="124"/>
    </row>
    <row r="3" spans="1:37" ht="14.25" customHeight="1">
      <c r="A3" s="3289" t="s">
        <v>233</v>
      </c>
      <c r="B3" s="3311" t="s">
        <v>234</v>
      </c>
      <c r="C3" s="3295" t="s">
        <v>235</v>
      </c>
      <c r="D3" s="3324" t="s">
        <v>236</v>
      </c>
      <c r="E3" s="3285" t="s">
        <v>237</v>
      </c>
      <c r="F3" s="3304" t="s">
        <v>238</v>
      </c>
      <c r="G3" s="3299" t="s">
        <v>239</v>
      </c>
      <c r="H3" s="3300"/>
      <c r="I3" s="3300"/>
      <c r="J3" s="3300"/>
      <c r="K3" s="3300"/>
      <c r="L3" s="3300"/>
      <c r="M3" s="3300"/>
      <c r="N3" s="3300"/>
      <c r="O3" s="3300"/>
      <c r="P3" s="3300"/>
      <c r="Q3" s="3300"/>
      <c r="R3" s="3300"/>
      <c r="S3" s="3300"/>
      <c r="T3" s="3300"/>
      <c r="U3" s="3300"/>
      <c r="V3" s="3300"/>
      <c r="W3" s="355"/>
      <c r="X3" s="3322" t="s">
        <v>240</v>
      </c>
      <c r="Y3" s="3320" t="s">
        <v>241</v>
      </c>
      <c r="Z3" s="3287" t="s">
        <v>242</v>
      </c>
      <c r="AA3" s="3301" t="s">
        <v>243</v>
      </c>
      <c r="AB3" s="3312" t="s">
        <v>244</v>
      </c>
      <c r="AC3" s="3323" t="s">
        <v>245</v>
      </c>
      <c r="AD3" s="3314" t="s">
        <v>246</v>
      </c>
      <c r="AE3" s="3325" t="s">
        <v>247</v>
      </c>
      <c r="AF3" s="3319" t="s">
        <v>248</v>
      </c>
      <c r="AG3" s="3313" t="s">
        <v>249</v>
      </c>
      <c r="AH3" s="3296" t="s">
        <v>250</v>
      </c>
      <c r="AI3" s="3306" t="s">
        <v>251</v>
      </c>
      <c r="AJ3" s="3307" t="s">
        <v>252</v>
      </c>
      <c r="AK3" s="124"/>
    </row>
    <row r="4" spans="1:37" ht="66.75" customHeight="1">
      <c r="A4" s="3290"/>
      <c r="B4" s="3286"/>
      <c r="C4" s="3286"/>
      <c r="D4" s="3286"/>
      <c r="E4" s="3286"/>
      <c r="F4" s="3305"/>
      <c r="G4" s="534" t="s">
        <v>91</v>
      </c>
      <c r="H4" s="535" t="s">
        <v>96</v>
      </c>
      <c r="I4" s="535" t="s">
        <v>97</v>
      </c>
      <c r="J4" s="535" t="s">
        <v>102</v>
      </c>
      <c r="K4" s="535" t="s">
        <v>253</v>
      </c>
      <c r="L4" s="535" t="s">
        <v>254</v>
      </c>
      <c r="M4" s="535" t="s">
        <v>99</v>
      </c>
      <c r="N4" s="535" t="s">
        <v>109</v>
      </c>
      <c r="O4" s="535" t="s">
        <v>100</v>
      </c>
      <c r="P4" s="535" t="s">
        <v>255</v>
      </c>
      <c r="Q4" s="535" t="s">
        <v>106</v>
      </c>
      <c r="R4" s="535" t="s">
        <v>107</v>
      </c>
      <c r="S4" s="535" t="s">
        <v>101</v>
      </c>
      <c r="T4" s="535" t="s">
        <v>256</v>
      </c>
      <c r="U4" s="535" t="s">
        <v>110</v>
      </c>
      <c r="V4" s="535" t="s">
        <v>108</v>
      </c>
      <c r="W4" s="535" t="s">
        <v>113</v>
      </c>
      <c r="X4" s="3321"/>
      <c r="Y4" s="3321"/>
      <c r="Z4" s="3288"/>
      <c r="AA4" s="3286"/>
      <c r="AB4" s="3286"/>
      <c r="AC4" s="3286"/>
      <c r="AD4" s="3286"/>
      <c r="AE4" s="3326"/>
      <c r="AF4" s="3286"/>
      <c r="AG4" s="3286"/>
      <c r="AH4" s="3286"/>
      <c r="AI4" s="3288"/>
      <c r="AJ4" s="3308"/>
      <c r="AK4" s="124"/>
    </row>
    <row r="5" spans="1:37" ht="30.75" customHeight="1">
      <c r="A5" s="564">
        <v>1</v>
      </c>
      <c r="B5" s="1441" t="s">
        <v>257</v>
      </c>
      <c r="C5" s="1441" t="s">
        <v>258</v>
      </c>
      <c r="D5" s="1441" t="s">
        <v>259</v>
      </c>
      <c r="E5" s="646">
        <v>8</v>
      </c>
      <c r="F5" s="646" t="s">
        <v>260</v>
      </c>
      <c r="G5" s="652"/>
      <c r="H5" s="646" t="s">
        <v>261</v>
      </c>
      <c r="I5" s="646"/>
      <c r="J5" s="1373"/>
      <c r="K5" s="1331"/>
      <c r="L5" s="1373"/>
      <c r="M5" s="646"/>
      <c r="N5" s="646"/>
      <c r="O5" s="646"/>
      <c r="P5" s="646"/>
      <c r="Q5" s="646"/>
      <c r="R5" s="646"/>
      <c r="S5" s="646"/>
      <c r="T5" s="646"/>
      <c r="U5" s="646"/>
      <c r="V5" s="739"/>
      <c r="W5" s="739"/>
      <c r="X5" s="1375" t="s">
        <v>262</v>
      </c>
      <c r="Y5" s="739"/>
      <c r="Z5" s="1375"/>
      <c r="AA5" s="1375"/>
      <c r="AB5" s="1375"/>
      <c r="AC5" s="1375"/>
      <c r="AD5" s="646"/>
      <c r="AE5" s="1375"/>
      <c r="AF5" s="646"/>
      <c r="AG5" s="646"/>
      <c r="AH5" s="646"/>
      <c r="AI5" s="646"/>
      <c r="AJ5" s="646"/>
      <c r="AK5" s="613"/>
    </row>
    <row r="6" spans="1:37" ht="29.25" customHeight="1" outlineLevel="1">
      <c r="A6" s="1442"/>
      <c r="B6" s="1442"/>
      <c r="C6" s="1442"/>
      <c r="D6" s="1442"/>
      <c r="E6" s="646"/>
      <c r="F6" s="646"/>
      <c r="G6" s="652"/>
      <c r="H6" s="646"/>
      <c r="I6" s="646"/>
      <c r="J6" s="1373"/>
      <c r="K6" s="1373"/>
      <c r="L6" s="1342"/>
      <c r="M6" s="646"/>
      <c r="N6" s="646"/>
      <c r="O6" s="646"/>
      <c r="P6" s="646"/>
      <c r="Q6" s="646"/>
      <c r="R6" s="646"/>
      <c r="S6" s="646"/>
      <c r="T6" s="646"/>
      <c r="U6" s="646"/>
      <c r="V6" s="739"/>
      <c r="W6" s="739"/>
      <c r="X6" s="1570" t="s">
        <v>263</v>
      </c>
      <c r="Y6" s="1375" t="s">
        <v>264</v>
      </c>
      <c r="Z6" s="1375">
        <v>0</v>
      </c>
      <c r="AA6" s="1375">
        <v>0</v>
      </c>
      <c r="AB6" s="1375">
        <v>0</v>
      </c>
      <c r="AC6" s="1375">
        <v>8</v>
      </c>
      <c r="AD6" s="646"/>
      <c r="AE6" s="1571" t="s">
        <v>265</v>
      </c>
      <c r="AF6" s="646"/>
      <c r="AG6" s="646"/>
      <c r="AH6" s="646"/>
      <c r="AI6" s="646"/>
      <c r="AJ6" s="646"/>
      <c r="AK6" s="613"/>
    </row>
    <row r="7" spans="1:37" ht="72" customHeight="1" outlineLevel="1">
      <c r="A7" s="1420"/>
      <c r="B7" s="646"/>
      <c r="C7" s="646"/>
      <c r="D7" s="646"/>
      <c r="E7" s="646"/>
      <c r="F7" s="646"/>
      <c r="G7" s="652"/>
      <c r="H7" s="646"/>
      <c r="I7" s="646"/>
      <c r="J7" s="1373"/>
      <c r="K7" s="1373"/>
      <c r="L7" s="1342"/>
      <c r="M7" s="646"/>
      <c r="N7" s="646"/>
      <c r="O7" s="646"/>
      <c r="P7" s="646"/>
      <c r="Q7" s="646"/>
      <c r="R7" s="646"/>
      <c r="S7" s="646"/>
      <c r="T7" s="646"/>
      <c r="U7" s="646"/>
      <c r="V7" s="739"/>
      <c r="W7" s="739"/>
      <c r="X7" s="1572" t="s">
        <v>266</v>
      </c>
      <c r="Y7" s="1375" t="s">
        <v>267</v>
      </c>
      <c r="Z7" s="1375">
        <v>1</v>
      </c>
      <c r="AA7" s="1375">
        <v>0</v>
      </c>
      <c r="AB7" s="1375">
        <v>8</v>
      </c>
      <c r="AC7" s="1375">
        <v>8</v>
      </c>
      <c r="AD7" s="646"/>
      <c r="AE7" s="1573" t="s">
        <v>268</v>
      </c>
      <c r="AF7" s="646"/>
      <c r="AG7" s="646"/>
      <c r="AH7" s="646"/>
      <c r="AI7" s="646"/>
      <c r="AJ7" s="646"/>
      <c r="AK7" s="613"/>
    </row>
    <row r="8" spans="1:37" ht="57.75" customHeight="1" outlineLevel="1">
      <c r="A8" s="1333"/>
      <c r="B8" s="134"/>
      <c r="C8" s="134"/>
      <c r="D8" s="134"/>
      <c r="E8" s="134"/>
      <c r="F8" s="134"/>
      <c r="G8" s="189"/>
      <c r="H8" s="134"/>
      <c r="I8" s="134"/>
      <c r="J8" s="1372"/>
      <c r="K8" s="1372"/>
      <c r="L8" s="1373"/>
      <c r="M8" s="646"/>
      <c r="N8" s="646"/>
      <c r="O8" s="646"/>
      <c r="P8" s="646"/>
      <c r="Q8" s="646"/>
      <c r="R8" s="646"/>
      <c r="S8" s="646"/>
      <c r="T8" s="646"/>
      <c r="U8" s="646"/>
      <c r="V8" s="739"/>
      <c r="W8" s="739"/>
      <c r="X8" s="1574" t="s">
        <v>269</v>
      </c>
      <c r="Y8" s="1375" t="s">
        <v>270</v>
      </c>
      <c r="Z8" s="1375">
        <v>2</v>
      </c>
      <c r="AA8" s="1375">
        <v>0</v>
      </c>
      <c r="AB8" s="1375">
        <v>16</v>
      </c>
      <c r="AC8" s="1375">
        <v>8</v>
      </c>
      <c r="AD8" s="646"/>
      <c r="AE8" s="1575" t="s">
        <v>271</v>
      </c>
      <c r="AF8" s="646"/>
      <c r="AG8" s="646"/>
      <c r="AH8" s="646"/>
      <c r="AI8" s="646"/>
      <c r="AJ8" s="646"/>
      <c r="AK8" s="613"/>
    </row>
    <row r="9" spans="1:37" ht="114.75" customHeight="1" outlineLevel="1">
      <c r="A9" s="1420"/>
      <c r="B9" s="646"/>
      <c r="C9" s="646"/>
      <c r="D9" s="646"/>
      <c r="E9" s="646"/>
      <c r="F9" s="646"/>
      <c r="G9" s="652"/>
      <c r="H9" s="646"/>
      <c r="I9" s="646"/>
      <c r="J9" s="1373"/>
      <c r="K9" s="1373"/>
      <c r="L9" s="1373"/>
      <c r="M9" s="646"/>
      <c r="N9" s="646"/>
      <c r="O9" s="646"/>
      <c r="P9" s="646"/>
      <c r="Q9" s="646"/>
      <c r="R9" s="646"/>
      <c r="S9" s="646"/>
      <c r="T9" s="646"/>
      <c r="U9" s="646"/>
      <c r="V9" s="739"/>
      <c r="W9" s="739"/>
      <c r="X9" s="1576" t="s">
        <v>272</v>
      </c>
      <c r="Y9" s="1375" t="s">
        <v>273</v>
      </c>
      <c r="Z9" s="1375">
        <v>3</v>
      </c>
      <c r="AA9" s="1375">
        <v>0</v>
      </c>
      <c r="AB9" s="1375">
        <v>24</v>
      </c>
      <c r="AC9" s="1375">
        <v>16</v>
      </c>
      <c r="AD9" s="646"/>
      <c r="AE9" s="1577" t="s">
        <v>274</v>
      </c>
      <c r="AF9" s="646"/>
      <c r="AG9" s="646"/>
      <c r="AH9" s="646"/>
      <c r="AI9" s="646"/>
      <c r="AJ9" s="646"/>
      <c r="AK9" s="613"/>
    </row>
    <row r="10" spans="1:37" ht="43.5" customHeight="1" outlineLevel="1">
      <c r="A10" s="1420"/>
      <c r="B10" s="646"/>
      <c r="C10" s="646"/>
      <c r="D10" s="646"/>
      <c r="E10" s="646"/>
      <c r="F10" s="646"/>
      <c r="G10" s="652"/>
      <c r="H10" s="646"/>
      <c r="I10" s="646"/>
      <c r="J10" s="1373"/>
      <c r="K10" s="1373"/>
      <c r="L10" s="1373"/>
      <c r="M10" s="646"/>
      <c r="N10" s="646"/>
      <c r="O10" s="646"/>
      <c r="P10" s="646"/>
      <c r="Q10" s="646"/>
      <c r="R10" s="646"/>
      <c r="S10" s="646"/>
      <c r="T10" s="646"/>
      <c r="U10" s="646"/>
      <c r="V10" s="739"/>
      <c r="W10" s="739"/>
      <c r="X10" s="1578" t="s">
        <v>275</v>
      </c>
      <c r="Y10" s="1375" t="s">
        <v>276</v>
      </c>
      <c r="Z10" s="1375">
        <v>5</v>
      </c>
      <c r="AA10" s="1375">
        <v>0</v>
      </c>
      <c r="AB10" s="1375">
        <v>40</v>
      </c>
      <c r="AC10" s="1375">
        <v>8</v>
      </c>
      <c r="AD10" s="646"/>
      <c r="AE10" s="1375" t="s">
        <v>277</v>
      </c>
      <c r="AF10" s="646"/>
      <c r="AG10" s="646"/>
      <c r="AH10" s="646"/>
      <c r="AI10" s="646"/>
      <c r="AJ10" s="646"/>
      <c r="AK10" s="613"/>
    </row>
    <row r="11" spans="1:37" ht="43.5" customHeight="1" outlineLevel="1">
      <c r="A11" s="1420"/>
      <c r="B11" s="646"/>
      <c r="C11" s="646"/>
      <c r="D11" s="646"/>
      <c r="E11" s="646"/>
      <c r="F11" s="646"/>
      <c r="G11" s="652"/>
      <c r="H11" s="646"/>
      <c r="I11" s="646"/>
      <c r="J11" s="1373"/>
      <c r="K11" s="1373"/>
      <c r="L11" s="1373"/>
      <c r="M11" s="646"/>
      <c r="N11" s="646"/>
      <c r="O11" s="646"/>
      <c r="P11" s="646"/>
      <c r="Q11" s="646"/>
      <c r="R11" s="646"/>
      <c r="S11" s="646"/>
      <c r="T11" s="646"/>
      <c r="U11" s="646"/>
      <c r="V11" s="739"/>
      <c r="W11" s="739"/>
      <c r="X11" s="1579" t="s">
        <v>278</v>
      </c>
      <c r="Y11" s="1375" t="s">
        <v>279</v>
      </c>
      <c r="Z11" s="1375">
        <v>6</v>
      </c>
      <c r="AA11" s="1375">
        <v>0</v>
      </c>
      <c r="AB11" s="1375">
        <v>48</v>
      </c>
      <c r="AC11" s="1375">
        <v>8</v>
      </c>
      <c r="AD11" s="646"/>
      <c r="AE11" s="1375" t="s">
        <v>280</v>
      </c>
      <c r="AF11" s="646"/>
      <c r="AG11" s="646"/>
      <c r="AH11" s="646"/>
      <c r="AI11" s="646"/>
      <c r="AJ11" s="646"/>
      <c r="AK11" s="613"/>
    </row>
    <row r="12" spans="1:37" ht="18" customHeight="1" outlineLevel="1">
      <c r="A12" s="1420"/>
      <c r="B12" s="646"/>
      <c r="C12" s="646"/>
      <c r="D12" s="646"/>
      <c r="E12" s="646"/>
      <c r="F12" s="646"/>
      <c r="G12" s="652"/>
      <c r="H12" s="646"/>
      <c r="I12" s="646"/>
      <c r="J12" s="1373"/>
      <c r="K12" s="1373"/>
      <c r="L12" s="1373"/>
      <c r="M12" s="646"/>
      <c r="N12" s="646"/>
      <c r="O12" s="646"/>
      <c r="P12" s="646"/>
      <c r="Q12" s="646"/>
      <c r="R12" s="646"/>
      <c r="S12" s="646"/>
      <c r="T12" s="646"/>
      <c r="U12" s="646"/>
      <c r="V12" s="739"/>
      <c r="W12" s="739"/>
      <c r="X12" s="739"/>
      <c r="Y12" s="739"/>
      <c r="Z12" s="646"/>
      <c r="AA12" s="646"/>
      <c r="AB12" s="646"/>
      <c r="AC12" s="646"/>
      <c r="AD12" s="646"/>
      <c r="AE12" s="646"/>
      <c r="AF12" s="646"/>
      <c r="AG12" s="646"/>
      <c r="AH12" s="646"/>
      <c r="AI12" s="646"/>
      <c r="AJ12" s="646"/>
      <c r="AK12" s="613"/>
    </row>
    <row r="13" spans="1:37" ht="30.75" customHeight="1">
      <c r="A13" s="1420">
        <v>2</v>
      </c>
      <c r="B13" s="646" t="s">
        <v>281</v>
      </c>
      <c r="C13" s="646" t="s">
        <v>282</v>
      </c>
      <c r="D13" s="646" t="s">
        <v>259</v>
      </c>
      <c r="E13" s="646">
        <v>8</v>
      </c>
      <c r="F13" s="646" t="s">
        <v>260</v>
      </c>
      <c r="G13" s="652"/>
      <c r="H13" s="646" t="s">
        <v>261</v>
      </c>
      <c r="I13" s="646"/>
      <c r="J13" s="1373"/>
      <c r="K13" s="1373"/>
      <c r="L13" s="1373"/>
      <c r="M13" s="646"/>
      <c r="N13" s="646"/>
      <c r="O13" s="646"/>
      <c r="P13" s="646"/>
      <c r="Q13" s="646"/>
      <c r="R13" s="646"/>
      <c r="S13" s="646"/>
      <c r="T13" s="646"/>
      <c r="U13" s="646"/>
      <c r="V13" s="739"/>
      <c r="W13" s="739"/>
      <c r="X13" s="739" t="s">
        <v>283</v>
      </c>
      <c r="Y13" s="739"/>
      <c r="Z13" s="646"/>
      <c r="AA13" s="646"/>
      <c r="AB13" s="646"/>
      <c r="AC13" s="646"/>
      <c r="AD13" s="646"/>
      <c r="AE13" s="646"/>
      <c r="AF13" s="646"/>
      <c r="AG13" s="646"/>
      <c r="AH13" s="646"/>
      <c r="AI13" s="646"/>
      <c r="AJ13" s="646"/>
      <c r="AK13" s="613"/>
    </row>
    <row r="14" spans="1:37" ht="43.5" customHeight="1" outlineLevel="1">
      <c r="A14" s="1420"/>
      <c r="B14" s="646"/>
      <c r="C14" s="646"/>
      <c r="D14" s="646"/>
      <c r="E14" s="646"/>
      <c r="F14" s="646"/>
      <c r="G14" s="652"/>
      <c r="H14" s="646"/>
      <c r="I14" s="646"/>
      <c r="J14" s="1373"/>
      <c r="K14" s="1373"/>
      <c r="L14" s="1373"/>
      <c r="M14" s="646"/>
      <c r="N14" s="646"/>
      <c r="O14" s="646"/>
      <c r="P14" s="646"/>
      <c r="Q14" s="646"/>
      <c r="R14" s="646"/>
      <c r="S14" s="646"/>
      <c r="T14" s="646"/>
      <c r="U14" s="646"/>
      <c r="V14" s="739"/>
      <c r="W14" s="739"/>
      <c r="X14" s="1580" t="s">
        <v>284</v>
      </c>
      <c r="Y14" s="1375" t="s">
        <v>285</v>
      </c>
      <c r="Z14" s="1375">
        <v>4</v>
      </c>
      <c r="AA14" s="1375">
        <v>0</v>
      </c>
      <c r="AB14" s="1375">
        <v>32</v>
      </c>
      <c r="AC14" s="1375">
        <v>1</v>
      </c>
      <c r="AD14" s="1375" t="s">
        <v>286</v>
      </c>
      <c r="AE14" s="1581" t="s">
        <v>287</v>
      </c>
      <c r="AF14" s="646"/>
      <c r="AG14" s="646"/>
      <c r="AH14" s="646"/>
      <c r="AI14" s="646"/>
      <c r="AJ14" s="646"/>
      <c r="AK14" s="613"/>
    </row>
    <row r="15" spans="1:37" ht="29.25" customHeight="1" outlineLevel="1">
      <c r="A15" s="1420"/>
      <c r="B15" s="646"/>
      <c r="C15" s="646"/>
      <c r="D15" s="646"/>
      <c r="E15" s="646"/>
      <c r="F15" s="646"/>
      <c r="G15" s="652"/>
      <c r="H15" s="646"/>
      <c r="I15" s="646"/>
      <c r="J15" s="1373"/>
      <c r="K15" s="1373"/>
      <c r="L15" s="1373"/>
      <c r="M15" s="646"/>
      <c r="N15" s="646"/>
      <c r="O15" s="646"/>
      <c r="P15" s="646"/>
      <c r="Q15" s="646"/>
      <c r="R15" s="646"/>
      <c r="S15" s="646"/>
      <c r="T15" s="646"/>
      <c r="U15" s="646"/>
      <c r="V15" s="739"/>
      <c r="W15" s="739"/>
      <c r="X15" s="1582" t="s">
        <v>288</v>
      </c>
      <c r="Y15" s="1375" t="s">
        <v>289</v>
      </c>
      <c r="Z15" s="1375">
        <v>4</v>
      </c>
      <c r="AA15" s="1375">
        <v>1</v>
      </c>
      <c r="AB15" s="1375">
        <v>33</v>
      </c>
      <c r="AC15" s="1375">
        <v>1</v>
      </c>
      <c r="AD15" s="1375" t="s">
        <v>286</v>
      </c>
      <c r="AE15" s="1583" t="s">
        <v>287</v>
      </c>
      <c r="AF15" s="646"/>
      <c r="AG15" s="646"/>
      <c r="AH15" s="646"/>
      <c r="AI15" s="646"/>
      <c r="AJ15" s="646"/>
      <c r="AK15" s="613"/>
    </row>
    <row r="16" spans="1:37" ht="86.25" customHeight="1" outlineLevel="1">
      <c r="A16" s="1420"/>
      <c r="B16" s="646"/>
      <c r="C16" s="646"/>
      <c r="D16" s="646"/>
      <c r="E16" s="646"/>
      <c r="F16" s="646"/>
      <c r="G16" s="652"/>
      <c r="H16" s="646"/>
      <c r="I16" s="646"/>
      <c r="J16" s="1373"/>
      <c r="K16" s="1373"/>
      <c r="L16" s="1373"/>
      <c r="M16" s="646"/>
      <c r="N16" s="646"/>
      <c r="O16" s="646"/>
      <c r="P16" s="646"/>
      <c r="Q16" s="646"/>
      <c r="R16" s="646"/>
      <c r="S16" s="646"/>
      <c r="T16" s="646"/>
      <c r="U16" s="646"/>
      <c r="V16" s="739"/>
      <c r="W16" s="739"/>
      <c r="X16" s="1584" t="s">
        <v>290</v>
      </c>
      <c r="Y16" s="1375" t="s">
        <v>291</v>
      </c>
      <c r="Z16" s="1375">
        <v>4</v>
      </c>
      <c r="AA16" s="1375">
        <v>2</v>
      </c>
      <c r="AB16" s="1375">
        <v>34</v>
      </c>
      <c r="AC16" s="1375">
        <v>1</v>
      </c>
      <c r="AD16" s="1375" t="s">
        <v>286</v>
      </c>
      <c r="AE16" s="1585" t="s">
        <v>287</v>
      </c>
      <c r="AF16" s="646"/>
      <c r="AG16" s="646"/>
      <c r="AH16" s="646"/>
      <c r="AI16" s="646"/>
      <c r="AJ16" s="646"/>
      <c r="AK16" s="613"/>
    </row>
    <row r="17" spans="1:37" ht="43.5" customHeight="1" outlineLevel="1">
      <c r="A17" s="1420"/>
      <c r="B17" s="646"/>
      <c r="C17" s="646"/>
      <c r="D17" s="646"/>
      <c r="E17" s="646"/>
      <c r="F17" s="646"/>
      <c r="G17" s="652"/>
      <c r="H17" s="646"/>
      <c r="I17" s="646"/>
      <c r="J17" s="1373"/>
      <c r="K17" s="1373"/>
      <c r="L17" s="1373"/>
      <c r="M17" s="646"/>
      <c r="N17" s="646"/>
      <c r="O17" s="646"/>
      <c r="P17" s="646"/>
      <c r="Q17" s="646"/>
      <c r="R17" s="646"/>
      <c r="S17" s="646"/>
      <c r="T17" s="646"/>
      <c r="U17" s="646"/>
      <c r="V17" s="739"/>
      <c r="W17" s="739"/>
      <c r="X17" s="1586" t="s">
        <v>292</v>
      </c>
      <c r="Y17" s="1375" t="s">
        <v>293</v>
      </c>
      <c r="Z17" s="1375">
        <v>4</v>
      </c>
      <c r="AA17" s="1375">
        <v>3</v>
      </c>
      <c r="AB17" s="1375">
        <v>35</v>
      </c>
      <c r="AC17" s="1375">
        <v>1</v>
      </c>
      <c r="AD17" s="1375" t="s">
        <v>286</v>
      </c>
      <c r="AE17" s="1587" t="s">
        <v>287</v>
      </c>
      <c r="AF17" s="646"/>
      <c r="AG17" s="646"/>
      <c r="AH17" s="646"/>
      <c r="AI17" s="646"/>
      <c r="AJ17" s="646"/>
      <c r="AK17" s="613"/>
    </row>
    <row r="18" spans="1:37" ht="29.25" customHeight="1" outlineLevel="1">
      <c r="A18" s="1420"/>
      <c r="B18" s="646"/>
      <c r="C18" s="646"/>
      <c r="D18" s="646"/>
      <c r="E18" s="646"/>
      <c r="F18" s="646"/>
      <c r="G18" s="652"/>
      <c r="H18" s="646"/>
      <c r="I18" s="646"/>
      <c r="J18" s="1373"/>
      <c r="K18" s="1373"/>
      <c r="L18" s="1373"/>
      <c r="M18" s="646"/>
      <c r="N18" s="646"/>
      <c r="O18" s="646"/>
      <c r="P18" s="646"/>
      <c r="Q18" s="646"/>
      <c r="R18" s="646"/>
      <c r="S18" s="646"/>
      <c r="T18" s="646"/>
      <c r="U18" s="646"/>
      <c r="V18" s="739"/>
      <c r="W18" s="739"/>
      <c r="X18" s="1588" t="s">
        <v>294</v>
      </c>
      <c r="Y18" s="1375" t="s">
        <v>295</v>
      </c>
      <c r="Z18" s="1375">
        <v>4</v>
      </c>
      <c r="AA18" s="1375">
        <v>5</v>
      </c>
      <c r="AB18" s="1375">
        <v>37</v>
      </c>
      <c r="AC18" s="1375">
        <v>1</v>
      </c>
      <c r="AD18" s="1375" t="s">
        <v>286</v>
      </c>
      <c r="AE18" s="1589" t="s">
        <v>287</v>
      </c>
      <c r="AF18" s="646"/>
      <c r="AG18" s="646"/>
      <c r="AH18" s="646"/>
      <c r="AI18" s="646"/>
      <c r="AJ18" s="646"/>
      <c r="AK18" s="613"/>
    </row>
    <row r="19" spans="1:37" ht="42.6" customHeight="1" outlineLevel="1">
      <c r="A19" s="1420"/>
      <c r="B19" s="646"/>
      <c r="C19" s="646"/>
      <c r="D19" s="646"/>
      <c r="E19" s="646"/>
      <c r="F19" s="646"/>
      <c r="G19" s="652"/>
      <c r="H19" s="646"/>
      <c r="I19" s="646"/>
      <c r="J19" s="1373"/>
      <c r="K19" s="1373"/>
      <c r="L19" s="1373"/>
      <c r="M19" s="646"/>
      <c r="N19" s="646"/>
      <c r="O19" s="646"/>
      <c r="P19" s="646"/>
      <c r="Q19" s="646"/>
      <c r="R19" s="646"/>
      <c r="S19" s="646"/>
      <c r="T19" s="646"/>
      <c r="U19" s="646"/>
      <c r="V19" s="739"/>
      <c r="W19" s="739"/>
      <c r="X19" s="1590" t="s">
        <v>296</v>
      </c>
      <c r="Y19" s="1375" t="s">
        <v>297</v>
      </c>
      <c r="Z19" s="1375">
        <v>4</v>
      </c>
      <c r="AA19" s="1375">
        <v>6</v>
      </c>
      <c r="AB19" s="1375">
        <v>38</v>
      </c>
      <c r="AC19" s="1375">
        <v>1</v>
      </c>
      <c r="AD19" s="1375" t="s">
        <v>286</v>
      </c>
      <c r="AE19" s="1591" t="s">
        <v>287</v>
      </c>
      <c r="AF19" s="646"/>
      <c r="AG19" s="646"/>
      <c r="AH19" s="646"/>
      <c r="AI19" s="646"/>
      <c r="AJ19" s="646"/>
      <c r="AK19" s="613"/>
    </row>
    <row r="20" spans="1:37" ht="29.25" customHeight="1" outlineLevel="1">
      <c r="A20" s="1420"/>
      <c r="B20" s="646"/>
      <c r="C20" s="646"/>
      <c r="D20" s="646"/>
      <c r="E20" s="646"/>
      <c r="F20" s="646"/>
      <c r="G20" s="652"/>
      <c r="H20" s="646"/>
      <c r="I20" s="646"/>
      <c r="J20" s="1373"/>
      <c r="K20" s="1373"/>
      <c r="L20" s="1373"/>
      <c r="M20" s="646"/>
      <c r="N20" s="646"/>
      <c r="O20" s="646"/>
      <c r="P20" s="646"/>
      <c r="Q20" s="646"/>
      <c r="R20" s="646"/>
      <c r="S20" s="646"/>
      <c r="T20" s="646"/>
      <c r="U20" s="646"/>
      <c r="V20" s="739"/>
      <c r="W20" s="739"/>
      <c r="X20" s="1592" t="s">
        <v>298</v>
      </c>
      <c r="Y20" s="1375" t="s">
        <v>299</v>
      </c>
      <c r="Z20" s="1375">
        <v>4</v>
      </c>
      <c r="AA20" s="1375">
        <v>7</v>
      </c>
      <c r="AB20" s="1375">
        <v>39</v>
      </c>
      <c r="AC20" s="1375">
        <v>1</v>
      </c>
      <c r="AD20" s="1375" t="s">
        <v>286</v>
      </c>
      <c r="AE20" s="1593" t="s">
        <v>287</v>
      </c>
      <c r="AF20" s="646"/>
      <c r="AG20" s="646"/>
      <c r="AH20" s="646"/>
      <c r="AI20" s="646"/>
      <c r="AJ20" s="646"/>
      <c r="AK20" s="613"/>
    </row>
    <row r="21" spans="1:37" ht="29.25" customHeight="1" outlineLevel="1">
      <c r="A21" s="1420"/>
      <c r="B21" s="646"/>
      <c r="C21" s="646"/>
      <c r="D21" s="646"/>
      <c r="E21" s="646"/>
      <c r="F21" s="646"/>
      <c r="G21" s="652"/>
      <c r="H21" s="646"/>
      <c r="I21" s="646"/>
      <c r="J21" s="1373"/>
      <c r="K21" s="1373"/>
      <c r="L21" s="1373"/>
      <c r="M21" s="646"/>
      <c r="N21" s="646"/>
      <c r="O21" s="646"/>
      <c r="P21" s="646"/>
      <c r="Q21" s="646"/>
      <c r="R21" s="646"/>
      <c r="S21" s="646"/>
      <c r="T21" s="646"/>
      <c r="U21" s="646"/>
      <c r="V21" s="739"/>
      <c r="W21" s="739"/>
      <c r="X21" s="1594" t="s">
        <v>300</v>
      </c>
      <c r="Y21" s="1375" t="s">
        <v>301</v>
      </c>
      <c r="Z21" s="1375">
        <v>5</v>
      </c>
      <c r="AA21" s="1375">
        <v>0</v>
      </c>
      <c r="AB21" s="1375">
        <v>40</v>
      </c>
      <c r="AC21" s="1375">
        <v>1</v>
      </c>
      <c r="AD21" s="1375" t="s">
        <v>286</v>
      </c>
      <c r="AE21" s="1595" t="s">
        <v>287</v>
      </c>
      <c r="AF21" s="646"/>
      <c r="AG21" s="646"/>
      <c r="AH21" s="646"/>
      <c r="AI21" s="646"/>
      <c r="AJ21" s="646"/>
      <c r="AK21" s="613"/>
    </row>
    <row r="22" spans="1:37" ht="43.5" customHeight="1" outlineLevel="1">
      <c r="A22" s="1420"/>
      <c r="B22" s="646"/>
      <c r="C22" s="646"/>
      <c r="D22" s="646"/>
      <c r="E22" s="646"/>
      <c r="F22" s="646"/>
      <c r="G22" s="652"/>
      <c r="H22" s="646"/>
      <c r="I22" s="646"/>
      <c r="J22" s="1373"/>
      <c r="K22" s="1373"/>
      <c r="L22" s="1373"/>
      <c r="M22" s="646"/>
      <c r="N22" s="646"/>
      <c r="O22" s="646"/>
      <c r="P22" s="646"/>
      <c r="Q22" s="646"/>
      <c r="R22" s="646"/>
      <c r="S22" s="646"/>
      <c r="T22" s="646"/>
      <c r="U22" s="646"/>
      <c r="V22" s="739"/>
      <c r="W22" s="739"/>
      <c r="X22" s="1596" t="s">
        <v>302</v>
      </c>
      <c r="Y22" s="1375" t="s">
        <v>303</v>
      </c>
      <c r="Z22" s="1375">
        <v>6</v>
      </c>
      <c r="AA22" s="1375">
        <v>0</v>
      </c>
      <c r="AB22" s="1375">
        <v>48</v>
      </c>
      <c r="AC22" s="1375">
        <v>1</v>
      </c>
      <c r="AD22" s="1375" t="s">
        <v>286</v>
      </c>
      <c r="AE22" s="1597" t="s">
        <v>287</v>
      </c>
      <c r="AF22" s="646"/>
      <c r="AG22" s="646"/>
      <c r="AH22" s="646"/>
      <c r="AI22" s="646"/>
      <c r="AJ22" s="646"/>
      <c r="AK22" s="613"/>
    </row>
    <row r="23" spans="1:37" ht="72" customHeight="1" outlineLevel="1">
      <c r="A23" s="1420"/>
      <c r="B23" s="646"/>
      <c r="C23" s="646"/>
      <c r="D23" s="646"/>
      <c r="E23" s="646"/>
      <c r="F23" s="646"/>
      <c r="G23" s="652"/>
      <c r="H23" s="646"/>
      <c r="I23" s="646"/>
      <c r="J23" s="1373"/>
      <c r="K23" s="1373"/>
      <c r="L23" s="1373"/>
      <c r="M23" s="646"/>
      <c r="N23" s="646"/>
      <c r="O23" s="646"/>
      <c r="P23" s="646"/>
      <c r="Q23" s="646"/>
      <c r="R23" s="646"/>
      <c r="S23" s="646"/>
      <c r="T23" s="646"/>
      <c r="U23" s="646"/>
      <c r="V23" s="739"/>
      <c r="W23" s="739"/>
      <c r="X23" s="1598" t="s">
        <v>304</v>
      </c>
      <c r="Y23" s="1375" t="s">
        <v>305</v>
      </c>
      <c r="Z23" s="1375">
        <v>6</v>
      </c>
      <c r="AA23" s="1375">
        <v>1</v>
      </c>
      <c r="AB23" s="1375">
        <v>49</v>
      </c>
      <c r="AC23" s="1375">
        <v>1</v>
      </c>
      <c r="AD23" s="1375" t="s">
        <v>286</v>
      </c>
      <c r="AE23" s="1599" t="s">
        <v>287</v>
      </c>
      <c r="AF23" s="646"/>
      <c r="AG23" s="646"/>
      <c r="AH23" s="646"/>
      <c r="AI23" s="646"/>
      <c r="AJ23" s="646"/>
      <c r="AK23" s="613"/>
    </row>
    <row r="24" spans="1:37" ht="43.5" customHeight="1" outlineLevel="1">
      <c r="A24" s="1420"/>
      <c r="B24" s="646"/>
      <c r="C24" s="646"/>
      <c r="D24" s="646"/>
      <c r="E24" s="646"/>
      <c r="F24" s="646"/>
      <c r="G24" s="652"/>
      <c r="H24" s="646"/>
      <c r="I24" s="646"/>
      <c r="J24" s="1373"/>
      <c r="K24" s="1373"/>
      <c r="L24" s="1373"/>
      <c r="M24" s="646"/>
      <c r="N24" s="646"/>
      <c r="O24" s="646"/>
      <c r="P24" s="646"/>
      <c r="Q24" s="646"/>
      <c r="R24" s="646"/>
      <c r="S24" s="646"/>
      <c r="T24" s="646"/>
      <c r="U24" s="646"/>
      <c r="V24" s="739"/>
      <c r="W24" s="739"/>
      <c r="X24" s="1600" t="s">
        <v>306</v>
      </c>
      <c r="Y24" s="1375" t="s">
        <v>307</v>
      </c>
      <c r="Z24" s="1375">
        <v>6</v>
      </c>
      <c r="AA24" s="1375">
        <v>2</v>
      </c>
      <c r="AB24" s="1375">
        <v>50</v>
      </c>
      <c r="AC24" s="1375">
        <v>1</v>
      </c>
      <c r="AD24" s="1375" t="s">
        <v>286</v>
      </c>
      <c r="AE24" s="1601" t="s">
        <v>287</v>
      </c>
      <c r="AF24" s="646"/>
      <c r="AG24" s="646"/>
      <c r="AH24" s="646"/>
      <c r="AI24" s="646"/>
      <c r="AJ24" s="646"/>
      <c r="AK24" s="613"/>
    </row>
    <row r="25" spans="1:37" ht="29.25" customHeight="1" outlineLevel="1">
      <c r="A25" s="1420"/>
      <c r="B25" s="646"/>
      <c r="C25" s="646"/>
      <c r="D25" s="646"/>
      <c r="E25" s="646"/>
      <c r="F25" s="646"/>
      <c r="G25" s="652"/>
      <c r="H25" s="646"/>
      <c r="I25" s="646"/>
      <c r="J25" s="1373"/>
      <c r="K25" s="1373"/>
      <c r="L25" s="1373"/>
      <c r="M25" s="646"/>
      <c r="N25" s="646"/>
      <c r="O25" s="646"/>
      <c r="P25" s="646"/>
      <c r="Q25" s="646"/>
      <c r="R25" s="646"/>
      <c r="S25" s="646"/>
      <c r="T25" s="646"/>
      <c r="U25" s="646"/>
      <c r="V25" s="739"/>
      <c r="W25" s="739"/>
      <c r="X25" s="1602" t="s">
        <v>308</v>
      </c>
      <c r="Y25" s="1375" t="s">
        <v>309</v>
      </c>
      <c r="Z25" s="1375">
        <v>6</v>
      </c>
      <c r="AA25" s="1375">
        <v>3</v>
      </c>
      <c r="AB25" s="1375">
        <v>51</v>
      </c>
      <c r="AC25" s="1375">
        <v>1</v>
      </c>
      <c r="AD25" s="1375" t="s">
        <v>286</v>
      </c>
      <c r="AE25" s="1603" t="s">
        <v>287</v>
      </c>
      <c r="AF25" s="646"/>
      <c r="AG25" s="646"/>
      <c r="AH25" s="646"/>
      <c r="AI25" s="646"/>
      <c r="AJ25" s="646"/>
      <c r="AK25" s="613" t="s">
        <v>310</v>
      </c>
    </row>
    <row r="26" spans="1:37" ht="29.25" customHeight="1" outlineLevel="1">
      <c r="A26" s="1420"/>
      <c r="B26" s="646"/>
      <c r="C26" s="646"/>
      <c r="D26" s="646"/>
      <c r="E26" s="646"/>
      <c r="F26" s="646"/>
      <c r="G26" s="652"/>
      <c r="H26" s="646"/>
      <c r="I26" s="646"/>
      <c r="J26" s="1373"/>
      <c r="K26" s="1373"/>
      <c r="L26" s="1373"/>
      <c r="M26" s="646"/>
      <c r="N26" s="646"/>
      <c r="O26" s="646"/>
      <c r="P26" s="646"/>
      <c r="Q26" s="646"/>
      <c r="R26" s="646"/>
      <c r="S26" s="646"/>
      <c r="T26" s="646"/>
      <c r="U26" s="646"/>
      <c r="V26" s="739"/>
      <c r="W26" s="739"/>
      <c r="X26" s="1604" t="s">
        <v>311</v>
      </c>
      <c r="Y26" s="1375" t="s">
        <v>312</v>
      </c>
      <c r="Z26" s="1375">
        <v>6</v>
      </c>
      <c r="AA26" s="1375">
        <v>4</v>
      </c>
      <c r="AB26" s="1375">
        <v>52</v>
      </c>
      <c r="AC26" s="1375">
        <v>1</v>
      </c>
      <c r="AD26" s="1375" t="s">
        <v>286</v>
      </c>
      <c r="AE26" s="1605" t="s">
        <v>287</v>
      </c>
      <c r="AF26" s="646"/>
      <c r="AG26" s="646"/>
      <c r="AH26" s="646"/>
      <c r="AI26" s="646"/>
      <c r="AJ26" s="646"/>
      <c r="AK26" s="613"/>
    </row>
    <row r="27" spans="1:37" ht="43.5" customHeight="1" outlineLevel="1">
      <c r="A27" s="1420"/>
      <c r="B27" s="646"/>
      <c r="C27" s="646"/>
      <c r="D27" s="646"/>
      <c r="E27" s="646"/>
      <c r="F27" s="646"/>
      <c r="G27" s="652"/>
      <c r="H27" s="646"/>
      <c r="I27" s="646"/>
      <c r="J27" s="1373"/>
      <c r="K27" s="1373"/>
      <c r="L27" s="1373"/>
      <c r="M27" s="646"/>
      <c r="N27" s="646"/>
      <c r="O27" s="646"/>
      <c r="P27" s="646"/>
      <c r="Q27" s="646"/>
      <c r="R27" s="646"/>
      <c r="S27" s="646"/>
      <c r="T27" s="646"/>
      <c r="U27" s="646"/>
      <c r="V27" s="739"/>
      <c r="W27" s="739"/>
      <c r="X27" s="1606" t="s">
        <v>313</v>
      </c>
      <c r="Y27" s="1375" t="s">
        <v>314</v>
      </c>
      <c r="Z27" s="1375">
        <v>6</v>
      </c>
      <c r="AA27" s="1375">
        <v>5</v>
      </c>
      <c r="AB27" s="1375">
        <v>53</v>
      </c>
      <c r="AC27" s="1375">
        <v>1</v>
      </c>
      <c r="AD27" s="1375" t="s">
        <v>286</v>
      </c>
      <c r="AE27" s="1607" t="s">
        <v>287</v>
      </c>
      <c r="AF27" s="646"/>
      <c r="AG27" s="646"/>
      <c r="AH27" s="646"/>
      <c r="AI27" s="646"/>
      <c r="AJ27" s="646"/>
      <c r="AK27" s="613"/>
    </row>
    <row r="28" spans="1:37" ht="29.25" customHeight="1" outlineLevel="1">
      <c r="A28" s="1420"/>
      <c r="B28" s="646"/>
      <c r="C28" s="646"/>
      <c r="D28" s="646"/>
      <c r="E28" s="646"/>
      <c r="F28" s="646"/>
      <c r="G28" s="652"/>
      <c r="H28" s="646"/>
      <c r="I28" s="646"/>
      <c r="J28" s="1373"/>
      <c r="K28" s="1373"/>
      <c r="L28" s="1373"/>
      <c r="M28" s="646"/>
      <c r="N28" s="646"/>
      <c r="O28" s="646"/>
      <c r="P28" s="646"/>
      <c r="Q28" s="646"/>
      <c r="R28" s="646"/>
      <c r="S28" s="646"/>
      <c r="T28" s="646"/>
      <c r="U28" s="646"/>
      <c r="V28" s="739"/>
      <c r="W28" s="739"/>
      <c r="X28" s="1608" t="s">
        <v>315</v>
      </c>
      <c r="Y28" s="1375" t="s">
        <v>316</v>
      </c>
      <c r="Z28" s="1375">
        <v>6</v>
      </c>
      <c r="AA28" s="1375">
        <v>6</v>
      </c>
      <c r="AB28" s="1375">
        <v>54</v>
      </c>
      <c r="AC28" s="1375">
        <v>1</v>
      </c>
      <c r="AD28" s="1375" t="s">
        <v>286</v>
      </c>
      <c r="AE28" s="1609" t="s">
        <v>287</v>
      </c>
      <c r="AF28" s="646"/>
      <c r="AG28" s="646"/>
      <c r="AH28" s="646"/>
      <c r="AI28" s="646"/>
      <c r="AJ28" s="646"/>
      <c r="AK28" s="613"/>
    </row>
    <row r="29" spans="1:37" ht="29.25" customHeight="1" outlineLevel="1">
      <c r="A29" s="1420"/>
      <c r="B29" s="646"/>
      <c r="C29" s="646"/>
      <c r="D29" s="646"/>
      <c r="E29" s="646"/>
      <c r="F29" s="646"/>
      <c r="G29" s="652"/>
      <c r="H29" s="646"/>
      <c r="I29" s="646"/>
      <c r="J29" s="1373"/>
      <c r="K29" s="1373"/>
      <c r="L29" s="1373"/>
      <c r="M29" s="646"/>
      <c r="N29" s="646"/>
      <c r="O29" s="646"/>
      <c r="P29" s="646"/>
      <c r="Q29" s="646"/>
      <c r="R29" s="646"/>
      <c r="S29" s="646"/>
      <c r="T29" s="646"/>
      <c r="U29" s="646"/>
      <c r="V29" s="739"/>
      <c r="W29" s="739"/>
      <c r="X29" s="1610" t="s">
        <v>317</v>
      </c>
      <c r="Y29" s="1375" t="s">
        <v>318</v>
      </c>
      <c r="Z29" s="1375">
        <v>6</v>
      </c>
      <c r="AA29" s="1375">
        <v>7</v>
      </c>
      <c r="AB29" s="1375">
        <v>55</v>
      </c>
      <c r="AC29" s="1375">
        <v>1</v>
      </c>
      <c r="AD29" s="1375" t="s">
        <v>286</v>
      </c>
      <c r="AE29" s="1611" t="s">
        <v>287</v>
      </c>
      <c r="AF29" s="646"/>
      <c r="AG29" s="646"/>
      <c r="AH29" s="646"/>
      <c r="AI29" s="646"/>
      <c r="AJ29" s="646"/>
      <c r="AK29" s="613"/>
    </row>
    <row r="30" spans="1:37" ht="43.5" customHeight="1" outlineLevel="1">
      <c r="A30" s="1420"/>
      <c r="B30" s="646"/>
      <c r="C30" s="646"/>
      <c r="D30" s="646"/>
      <c r="E30" s="646"/>
      <c r="F30" s="646"/>
      <c r="G30" s="652"/>
      <c r="H30" s="646"/>
      <c r="I30" s="646"/>
      <c r="J30" s="1373"/>
      <c r="K30" s="1373"/>
      <c r="L30" s="1373"/>
      <c r="M30" s="646"/>
      <c r="N30" s="646"/>
      <c r="O30" s="646"/>
      <c r="P30" s="646"/>
      <c r="Q30" s="646"/>
      <c r="R30" s="646"/>
      <c r="S30" s="646"/>
      <c r="T30" s="646"/>
      <c r="U30" s="646"/>
      <c r="V30" s="739"/>
      <c r="W30" s="739"/>
      <c r="X30" s="1612" t="s">
        <v>319</v>
      </c>
      <c r="Y30" s="1375" t="s">
        <v>320</v>
      </c>
      <c r="Z30" s="1375">
        <v>7</v>
      </c>
      <c r="AA30" s="1375">
        <v>0</v>
      </c>
      <c r="AB30" s="1375">
        <v>56</v>
      </c>
      <c r="AC30" s="1375">
        <v>1</v>
      </c>
      <c r="AD30" s="1375" t="s">
        <v>286</v>
      </c>
      <c r="AE30" s="1613" t="s">
        <v>287</v>
      </c>
      <c r="AF30" s="646"/>
      <c r="AG30" s="646"/>
      <c r="AH30" s="646"/>
      <c r="AI30" s="646"/>
      <c r="AJ30" s="646"/>
      <c r="AK30" s="613"/>
    </row>
    <row r="31" spans="1:37" ht="34.15" customHeight="1" outlineLevel="1">
      <c r="A31" s="1420"/>
      <c r="B31" s="646"/>
      <c r="C31" s="646"/>
      <c r="D31" s="646"/>
      <c r="E31" s="646"/>
      <c r="F31" s="646"/>
      <c r="G31" s="652"/>
      <c r="H31" s="646"/>
      <c r="I31" s="646"/>
      <c r="J31" s="1373"/>
      <c r="K31" s="1373"/>
      <c r="L31" s="1373"/>
      <c r="M31" s="646"/>
      <c r="N31" s="646"/>
      <c r="O31" s="646"/>
      <c r="P31" s="646"/>
      <c r="Q31" s="646"/>
      <c r="R31" s="646"/>
      <c r="S31" s="646"/>
      <c r="T31" s="646"/>
      <c r="U31" s="646"/>
      <c r="V31" s="739"/>
      <c r="W31" s="739"/>
      <c r="X31" s="1614" t="s">
        <v>321</v>
      </c>
      <c r="Y31" s="1375" t="s">
        <v>322</v>
      </c>
      <c r="Z31" s="1375">
        <v>7</v>
      </c>
      <c r="AA31" s="1375">
        <v>1</v>
      </c>
      <c r="AB31" s="1375">
        <v>57</v>
      </c>
      <c r="AC31" s="1375">
        <v>1</v>
      </c>
      <c r="AD31" s="1375" t="s">
        <v>286</v>
      </c>
      <c r="AE31" s="1615" t="s">
        <v>287</v>
      </c>
      <c r="AF31" s="646"/>
      <c r="AG31" s="646"/>
      <c r="AH31" s="646"/>
      <c r="AI31" s="646"/>
      <c r="AJ31" s="646"/>
      <c r="AK31" s="613"/>
    </row>
    <row r="32" spans="1:37" ht="18" customHeight="1" outlineLevel="1">
      <c r="A32" s="1420"/>
      <c r="B32" s="646"/>
      <c r="C32" s="646"/>
      <c r="D32" s="646"/>
      <c r="E32" s="646"/>
      <c r="F32" s="646"/>
      <c r="G32" s="652"/>
      <c r="H32" s="646"/>
      <c r="I32" s="646"/>
      <c r="J32" s="1373"/>
      <c r="K32" s="1373"/>
      <c r="L32" s="1373"/>
      <c r="M32" s="646"/>
      <c r="N32" s="646"/>
      <c r="O32" s="646"/>
      <c r="P32" s="646"/>
      <c r="Q32" s="646"/>
      <c r="R32" s="646"/>
      <c r="S32" s="646"/>
      <c r="T32" s="646"/>
      <c r="U32" s="646"/>
      <c r="V32" s="739"/>
      <c r="W32" s="739"/>
      <c r="X32" s="739"/>
      <c r="Y32" s="739"/>
      <c r="Z32" s="646"/>
      <c r="AA32" s="646"/>
      <c r="AB32" s="646"/>
      <c r="AC32" s="646"/>
      <c r="AD32" s="646"/>
      <c r="AE32" s="646"/>
      <c r="AF32" s="646"/>
      <c r="AG32" s="646"/>
      <c r="AH32" s="646"/>
      <c r="AI32" s="646"/>
      <c r="AJ32" s="646"/>
      <c r="AK32" s="613"/>
    </row>
    <row r="33" spans="1:40" ht="18" customHeight="1">
      <c r="A33" s="765">
        <v>1</v>
      </c>
      <c r="B33" s="765" t="s">
        <v>323</v>
      </c>
      <c r="C33" s="765" t="s">
        <v>324</v>
      </c>
      <c r="D33" s="765" t="s">
        <v>259</v>
      </c>
      <c r="E33" s="765">
        <v>8</v>
      </c>
      <c r="F33" s="765" t="s">
        <v>260</v>
      </c>
      <c r="G33" s="816" t="s">
        <v>261</v>
      </c>
      <c r="H33" s="765" t="s">
        <v>325</v>
      </c>
      <c r="I33" s="765"/>
      <c r="J33" s="765"/>
      <c r="K33" s="765"/>
      <c r="L33" s="765"/>
      <c r="M33" s="765"/>
      <c r="N33" s="765" t="s">
        <v>325</v>
      </c>
      <c r="O33" s="765"/>
      <c r="P33" s="765"/>
      <c r="Q33" s="765"/>
      <c r="R33" s="765"/>
      <c r="S33" s="765"/>
      <c r="T33" s="765"/>
      <c r="U33" s="765"/>
      <c r="V33" s="821"/>
      <c r="W33" s="821"/>
      <c r="X33" s="821" t="s">
        <v>326</v>
      </c>
      <c r="Y33" s="821"/>
      <c r="Z33" s="765"/>
      <c r="AA33" s="765"/>
      <c r="AB33" s="765"/>
      <c r="AC33" s="765"/>
      <c r="AD33" s="765"/>
      <c r="AE33" s="765"/>
      <c r="AF33" s="765"/>
      <c r="AG33" s="765"/>
      <c r="AH33" s="765"/>
      <c r="AI33" s="765"/>
      <c r="AJ33" s="765"/>
      <c r="AK33" s="212"/>
      <c r="AL33" s="364"/>
      <c r="AM33" s="1363"/>
      <c r="AN33" s="1363"/>
    </row>
    <row r="34" spans="1:40" ht="30.75" customHeight="1" outlineLevel="1">
      <c r="A34" s="80"/>
      <c r="B34" s="94"/>
      <c r="C34" s="94"/>
      <c r="D34" s="80"/>
      <c r="E34" s="80"/>
      <c r="F34" s="80"/>
      <c r="G34" s="182" t="s">
        <v>261</v>
      </c>
      <c r="H34" s="80" t="s">
        <v>325</v>
      </c>
      <c r="I34" s="80"/>
      <c r="M34" s="80"/>
      <c r="N34" s="80" t="s">
        <v>325</v>
      </c>
      <c r="O34" s="117"/>
      <c r="P34" s="117"/>
      <c r="Q34" s="80"/>
      <c r="R34" s="80"/>
      <c r="S34" s="80"/>
      <c r="T34" s="80"/>
      <c r="U34" s="117"/>
      <c r="V34" s="118"/>
      <c r="W34" s="118"/>
      <c r="X34" s="1616" t="s">
        <v>327</v>
      </c>
      <c r="Y34" s="119"/>
      <c r="Z34" s="121">
        <v>0</v>
      </c>
      <c r="AA34" s="122">
        <v>0</v>
      </c>
      <c r="AB34" s="122"/>
      <c r="AC34" s="122">
        <v>16</v>
      </c>
      <c r="AD34" s="122" t="s">
        <v>328</v>
      </c>
      <c r="AE34" s="1374" t="s">
        <v>329</v>
      </c>
      <c r="AF34" s="122">
        <v>1</v>
      </c>
      <c r="AG34" s="122">
        <v>0</v>
      </c>
      <c r="AH34" s="122"/>
      <c r="AI34" s="122">
        <v>0</v>
      </c>
      <c r="AJ34" s="122" t="s">
        <v>330</v>
      </c>
      <c r="AK34" s="80"/>
    </row>
    <row r="35" spans="1:40" ht="41.25" customHeight="1" outlineLevel="1">
      <c r="A35" s="80"/>
      <c r="B35" s="94"/>
      <c r="C35" s="94"/>
      <c r="D35" s="80"/>
      <c r="E35" s="80"/>
      <c r="F35" s="80"/>
      <c r="G35" s="182" t="s">
        <v>261</v>
      </c>
      <c r="H35" s="80" t="s">
        <v>325</v>
      </c>
      <c r="I35" s="80"/>
      <c r="M35" s="80"/>
      <c r="N35" s="80" t="s">
        <v>325</v>
      </c>
      <c r="O35" s="117"/>
      <c r="P35" s="117"/>
      <c r="Q35" s="80"/>
      <c r="R35" s="80"/>
      <c r="S35" s="80"/>
      <c r="T35" s="80"/>
      <c r="U35" s="117"/>
      <c r="V35" s="117"/>
      <c r="W35" s="117"/>
      <c r="X35" s="1617" t="s">
        <v>331</v>
      </c>
      <c r="Y35" s="594" t="s">
        <v>332</v>
      </c>
      <c r="Z35" s="625">
        <v>2</v>
      </c>
      <c r="AA35" s="595">
        <v>0</v>
      </c>
      <c r="AB35" s="595">
        <f>Z35*8+AA35</f>
        <v>16</v>
      </c>
      <c r="AC35" s="595">
        <v>4</v>
      </c>
      <c r="AD35" s="71" t="s">
        <v>286</v>
      </c>
      <c r="AE35" s="1618" t="s">
        <v>333</v>
      </c>
      <c r="AF35" s="595">
        <v>1</v>
      </c>
      <c r="AG35" s="595"/>
      <c r="AH35" s="599"/>
      <c r="AI35" s="595"/>
      <c r="AJ35" s="595"/>
      <c r="AK35" s="80"/>
    </row>
    <row r="36" spans="1:40" ht="30.75" customHeight="1" outlineLevel="1">
      <c r="A36" s="80"/>
      <c r="B36" s="94"/>
      <c r="C36" s="94"/>
      <c r="D36" s="80"/>
      <c r="E36" s="80"/>
      <c r="F36" s="80"/>
      <c r="G36" s="182" t="s">
        <v>261</v>
      </c>
      <c r="H36" s="80" t="s">
        <v>325</v>
      </c>
      <c r="I36" s="80"/>
      <c r="M36" s="80"/>
      <c r="N36" s="80" t="s">
        <v>325</v>
      </c>
      <c r="O36" s="117"/>
      <c r="P36" s="117"/>
      <c r="Q36" s="80"/>
      <c r="R36" s="80"/>
      <c r="S36" s="80"/>
      <c r="T36" s="80"/>
      <c r="U36" s="117"/>
      <c r="V36" s="118"/>
      <c r="W36" s="118"/>
      <c r="X36" s="1619" t="s">
        <v>334</v>
      </c>
      <c r="Y36" s="609"/>
      <c r="Z36" s="626">
        <v>2</v>
      </c>
      <c r="AA36" s="603">
        <v>1</v>
      </c>
      <c r="AB36" s="595">
        <f>Z36*8+AA36</f>
        <v>17</v>
      </c>
      <c r="AC36" s="603">
        <v>1</v>
      </c>
      <c r="AD36" s="603" t="s">
        <v>335</v>
      </c>
      <c r="AE36" s="1620" t="s">
        <v>336</v>
      </c>
      <c r="AF36" s="603">
        <v>1</v>
      </c>
      <c r="AG36" s="603"/>
      <c r="AH36" s="602"/>
      <c r="AI36" s="603"/>
      <c r="AJ36" s="603"/>
      <c r="AK36" s="80"/>
    </row>
    <row r="37" spans="1:40" ht="60.75" customHeight="1" outlineLevel="1">
      <c r="A37" s="80"/>
      <c r="B37" s="94"/>
      <c r="C37" s="94"/>
      <c r="D37" s="80"/>
      <c r="E37" s="80"/>
      <c r="F37" s="80"/>
      <c r="G37" s="182" t="s">
        <v>261</v>
      </c>
      <c r="H37" s="80" t="s">
        <v>325</v>
      </c>
      <c r="I37" s="80"/>
      <c r="M37" s="80"/>
      <c r="N37" s="80" t="s">
        <v>325</v>
      </c>
      <c r="O37" s="117"/>
      <c r="P37" s="117"/>
      <c r="Q37" s="80"/>
      <c r="R37" s="80"/>
      <c r="S37" s="80"/>
      <c r="T37" s="80"/>
      <c r="U37" s="117"/>
      <c r="V37" s="118"/>
      <c r="W37" s="118"/>
      <c r="X37" s="1621" t="s">
        <v>337</v>
      </c>
      <c r="Y37" s="627"/>
      <c r="Z37" s="626">
        <v>2</v>
      </c>
      <c r="AA37" s="603">
        <v>2</v>
      </c>
      <c r="AB37" s="595">
        <f>Z37*8+AA37</f>
        <v>18</v>
      </c>
      <c r="AC37" s="603">
        <v>2</v>
      </c>
      <c r="AD37" s="603"/>
      <c r="AE37" s="602" t="s">
        <v>338</v>
      </c>
      <c r="AF37" s="603">
        <v>1</v>
      </c>
      <c r="AG37" s="602"/>
      <c r="AH37" s="602"/>
      <c r="AI37" s="602"/>
      <c r="AJ37" s="603"/>
      <c r="AK37" s="80"/>
      <c r="AL37" s="108" t="s">
        <v>339</v>
      </c>
    </row>
    <row r="38" spans="1:40" ht="30.75" customHeight="1" outlineLevel="1">
      <c r="A38" s="80"/>
      <c r="B38" s="94"/>
      <c r="C38" s="94"/>
      <c r="D38" s="80"/>
      <c r="E38" s="80"/>
      <c r="F38" s="80"/>
      <c r="G38" s="182" t="s">
        <v>261</v>
      </c>
      <c r="H38" s="80" t="s">
        <v>325</v>
      </c>
      <c r="I38" s="80"/>
      <c r="M38" s="80"/>
      <c r="N38" s="80" t="s">
        <v>325</v>
      </c>
      <c r="O38" s="117"/>
      <c r="P38" s="117"/>
      <c r="Q38" s="80"/>
      <c r="R38" s="80"/>
      <c r="S38" s="80"/>
      <c r="T38" s="80"/>
      <c r="U38" s="117"/>
      <c r="V38" s="117"/>
      <c r="W38" s="117"/>
      <c r="X38" s="599" t="s">
        <v>340</v>
      </c>
      <c r="Y38" s="594" t="s">
        <v>341</v>
      </c>
      <c r="Z38" s="625">
        <v>3</v>
      </c>
      <c r="AA38" s="595">
        <v>0</v>
      </c>
      <c r="AB38" s="595">
        <f>Z38*8+AA38</f>
        <v>24</v>
      </c>
      <c r="AC38" s="595">
        <v>8</v>
      </c>
      <c r="AD38" s="71" t="s">
        <v>286</v>
      </c>
      <c r="AE38" s="604" t="s">
        <v>342</v>
      </c>
      <c r="AF38" s="599"/>
      <c r="AG38" s="599"/>
      <c r="AH38" s="599"/>
      <c r="AI38" s="599"/>
      <c r="AJ38" s="595"/>
      <c r="AK38" s="80"/>
    </row>
    <row r="39" spans="1:40" s="108" customFormat="1" ht="18" customHeight="1">
      <c r="A39" s="631">
        <v>26</v>
      </c>
      <c r="B39" s="631" t="s">
        <v>343</v>
      </c>
      <c r="C39" s="631" t="s">
        <v>344</v>
      </c>
      <c r="D39" s="631" t="s">
        <v>259</v>
      </c>
      <c r="E39" s="631">
        <v>8</v>
      </c>
      <c r="F39" s="631" t="s">
        <v>260</v>
      </c>
      <c r="G39" s="632" t="s">
        <v>261</v>
      </c>
      <c r="H39" s="631"/>
      <c r="I39" s="631"/>
      <c r="J39" s="631"/>
      <c r="K39" s="631"/>
      <c r="L39" s="631"/>
      <c r="M39" s="631"/>
      <c r="N39" s="631"/>
      <c r="O39" s="631"/>
      <c r="P39" s="631"/>
      <c r="Q39" s="631"/>
      <c r="R39" s="631"/>
      <c r="S39" s="631"/>
      <c r="T39" s="631" t="s">
        <v>325</v>
      </c>
      <c r="U39" s="631"/>
      <c r="V39" s="633"/>
      <c r="W39" s="633"/>
      <c r="X39" s="633" t="s">
        <v>345</v>
      </c>
      <c r="Y39" s="633"/>
      <c r="Z39" s="631"/>
      <c r="AA39" s="631"/>
      <c r="AB39" s="634">
        <f>Z39*8+AA39</f>
        <v>0</v>
      </c>
      <c r="AC39" s="631"/>
      <c r="AD39" s="631"/>
      <c r="AE39" s="631"/>
      <c r="AF39" s="631"/>
      <c r="AG39" s="631"/>
      <c r="AH39" s="631"/>
      <c r="AI39" s="631"/>
      <c r="AJ39" s="631"/>
      <c r="AK39" s="2"/>
    </row>
    <row r="40" spans="1:40" ht="26.25" customHeight="1" outlineLevel="1">
      <c r="A40" s="1128"/>
      <c r="B40" s="1128"/>
      <c r="C40" s="1128"/>
      <c r="D40" s="1128"/>
      <c r="E40" s="1128"/>
      <c r="F40" s="1128"/>
      <c r="G40" s="1129" t="s">
        <v>261</v>
      </c>
      <c r="H40" s="1130"/>
      <c r="I40" s="1130"/>
      <c r="J40" s="1131"/>
      <c r="K40" s="1131"/>
      <c r="L40" s="1131"/>
      <c r="M40" s="1131"/>
      <c r="N40" s="1131"/>
      <c r="O40" s="1131"/>
      <c r="P40" s="1131"/>
      <c r="Q40" s="1131"/>
      <c r="R40" s="1131"/>
      <c r="S40" s="1131"/>
      <c r="T40" s="1130" t="s">
        <v>325</v>
      </c>
      <c r="U40" s="1128"/>
      <c r="V40" s="1132"/>
      <c r="W40" s="1132"/>
      <c r="X40" s="1622" t="s">
        <v>346</v>
      </c>
      <c r="Y40" s="1134" t="s">
        <v>347</v>
      </c>
      <c r="Z40" s="1134">
        <v>0</v>
      </c>
      <c r="AA40" s="1133">
        <v>0</v>
      </c>
      <c r="AB40" s="1135">
        <v>0</v>
      </c>
      <c r="AC40" s="1133">
        <v>2</v>
      </c>
      <c r="AD40" s="1133"/>
      <c r="AE40" s="1133" t="s">
        <v>348</v>
      </c>
      <c r="AF40" s="1132"/>
      <c r="AG40" s="1132"/>
      <c r="AH40" s="1132"/>
      <c r="AI40" s="1132"/>
      <c r="AJ40" s="1131"/>
      <c r="AK40" s="1130"/>
      <c r="AL40" s="1136"/>
    </row>
    <row r="41" spans="1:40" ht="26.25" customHeight="1" outlineLevel="1">
      <c r="A41" s="1128"/>
      <c r="B41" s="1128"/>
      <c r="C41" s="1128"/>
      <c r="D41" s="1128"/>
      <c r="E41" s="1128"/>
      <c r="F41" s="1128"/>
      <c r="G41" s="1129" t="s">
        <v>261</v>
      </c>
      <c r="H41" s="1130"/>
      <c r="I41" s="1130"/>
      <c r="J41" s="1131"/>
      <c r="K41" s="1131"/>
      <c r="L41" s="1131"/>
      <c r="M41" s="1131"/>
      <c r="N41" s="1131"/>
      <c r="O41" s="1131"/>
      <c r="P41" s="1131"/>
      <c r="Q41" s="1131"/>
      <c r="R41" s="1131"/>
      <c r="S41" s="1131"/>
      <c r="T41" s="1130" t="s">
        <v>325</v>
      </c>
      <c r="U41" s="1128"/>
      <c r="V41" s="1132"/>
      <c r="W41" s="1132"/>
      <c r="X41" s="1623" t="s">
        <v>349</v>
      </c>
      <c r="Y41" s="1134" t="s">
        <v>350</v>
      </c>
      <c r="Z41" s="1137">
        <v>0</v>
      </c>
      <c r="AA41" s="1135">
        <v>1</v>
      </c>
      <c r="AB41" s="1135">
        <v>2</v>
      </c>
      <c r="AC41" s="1135">
        <v>2</v>
      </c>
      <c r="AD41" s="1135"/>
      <c r="AE41" s="1133" t="s">
        <v>348</v>
      </c>
      <c r="AF41" s="1132"/>
      <c r="AG41" s="1132"/>
      <c r="AH41" s="1132"/>
      <c r="AI41" s="1132"/>
      <c r="AJ41" s="1131"/>
      <c r="AK41" s="1130"/>
      <c r="AL41" s="1136"/>
    </row>
    <row r="42" spans="1:40" ht="26.25" customHeight="1" outlineLevel="1">
      <c r="A42" s="1128"/>
      <c r="B42" s="1128"/>
      <c r="C42" s="1128"/>
      <c r="D42" s="1128"/>
      <c r="E42" s="1128"/>
      <c r="F42" s="1128"/>
      <c r="G42" s="1129" t="s">
        <v>261</v>
      </c>
      <c r="H42" s="1130"/>
      <c r="I42" s="1130"/>
      <c r="J42" s="1131"/>
      <c r="K42" s="1131"/>
      <c r="L42" s="1131"/>
      <c r="M42" s="1131"/>
      <c r="N42" s="1131"/>
      <c r="O42" s="1131"/>
      <c r="P42" s="1131"/>
      <c r="Q42" s="1131"/>
      <c r="R42" s="1131"/>
      <c r="S42" s="1131"/>
      <c r="T42" s="1130" t="s">
        <v>325</v>
      </c>
      <c r="U42" s="1128"/>
      <c r="V42" s="1132"/>
      <c r="W42" s="1132"/>
      <c r="X42" s="1624" t="s">
        <v>351</v>
      </c>
      <c r="Y42" s="1137" t="s">
        <v>352</v>
      </c>
      <c r="Z42" s="1137">
        <v>0</v>
      </c>
      <c r="AA42" s="1135">
        <v>2</v>
      </c>
      <c r="AB42" s="1135">
        <v>4</v>
      </c>
      <c r="AC42" s="1135">
        <v>2</v>
      </c>
      <c r="AD42" s="1135"/>
      <c r="AE42" s="1133" t="s">
        <v>348</v>
      </c>
      <c r="AF42" s="1132"/>
      <c r="AG42" s="1132"/>
      <c r="AH42" s="1132"/>
      <c r="AI42" s="1132"/>
      <c r="AJ42" s="1131"/>
      <c r="AK42" s="1130"/>
      <c r="AL42" s="1136"/>
    </row>
    <row r="43" spans="1:40" ht="26.25" customHeight="1" outlineLevel="1">
      <c r="A43" s="1128"/>
      <c r="B43" s="1128"/>
      <c r="C43" s="1128"/>
      <c r="D43" s="1128"/>
      <c r="E43" s="1128"/>
      <c r="F43" s="1128"/>
      <c r="G43" s="1129" t="s">
        <v>261</v>
      </c>
      <c r="H43" s="1130"/>
      <c r="I43" s="1130"/>
      <c r="J43" s="1131"/>
      <c r="K43" s="1131"/>
      <c r="L43" s="1131"/>
      <c r="M43" s="1131"/>
      <c r="N43" s="1131"/>
      <c r="O43" s="1131"/>
      <c r="P43" s="1131"/>
      <c r="Q43" s="1131"/>
      <c r="R43" s="1131"/>
      <c r="S43" s="1131"/>
      <c r="T43" s="1130" t="s">
        <v>325</v>
      </c>
      <c r="U43" s="1128"/>
      <c r="V43" s="1132"/>
      <c r="W43" s="1132"/>
      <c r="X43" s="1625" t="s">
        <v>353</v>
      </c>
      <c r="Y43" s="1137" t="s">
        <v>354</v>
      </c>
      <c r="Z43" s="1137">
        <v>0</v>
      </c>
      <c r="AA43" s="1135">
        <v>3</v>
      </c>
      <c r="AB43" s="1135">
        <v>6</v>
      </c>
      <c r="AC43" s="1135">
        <v>2</v>
      </c>
      <c r="AD43" s="1135"/>
      <c r="AE43" s="1133" t="s">
        <v>348</v>
      </c>
      <c r="AF43" s="1132"/>
      <c r="AG43" s="1132"/>
      <c r="AH43" s="1132"/>
      <c r="AI43" s="1132"/>
      <c r="AJ43" s="1131"/>
      <c r="AK43" s="1130"/>
      <c r="AL43" s="1136"/>
    </row>
    <row r="44" spans="1:40" ht="26.25" customHeight="1" outlineLevel="1">
      <c r="A44" s="1128"/>
      <c r="B44" s="1128"/>
      <c r="C44" s="1128"/>
      <c r="D44" s="1128"/>
      <c r="E44" s="1128"/>
      <c r="F44" s="1128"/>
      <c r="G44" s="1129" t="s">
        <v>261</v>
      </c>
      <c r="H44" s="1130"/>
      <c r="I44" s="1130"/>
      <c r="J44" s="1131"/>
      <c r="K44" s="1131"/>
      <c r="L44" s="1131"/>
      <c r="M44" s="1131"/>
      <c r="N44" s="1131"/>
      <c r="O44" s="1131"/>
      <c r="P44" s="1131"/>
      <c r="Q44" s="1131"/>
      <c r="R44" s="1131"/>
      <c r="S44" s="1131"/>
      <c r="T44" s="1130" t="s">
        <v>325</v>
      </c>
      <c r="U44" s="1128"/>
      <c r="V44" s="1132"/>
      <c r="W44" s="1132"/>
      <c r="X44" s="1626" t="s">
        <v>355</v>
      </c>
      <c r="Y44" s="1137" t="s">
        <v>356</v>
      </c>
      <c r="Z44" s="1137">
        <v>0</v>
      </c>
      <c r="AA44" s="1135">
        <v>4</v>
      </c>
      <c r="AB44" s="1135">
        <v>8</v>
      </c>
      <c r="AC44" s="1135">
        <v>2</v>
      </c>
      <c r="AD44" s="1135"/>
      <c r="AE44" s="1133" t="s">
        <v>348</v>
      </c>
      <c r="AF44" s="1132"/>
      <c r="AG44" s="1132"/>
      <c r="AH44" s="1132"/>
      <c r="AI44" s="1132"/>
      <c r="AJ44" s="1131"/>
      <c r="AK44" s="1130"/>
      <c r="AL44" s="1136"/>
    </row>
    <row r="45" spans="1:40" ht="26.25" customHeight="1" outlineLevel="1">
      <c r="A45" s="1128"/>
      <c r="B45" s="1128"/>
      <c r="C45" s="1128"/>
      <c r="D45" s="1128"/>
      <c r="E45" s="1128"/>
      <c r="F45" s="1128"/>
      <c r="G45" s="1129" t="s">
        <v>261</v>
      </c>
      <c r="H45" s="1130"/>
      <c r="I45" s="1130"/>
      <c r="J45" s="1131"/>
      <c r="K45" s="1131"/>
      <c r="L45" s="1131"/>
      <c r="M45" s="1131"/>
      <c r="N45" s="1131"/>
      <c r="O45" s="1131"/>
      <c r="P45" s="1131"/>
      <c r="Q45" s="1131"/>
      <c r="R45" s="1131"/>
      <c r="S45" s="1131"/>
      <c r="T45" s="1130" t="s">
        <v>325</v>
      </c>
      <c r="U45" s="1128"/>
      <c r="V45" s="1132"/>
      <c r="W45" s="1132"/>
      <c r="X45" s="1627" t="s">
        <v>357</v>
      </c>
      <c r="Y45" s="1137" t="s">
        <v>358</v>
      </c>
      <c r="Z45" s="1137">
        <v>0</v>
      </c>
      <c r="AA45" s="1135">
        <v>5</v>
      </c>
      <c r="AB45" s="1135">
        <v>10</v>
      </c>
      <c r="AC45" s="1135">
        <v>2</v>
      </c>
      <c r="AD45" s="1135"/>
      <c r="AE45" s="1133" t="s">
        <v>348</v>
      </c>
      <c r="AF45" s="1132"/>
      <c r="AG45" s="1132"/>
      <c r="AH45" s="1132"/>
      <c r="AI45" s="1132"/>
      <c r="AJ45" s="1131"/>
      <c r="AK45" s="1130"/>
      <c r="AL45" s="1136"/>
    </row>
    <row r="46" spans="1:40" ht="26.25" customHeight="1" outlineLevel="1">
      <c r="A46" s="1128"/>
      <c r="B46" s="1128"/>
      <c r="C46" s="1128"/>
      <c r="D46" s="1128"/>
      <c r="E46" s="1128"/>
      <c r="F46" s="1128"/>
      <c r="G46" s="1129" t="s">
        <v>261</v>
      </c>
      <c r="H46" s="1130"/>
      <c r="I46" s="1130"/>
      <c r="J46" s="1131"/>
      <c r="K46" s="1131"/>
      <c r="L46" s="1131"/>
      <c r="M46" s="1131"/>
      <c r="N46" s="1131"/>
      <c r="O46" s="1131"/>
      <c r="P46" s="1131"/>
      <c r="Q46" s="1131"/>
      <c r="R46" s="1131"/>
      <c r="S46" s="1131"/>
      <c r="T46" s="1130" t="s">
        <v>325</v>
      </c>
      <c r="U46" s="1128"/>
      <c r="V46" s="1132"/>
      <c r="W46" s="1132"/>
      <c r="X46" s="1628" t="s">
        <v>359</v>
      </c>
      <c r="Y46" s="1137" t="s">
        <v>360</v>
      </c>
      <c r="Z46" s="1137">
        <v>0</v>
      </c>
      <c r="AA46" s="1135">
        <v>6</v>
      </c>
      <c r="AB46" s="1135">
        <v>12</v>
      </c>
      <c r="AC46" s="1135">
        <v>2</v>
      </c>
      <c r="AD46" s="1135"/>
      <c r="AE46" s="1133" t="s">
        <v>348</v>
      </c>
      <c r="AF46" s="1132"/>
      <c r="AG46" s="1132"/>
      <c r="AH46" s="1132"/>
      <c r="AI46" s="1132"/>
      <c r="AJ46" s="1131"/>
      <c r="AK46" s="1130"/>
      <c r="AL46" s="1136"/>
    </row>
    <row r="47" spans="1:40" ht="26.25" customHeight="1" outlineLevel="1">
      <c r="A47" s="1128"/>
      <c r="B47" s="1128"/>
      <c r="C47" s="1128"/>
      <c r="D47" s="1128"/>
      <c r="E47" s="1128"/>
      <c r="F47" s="1128"/>
      <c r="G47" s="1129" t="s">
        <v>261</v>
      </c>
      <c r="H47" s="1130"/>
      <c r="I47" s="1130"/>
      <c r="J47" s="1131"/>
      <c r="K47" s="1131"/>
      <c r="L47" s="1131"/>
      <c r="M47" s="1131"/>
      <c r="N47" s="1131"/>
      <c r="O47" s="1131"/>
      <c r="P47" s="1131"/>
      <c r="Q47" s="1131"/>
      <c r="R47" s="1131"/>
      <c r="S47" s="1131"/>
      <c r="T47" s="1130" t="s">
        <v>325</v>
      </c>
      <c r="U47" s="1128"/>
      <c r="V47" s="1132"/>
      <c r="W47" s="1132"/>
      <c r="X47" s="1629" t="s">
        <v>361</v>
      </c>
      <c r="Y47" s="1137" t="s">
        <v>362</v>
      </c>
      <c r="Z47" s="1137">
        <v>0</v>
      </c>
      <c r="AA47" s="1135">
        <v>7</v>
      </c>
      <c r="AB47" s="1135">
        <v>14</v>
      </c>
      <c r="AC47" s="1135">
        <v>2</v>
      </c>
      <c r="AD47" s="1135"/>
      <c r="AE47" s="1133" t="s">
        <v>348</v>
      </c>
      <c r="AF47" s="1132"/>
      <c r="AG47" s="1132"/>
      <c r="AH47" s="1132"/>
      <c r="AI47" s="1132"/>
      <c r="AJ47" s="1131"/>
      <c r="AK47" s="1130"/>
      <c r="AL47" s="1136"/>
    </row>
    <row r="48" spans="1:40" ht="26.25" customHeight="1" outlineLevel="1">
      <c r="A48" s="1128"/>
      <c r="B48" s="1128"/>
      <c r="C48" s="1128"/>
      <c r="D48" s="1128"/>
      <c r="E48" s="1128"/>
      <c r="F48" s="1128"/>
      <c r="G48" s="1129" t="s">
        <v>261</v>
      </c>
      <c r="H48" s="1130"/>
      <c r="I48" s="1130"/>
      <c r="J48" s="1131"/>
      <c r="K48" s="1131"/>
      <c r="L48" s="1131"/>
      <c r="M48" s="1131"/>
      <c r="N48" s="1131"/>
      <c r="O48" s="1131"/>
      <c r="P48" s="1131"/>
      <c r="Q48" s="1131"/>
      <c r="R48" s="1131"/>
      <c r="S48" s="1131"/>
      <c r="T48" s="1130" t="s">
        <v>325</v>
      </c>
      <c r="U48" s="1128"/>
      <c r="V48" s="1132"/>
      <c r="W48" s="1132"/>
      <c r="X48" s="1630" t="s">
        <v>363</v>
      </c>
      <c r="Y48" s="1137" t="s">
        <v>364</v>
      </c>
      <c r="Z48" s="1137">
        <v>1</v>
      </c>
      <c r="AA48" s="1135">
        <v>0</v>
      </c>
      <c r="AB48" s="1135">
        <v>16</v>
      </c>
      <c r="AC48" s="1135">
        <v>2</v>
      </c>
      <c r="AD48" s="1135"/>
      <c r="AE48" s="1133" t="s">
        <v>348</v>
      </c>
      <c r="AF48" s="1132"/>
      <c r="AG48" s="1132"/>
      <c r="AH48" s="1132"/>
      <c r="AI48" s="1132"/>
      <c r="AJ48" s="1131"/>
      <c r="AK48" s="1130"/>
      <c r="AL48" s="1136"/>
    </row>
    <row r="49" spans="1:40" ht="26.25" customHeight="1" outlineLevel="1">
      <c r="A49" s="1128"/>
      <c r="B49" s="1128"/>
      <c r="C49" s="1128"/>
      <c r="D49" s="1128"/>
      <c r="E49" s="1128"/>
      <c r="F49" s="1128"/>
      <c r="G49" s="1129" t="s">
        <v>261</v>
      </c>
      <c r="H49" s="1130"/>
      <c r="I49" s="1130"/>
      <c r="J49" s="1131"/>
      <c r="K49" s="1131"/>
      <c r="L49" s="1131"/>
      <c r="M49" s="1131"/>
      <c r="N49" s="1131"/>
      <c r="O49" s="1131"/>
      <c r="P49" s="1131"/>
      <c r="Q49" s="1131"/>
      <c r="R49" s="1131"/>
      <c r="S49" s="1131"/>
      <c r="T49" s="1130" t="s">
        <v>325</v>
      </c>
      <c r="U49" s="1128"/>
      <c r="V49" s="1132"/>
      <c r="W49" s="1132"/>
      <c r="X49" s="1631" t="s">
        <v>365</v>
      </c>
      <c r="Y49" s="1137" t="s">
        <v>366</v>
      </c>
      <c r="Z49" s="1137">
        <v>1</v>
      </c>
      <c r="AA49" s="1135">
        <v>1</v>
      </c>
      <c r="AB49" s="1135">
        <v>18</v>
      </c>
      <c r="AC49" s="1135">
        <v>2</v>
      </c>
      <c r="AD49" s="1135"/>
      <c r="AE49" s="1133" t="s">
        <v>348</v>
      </c>
      <c r="AF49" s="1132"/>
      <c r="AG49" s="1132"/>
      <c r="AH49" s="1132"/>
      <c r="AI49" s="1132"/>
      <c r="AJ49" s="1131"/>
      <c r="AK49" s="1130"/>
      <c r="AL49" s="1136"/>
    </row>
    <row r="50" spans="1:40" ht="26.25" customHeight="1" outlineLevel="1">
      <c r="A50" s="1128"/>
      <c r="B50" s="1128"/>
      <c r="C50" s="1128"/>
      <c r="D50" s="1128"/>
      <c r="E50" s="1128"/>
      <c r="F50" s="1128"/>
      <c r="G50" s="1129" t="s">
        <v>261</v>
      </c>
      <c r="H50" s="1130"/>
      <c r="I50" s="1130"/>
      <c r="J50" s="1131"/>
      <c r="K50" s="1131"/>
      <c r="L50" s="1131"/>
      <c r="M50" s="1131"/>
      <c r="N50" s="1131"/>
      <c r="O50" s="1131"/>
      <c r="P50" s="1131"/>
      <c r="Q50" s="1131"/>
      <c r="R50" s="1131"/>
      <c r="S50" s="1131"/>
      <c r="T50" s="1130" t="s">
        <v>325</v>
      </c>
      <c r="U50" s="1128"/>
      <c r="V50" s="1132"/>
      <c r="W50" s="1132"/>
      <c r="X50" s="1632" t="s">
        <v>367</v>
      </c>
      <c r="Y50" s="1137" t="s">
        <v>368</v>
      </c>
      <c r="Z50" s="1137">
        <v>1</v>
      </c>
      <c r="AA50" s="1135">
        <v>2</v>
      </c>
      <c r="AB50" s="1135">
        <v>20</v>
      </c>
      <c r="AC50" s="1135">
        <v>2</v>
      </c>
      <c r="AD50" s="1135"/>
      <c r="AE50" s="1133" t="s">
        <v>348</v>
      </c>
      <c r="AF50" s="1132"/>
      <c r="AG50" s="1132"/>
      <c r="AH50" s="1132"/>
      <c r="AI50" s="1132"/>
      <c r="AJ50" s="1131"/>
      <c r="AK50" s="1130"/>
      <c r="AL50" s="1136"/>
    </row>
    <row r="51" spans="1:40" ht="26.25" customHeight="1" outlineLevel="1">
      <c r="A51" s="1128"/>
      <c r="B51" s="1128"/>
      <c r="C51" s="1128"/>
      <c r="D51" s="1128"/>
      <c r="E51" s="1128"/>
      <c r="F51" s="1128"/>
      <c r="G51" s="1129" t="s">
        <v>261</v>
      </c>
      <c r="H51" s="1130"/>
      <c r="I51" s="1130"/>
      <c r="J51" s="1131"/>
      <c r="K51" s="1131"/>
      <c r="L51" s="1131"/>
      <c r="M51" s="1131"/>
      <c r="N51" s="1131"/>
      <c r="O51" s="1131"/>
      <c r="P51" s="1131"/>
      <c r="Q51" s="1131"/>
      <c r="R51" s="1131"/>
      <c r="S51" s="1131"/>
      <c r="T51" s="1130" t="s">
        <v>325</v>
      </c>
      <c r="U51" s="1128"/>
      <c r="V51" s="1132"/>
      <c r="W51" s="1132"/>
      <c r="X51" s="1633" t="s">
        <v>369</v>
      </c>
      <c r="Y51" s="1137" t="s">
        <v>370</v>
      </c>
      <c r="Z51" s="1137">
        <v>1</v>
      </c>
      <c r="AA51" s="1135">
        <v>3</v>
      </c>
      <c r="AB51" s="1135">
        <v>22</v>
      </c>
      <c r="AC51" s="1135">
        <v>2</v>
      </c>
      <c r="AD51" s="1135"/>
      <c r="AE51" s="1133" t="s">
        <v>348</v>
      </c>
      <c r="AF51" s="1132"/>
      <c r="AG51" s="1132"/>
      <c r="AH51" s="1132"/>
      <c r="AI51" s="1132"/>
      <c r="AJ51" s="1131"/>
      <c r="AK51" s="1130"/>
      <c r="AL51" s="1136"/>
    </row>
    <row r="52" spans="1:40" ht="26.25" customHeight="1" outlineLevel="1">
      <c r="A52" s="1128"/>
      <c r="B52" s="1128"/>
      <c r="C52" s="1128"/>
      <c r="D52" s="1128"/>
      <c r="E52" s="1128"/>
      <c r="F52" s="1128"/>
      <c r="G52" s="1129" t="s">
        <v>261</v>
      </c>
      <c r="H52" s="1130"/>
      <c r="I52" s="1130"/>
      <c r="J52" s="1131"/>
      <c r="K52" s="1131"/>
      <c r="L52" s="1131"/>
      <c r="M52" s="1131"/>
      <c r="N52" s="1131"/>
      <c r="O52" s="1131"/>
      <c r="P52" s="1131"/>
      <c r="Q52" s="1131"/>
      <c r="R52" s="1131"/>
      <c r="S52" s="1131"/>
      <c r="T52" s="1130" t="s">
        <v>325</v>
      </c>
      <c r="U52" s="1128"/>
      <c r="V52" s="1132"/>
      <c r="W52" s="1132"/>
      <c r="X52" s="1634" t="s">
        <v>371</v>
      </c>
      <c r="Y52" s="1137" t="s">
        <v>372</v>
      </c>
      <c r="Z52" s="1137">
        <v>1</v>
      </c>
      <c r="AA52" s="1135">
        <v>4</v>
      </c>
      <c r="AB52" s="1135">
        <v>24</v>
      </c>
      <c r="AC52" s="1135">
        <v>2</v>
      </c>
      <c r="AD52" s="1135"/>
      <c r="AE52" s="1133" t="s">
        <v>348</v>
      </c>
      <c r="AF52" s="1132"/>
      <c r="AG52" s="1132"/>
      <c r="AH52" s="1132"/>
      <c r="AI52" s="1132"/>
      <c r="AJ52" s="1131"/>
      <c r="AK52" s="1130"/>
      <c r="AL52" s="1136"/>
    </row>
    <row r="53" spans="1:40" ht="26.25" customHeight="1" outlineLevel="1">
      <c r="A53" s="1128"/>
      <c r="B53" s="1128"/>
      <c r="C53" s="1128"/>
      <c r="D53" s="1128"/>
      <c r="E53" s="1128"/>
      <c r="F53" s="1128"/>
      <c r="G53" s="1129" t="s">
        <v>261</v>
      </c>
      <c r="H53" s="1130"/>
      <c r="I53" s="1130"/>
      <c r="J53" s="1131"/>
      <c r="K53" s="1131"/>
      <c r="L53" s="1131"/>
      <c r="M53" s="1131"/>
      <c r="N53" s="1131"/>
      <c r="O53" s="1131"/>
      <c r="P53" s="1131"/>
      <c r="Q53" s="1131"/>
      <c r="R53" s="1131"/>
      <c r="S53" s="1131"/>
      <c r="T53" s="1130" t="s">
        <v>325</v>
      </c>
      <c r="U53" s="1128"/>
      <c r="V53" s="1132"/>
      <c r="W53" s="1132"/>
      <c r="X53" s="1635" t="s">
        <v>373</v>
      </c>
      <c r="Y53" s="1137" t="s">
        <v>374</v>
      </c>
      <c r="Z53" s="1137">
        <v>1</v>
      </c>
      <c r="AA53" s="1135">
        <v>5</v>
      </c>
      <c r="AB53" s="1135">
        <v>26</v>
      </c>
      <c r="AC53" s="1135">
        <v>2</v>
      </c>
      <c r="AD53" s="1135"/>
      <c r="AE53" s="1133" t="s">
        <v>348</v>
      </c>
      <c r="AF53" s="1132"/>
      <c r="AG53" s="1132"/>
      <c r="AH53" s="1132"/>
      <c r="AI53" s="1132"/>
      <c r="AJ53" s="1131"/>
      <c r="AK53" s="1130"/>
      <c r="AL53" s="1136"/>
    </row>
    <row r="54" spans="1:40" ht="26.25" customHeight="1" outlineLevel="1">
      <c r="A54" s="1128"/>
      <c r="B54" s="1128"/>
      <c r="C54" s="1128"/>
      <c r="D54" s="1128"/>
      <c r="E54" s="1128"/>
      <c r="F54" s="1128"/>
      <c r="G54" s="1129" t="s">
        <v>261</v>
      </c>
      <c r="H54" s="1130"/>
      <c r="I54" s="1130"/>
      <c r="J54" s="1131"/>
      <c r="K54" s="1131"/>
      <c r="L54" s="1131"/>
      <c r="M54" s="1131"/>
      <c r="N54" s="1131"/>
      <c r="O54" s="1131"/>
      <c r="P54" s="1131"/>
      <c r="Q54" s="1131"/>
      <c r="R54" s="1131"/>
      <c r="S54" s="1131"/>
      <c r="T54" s="1130" t="s">
        <v>325</v>
      </c>
      <c r="U54" s="1128"/>
      <c r="V54" s="1132"/>
      <c r="W54" s="1132"/>
      <c r="X54" s="1636" t="s">
        <v>375</v>
      </c>
      <c r="Y54" s="1137" t="s">
        <v>376</v>
      </c>
      <c r="Z54" s="1137">
        <v>1</v>
      </c>
      <c r="AA54" s="1135">
        <v>6</v>
      </c>
      <c r="AB54" s="1135">
        <v>28</v>
      </c>
      <c r="AC54" s="1135">
        <v>2</v>
      </c>
      <c r="AD54" s="1135"/>
      <c r="AE54" s="1133" t="s">
        <v>348</v>
      </c>
      <c r="AF54" s="1132"/>
      <c r="AG54" s="1132"/>
      <c r="AH54" s="1132"/>
      <c r="AI54" s="1132"/>
      <c r="AJ54" s="1131"/>
      <c r="AK54" s="1130"/>
      <c r="AL54" s="1136"/>
    </row>
    <row r="55" spans="1:40" ht="26.25" customHeight="1" outlineLevel="1">
      <c r="A55" s="1128"/>
      <c r="B55" s="1128"/>
      <c r="C55" s="1128"/>
      <c r="D55" s="1128"/>
      <c r="E55" s="1128"/>
      <c r="F55" s="1128"/>
      <c r="G55" s="1129" t="s">
        <v>261</v>
      </c>
      <c r="H55" s="1130"/>
      <c r="I55" s="1130"/>
      <c r="J55" s="1131"/>
      <c r="K55" s="1131"/>
      <c r="L55" s="1131"/>
      <c r="M55" s="1131"/>
      <c r="N55" s="1131"/>
      <c r="O55" s="1131"/>
      <c r="P55" s="1131"/>
      <c r="Q55" s="1131"/>
      <c r="R55" s="1131"/>
      <c r="S55" s="1131"/>
      <c r="T55" s="1130" t="s">
        <v>325</v>
      </c>
      <c r="U55" s="1128"/>
      <c r="V55" s="1132"/>
      <c r="W55" s="1132"/>
      <c r="X55" s="1637" t="s">
        <v>377</v>
      </c>
      <c r="Y55" s="1137" t="s">
        <v>378</v>
      </c>
      <c r="Z55" s="1137">
        <v>1</v>
      </c>
      <c r="AA55" s="1135">
        <v>7</v>
      </c>
      <c r="AB55" s="1135">
        <v>30</v>
      </c>
      <c r="AC55" s="1135">
        <v>2</v>
      </c>
      <c r="AD55" s="1135"/>
      <c r="AE55" s="1133" t="s">
        <v>348</v>
      </c>
      <c r="AF55" s="1132"/>
      <c r="AG55" s="1132"/>
      <c r="AH55" s="1132"/>
      <c r="AI55" s="1132"/>
      <c r="AJ55" s="1131"/>
      <c r="AK55" s="1130"/>
      <c r="AL55" s="1136"/>
    </row>
    <row r="56" spans="1:40" ht="26.25" customHeight="1" outlineLevel="1">
      <c r="A56" s="1128"/>
      <c r="B56" s="1128"/>
      <c r="C56" s="1128"/>
      <c r="D56" s="1128"/>
      <c r="E56" s="1128"/>
      <c r="F56" s="1128"/>
      <c r="G56" s="1129" t="s">
        <v>261</v>
      </c>
      <c r="H56" s="1130"/>
      <c r="I56" s="1130"/>
      <c r="J56" s="1131"/>
      <c r="K56" s="1131"/>
      <c r="L56" s="1131"/>
      <c r="M56" s="1131"/>
      <c r="N56" s="1131"/>
      <c r="O56" s="1131"/>
      <c r="P56" s="1131"/>
      <c r="Q56" s="1131"/>
      <c r="R56" s="1131"/>
      <c r="S56" s="1131"/>
      <c r="T56" s="1130" t="s">
        <v>325</v>
      </c>
      <c r="U56" s="1128"/>
      <c r="V56" s="1132"/>
      <c r="W56" s="1132"/>
      <c r="X56" s="1638" t="s">
        <v>379</v>
      </c>
      <c r="Y56" s="1137" t="s">
        <v>380</v>
      </c>
      <c r="Z56" s="1137">
        <v>2</v>
      </c>
      <c r="AA56" s="1135">
        <v>0</v>
      </c>
      <c r="AB56" s="1135">
        <v>32</v>
      </c>
      <c r="AC56" s="1135">
        <v>4</v>
      </c>
      <c r="AD56" s="1135"/>
      <c r="AE56" s="1135" t="s">
        <v>381</v>
      </c>
      <c r="AF56" s="1132"/>
      <c r="AG56" s="1132"/>
      <c r="AH56" s="1132"/>
      <c r="AI56" s="1132"/>
      <c r="AJ56" s="1131"/>
      <c r="AK56" s="1130"/>
      <c r="AL56" s="1136"/>
    </row>
    <row r="57" spans="1:40" ht="26.25" customHeight="1" outlineLevel="1">
      <c r="A57" s="1128"/>
      <c r="B57" s="1128"/>
      <c r="C57" s="1128"/>
      <c r="D57" s="1128"/>
      <c r="E57" s="1128"/>
      <c r="F57" s="1128"/>
      <c r="G57" s="1129" t="s">
        <v>261</v>
      </c>
      <c r="H57" s="1130"/>
      <c r="I57" s="1130"/>
      <c r="J57" s="1131"/>
      <c r="K57" s="1131"/>
      <c r="L57" s="1131"/>
      <c r="M57" s="1131"/>
      <c r="N57" s="1131"/>
      <c r="O57" s="1131"/>
      <c r="P57" s="1131"/>
      <c r="Q57" s="1131"/>
      <c r="R57" s="1131"/>
      <c r="S57" s="1131"/>
      <c r="T57" s="1130" t="s">
        <v>325</v>
      </c>
      <c r="U57" s="1128"/>
      <c r="V57" s="1132"/>
      <c r="W57" s="1132"/>
      <c r="X57" s="1639" t="s">
        <v>382</v>
      </c>
      <c r="Y57" s="1137" t="s">
        <v>383</v>
      </c>
      <c r="Z57" s="1137">
        <v>3</v>
      </c>
      <c r="AA57" s="1135">
        <v>0</v>
      </c>
      <c r="AB57" s="1135">
        <v>36</v>
      </c>
      <c r="AC57" s="1135">
        <v>4</v>
      </c>
      <c r="AD57" s="1135"/>
      <c r="AE57" s="1135" t="s">
        <v>381</v>
      </c>
      <c r="AF57" s="1132"/>
      <c r="AG57" s="1132"/>
      <c r="AH57" s="1132"/>
      <c r="AI57" s="1132"/>
      <c r="AJ57" s="1131"/>
      <c r="AK57" s="1130"/>
      <c r="AL57" s="1136"/>
    </row>
    <row r="58" spans="1:40" ht="26.25" customHeight="1" outlineLevel="1">
      <c r="A58" s="1128"/>
      <c r="B58" s="1128"/>
      <c r="C58" s="1128"/>
      <c r="D58" s="1128"/>
      <c r="E58" s="1128"/>
      <c r="F58" s="1128"/>
      <c r="G58" s="1129" t="s">
        <v>261</v>
      </c>
      <c r="H58" s="1130"/>
      <c r="I58" s="1130"/>
      <c r="J58" s="1131"/>
      <c r="K58" s="1131"/>
      <c r="L58" s="1131"/>
      <c r="M58" s="1131"/>
      <c r="N58" s="1131"/>
      <c r="O58" s="1131"/>
      <c r="P58" s="1131"/>
      <c r="Q58" s="1131"/>
      <c r="R58" s="1131"/>
      <c r="S58" s="1131"/>
      <c r="T58" s="1130" t="s">
        <v>325</v>
      </c>
      <c r="U58" s="1128"/>
      <c r="V58" s="1132"/>
      <c r="W58" s="1132"/>
      <c r="X58" s="1640" t="s">
        <v>384</v>
      </c>
      <c r="Y58" s="1137" t="s">
        <v>385</v>
      </c>
      <c r="Z58" s="1137">
        <v>4</v>
      </c>
      <c r="AA58" s="1135">
        <v>0</v>
      </c>
      <c r="AB58" s="1135">
        <v>40</v>
      </c>
      <c r="AC58" s="1135">
        <v>4</v>
      </c>
      <c r="AD58" s="1135"/>
      <c r="AE58" s="1135" t="s">
        <v>381</v>
      </c>
      <c r="AF58" s="1132"/>
      <c r="AG58" s="1132"/>
      <c r="AH58" s="1132"/>
      <c r="AI58" s="1132"/>
      <c r="AJ58" s="1131"/>
      <c r="AK58" s="1130"/>
      <c r="AL58" s="1136"/>
    </row>
    <row r="59" spans="1:40" ht="26.25" customHeight="1" outlineLevel="1">
      <c r="A59" s="1128"/>
      <c r="B59" s="1128"/>
      <c r="C59" s="1128"/>
      <c r="D59" s="1128"/>
      <c r="E59" s="1128"/>
      <c r="F59" s="1128"/>
      <c r="G59" s="1129" t="s">
        <v>261</v>
      </c>
      <c r="H59" s="1130"/>
      <c r="I59" s="1130"/>
      <c r="J59" s="1131"/>
      <c r="K59" s="1131"/>
      <c r="L59" s="1131"/>
      <c r="M59" s="1131"/>
      <c r="N59" s="1131"/>
      <c r="O59" s="1131"/>
      <c r="P59" s="1131"/>
      <c r="Q59" s="1131"/>
      <c r="R59" s="1131"/>
      <c r="S59" s="1131"/>
      <c r="T59" s="1130" t="s">
        <v>325</v>
      </c>
      <c r="U59" s="1128"/>
      <c r="V59" s="1132"/>
      <c r="W59" s="1132"/>
      <c r="X59" s="1641" t="s">
        <v>386</v>
      </c>
      <c r="Y59" s="1137" t="s">
        <v>387</v>
      </c>
      <c r="Z59" s="1137">
        <v>5</v>
      </c>
      <c r="AA59" s="1135">
        <v>0</v>
      </c>
      <c r="AB59" s="1135">
        <v>44</v>
      </c>
      <c r="AC59" s="1135">
        <v>4</v>
      </c>
      <c r="AD59" s="1135"/>
      <c r="AE59" s="1135" t="s">
        <v>381</v>
      </c>
      <c r="AF59" s="1132"/>
      <c r="AG59" s="1132"/>
      <c r="AH59" s="1132"/>
      <c r="AI59" s="1132"/>
      <c r="AJ59" s="1131"/>
      <c r="AK59" s="1130"/>
      <c r="AL59" s="1136"/>
    </row>
    <row r="60" spans="1:40" ht="26.25" customHeight="1" outlineLevel="1">
      <c r="A60" s="1129"/>
      <c r="B60" s="1129"/>
      <c r="C60" s="1129"/>
      <c r="D60" s="1129"/>
      <c r="E60" s="1129"/>
      <c r="F60" s="1129"/>
      <c r="G60" s="1129" t="s">
        <v>261</v>
      </c>
      <c r="H60" s="1130"/>
      <c r="I60" s="1130"/>
      <c r="J60" s="1130"/>
      <c r="K60" s="1130"/>
      <c r="L60" s="1130"/>
      <c r="M60" s="1130"/>
      <c r="N60" s="1130"/>
      <c r="O60" s="1130"/>
      <c r="P60" s="1130"/>
      <c r="Q60" s="1130"/>
      <c r="R60" s="1130"/>
      <c r="S60" s="1130"/>
      <c r="T60" s="1130" t="s">
        <v>325</v>
      </c>
      <c r="U60" s="1129"/>
      <c r="V60" s="1143"/>
      <c r="W60" s="1143"/>
      <c r="X60" s="1642" t="s">
        <v>388</v>
      </c>
      <c r="Y60" s="1137" t="s">
        <v>389</v>
      </c>
      <c r="Z60" s="1137">
        <v>6</v>
      </c>
      <c r="AA60" s="1135">
        <v>0</v>
      </c>
      <c r="AB60" s="1135">
        <v>48</v>
      </c>
      <c r="AC60" s="1135">
        <v>4</v>
      </c>
      <c r="AD60" s="1135"/>
      <c r="AE60" s="1135" t="s">
        <v>381</v>
      </c>
      <c r="AF60" s="1143"/>
      <c r="AG60" s="1143"/>
      <c r="AH60" s="1143"/>
      <c r="AI60" s="1143"/>
      <c r="AJ60" s="1130"/>
      <c r="AK60" s="1130"/>
      <c r="AL60" s="1136"/>
    </row>
    <row r="61" spans="1:40" ht="26.25" customHeight="1" outlineLevel="1">
      <c r="A61" s="1144"/>
      <c r="B61" s="1144"/>
      <c r="C61" s="1144"/>
      <c r="D61" s="1144"/>
      <c r="E61" s="1144"/>
      <c r="F61" s="1144"/>
      <c r="G61" s="1129" t="s">
        <v>261</v>
      </c>
      <c r="H61" s="1130"/>
      <c r="I61" s="1130"/>
      <c r="J61" s="1130"/>
      <c r="K61" s="1130"/>
      <c r="L61" s="1130"/>
      <c r="M61" s="1130"/>
      <c r="N61" s="1130"/>
      <c r="O61" s="1130"/>
      <c r="P61" s="1130"/>
      <c r="Q61" s="1130"/>
      <c r="R61" s="1130"/>
      <c r="S61" s="1130"/>
      <c r="T61" s="1130" t="s">
        <v>325</v>
      </c>
      <c r="U61" s="1129"/>
      <c r="V61" s="1143"/>
      <c r="W61" s="1143"/>
      <c r="X61" s="1643" t="s">
        <v>390</v>
      </c>
      <c r="Y61" s="1137" t="s">
        <v>391</v>
      </c>
      <c r="Z61" s="1137"/>
      <c r="AA61" s="1135"/>
      <c r="AB61" s="1135">
        <v>52</v>
      </c>
      <c r="AC61" s="1135">
        <v>2</v>
      </c>
      <c r="AD61" s="1135"/>
      <c r="AE61" s="1135" t="s">
        <v>348</v>
      </c>
      <c r="AF61" s="1144"/>
      <c r="AG61" s="1144"/>
      <c r="AH61" s="1144"/>
      <c r="AI61" s="1144"/>
      <c r="AJ61" s="1144"/>
      <c r="AK61" s="1144"/>
      <c r="AL61" s="1144"/>
    </row>
    <row r="62" spans="1:40" ht="18" customHeight="1">
      <c r="A62" s="765">
        <v>5</v>
      </c>
      <c r="B62" s="765" t="s">
        <v>392</v>
      </c>
      <c r="C62" s="765" t="s">
        <v>393</v>
      </c>
      <c r="D62" s="765" t="s">
        <v>259</v>
      </c>
      <c r="E62" s="765">
        <v>8</v>
      </c>
      <c r="F62" s="765" t="s">
        <v>260</v>
      </c>
      <c r="G62" s="816" t="s">
        <v>261</v>
      </c>
      <c r="H62" s="765" t="s">
        <v>325</v>
      </c>
      <c r="I62" s="765" t="s">
        <v>325</v>
      </c>
      <c r="J62" s="765"/>
      <c r="K62" s="765"/>
      <c r="L62" s="765"/>
      <c r="M62" s="765"/>
      <c r="N62" s="765"/>
      <c r="O62" s="765"/>
      <c r="P62" s="765"/>
      <c r="Q62" s="765"/>
      <c r="R62" s="765"/>
      <c r="S62" s="765"/>
      <c r="T62" s="765"/>
      <c r="U62" s="765"/>
      <c r="V62" s="821"/>
      <c r="W62" s="821"/>
      <c r="X62" s="821" t="s">
        <v>394</v>
      </c>
      <c r="Y62" s="821"/>
      <c r="Z62" s="765"/>
      <c r="AA62" s="765"/>
      <c r="AB62" s="765"/>
      <c r="AC62" s="765"/>
      <c r="AD62" s="765"/>
      <c r="AE62" s="765"/>
      <c r="AF62" s="765"/>
      <c r="AG62" s="765"/>
      <c r="AH62" s="765"/>
      <c r="AI62" s="765"/>
      <c r="AJ62" s="765"/>
      <c r="AK62" s="212"/>
      <c r="AL62" s="364"/>
      <c r="AM62" s="1363"/>
      <c r="AN62" s="1363"/>
    </row>
    <row r="63" spans="1:40" ht="29.25" customHeight="1">
      <c r="A63" s="1363"/>
      <c r="B63" s="1262"/>
      <c r="C63" s="1262"/>
      <c r="D63" s="1262"/>
      <c r="E63" s="1262"/>
      <c r="F63" s="1262"/>
      <c r="G63" s="1363" t="s">
        <v>261</v>
      </c>
      <c r="H63" s="1262" t="s">
        <v>325</v>
      </c>
      <c r="I63" s="1262"/>
      <c r="J63" s="1262"/>
      <c r="K63" s="1262"/>
      <c r="L63" s="1262"/>
      <c r="M63" s="1262"/>
      <c r="N63" s="1262"/>
      <c r="O63" s="1262"/>
      <c r="P63" s="1262"/>
      <c r="Q63" s="1262"/>
      <c r="R63" s="1262"/>
      <c r="S63" s="1262"/>
      <c r="T63" s="1262"/>
      <c r="U63" s="613"/>
      <c r="V63" s="117"/>
      <c r="W63" s="117"/>
      <c r="X63" s="1644" t="s">
        <v>395</v>
      </c>
      <c r="Y63" s="1419" t="s">
        <v>396</v>
      </c>
      <c r="Z63" s="454">
        <v>0</v>
      </c>
      <c r="AA63" s="1333">
        <v>0</v>
      </c>
      <c r="AB63" s="1420">
        <f>Z63*8+AA63</f>
        <v>0</v>
      </c>
      <c r="AC63" s="1333">
        <v>1</v>
      </c>
      <c r="AD63" s="1333"/>
      <c r="AE63" s="1645" t="s">
        <v>397</v>
      </c>
      <c r="AF63" s="1333"/>
      <c r="AG63" s="1333"/>
      <c r="AH63" s="1333"/>
      <c r="AI63" s="1333">
        <v>0</v>
      </c>
      <c r="AJ63" s="1333"/>
      <c r="AK63" s="126"/>
    </row>
    <row r="64" spans="1:40" ht="18" customHeight="1">
      <c r="A64" s="1363"/>
      <c r="B64" s="1262"/>
      <c r="C64" s="1262"/>
      <c r="D64" s="1262"/>
      <c r="E64" s="1262"/>
      <c r="F64" s="1262"/>
      <c r="G64" s="1363" t="s">
        <v>261</v>
      </c>
      <c r="H64" s="1262" t="s">
        <v>325</v>
      </c>
      <c r="I64" s="1262"/>
      <c r="J64" s="1262"/>
      <c r="K64" s="1262"/>
      <c r="L64" s="1262"/>
      <c r="M64" s="1262"/>
      <c r="N64" s="1262"/>
      <c r="O64" s="1262"/>
      <c r="P64" s="1262"/>
      <c r="Q64" s="1262"/>
      <c r="R64" s="1262"/>
      <c r="S64" s="1262"/>
      <c r="T64" s="1262"/>
      <c r="U64" s="613"/>
      <c r="V64" s="117"/>
      <c r="W64" s="117"/>
      <c r="X64" s="1398"/>
      <c r="Y64" s="1419"/>
      <c r="Z64" s="670"/>
      <c r="AA64" s="1420"/>
      <c r="AB64" s="1420"/>
      <c r="AC64" s="1420"/>
      <c r="AD64" s="1420"/>
      <c r="AE64" s="1397"/>
      <c r="AF64" s="1420"/>
      <c r="AG64" s="1420"/>
      <c r="AH64" s="1420"/>
      <c r="AI64" s="1420"/>
      <c r="AJ64" s="1420"/>
      <c r="AK64" s="126"/>
    </row>
    <row r="65" spans="1:40" ht="18" customHeight="1">
      <c r="A65" s="1363"/>
      <c r="B65" s="1262"/>
      <c r="C65" s="1262"/>
      <c r="D65" s="1262"/>
      <c r="E65" s="1262"/>
      <c r="F65" s="1262"/>
      <c r="G65" s="1363" t="s">
        <v>261</v>
      </c>
      <c r="H65" s="1262" t="s">
        <v>325</v>
      </c>
      <c r="I65" s="1262"/>
      <c r="J65" s="1262"/>
      <c r="K65" s="1262"/>
      <c r="L65" s="1262"/>
      <c r="M65" s="1262"/>
      <c r="N65" s="1262"/>
      <c r="O65" s="1262"/>
      <c r="P65" s="1262"/>
      <c r="Q65" s="1262"/>
      <c r="R65" s="1262"/>
      <c r="S65" s="1262"/>
      <c r="T65" s="1262"/>
      <c r="U65" s="613"/>
      <c r="V65" s="117"/>
      <c r="W65" s="117"/>
      <c r="X65" s="1398"/>
      <c r="Y65" s="1419"/>
      <c r="Z65" s="670"/>
      <c r="AA65" s="1420"/>
      <c r="AB65" s="1420"/>
      <c r="AC65" s="1420"/>
      <c r="AD65" s="1420"/>
      <c r="AE65" s="1397"/>
      <c r="AF65" s="1420"/>
      <c r="AG65" s="1420"/>
      <c r="AH65" s="1420"/>
      <c r="AI65" s="1420"/>
      <c r="AJ65" s="1420"/>
      <c r="AK65" s="212"/>
      <c r="AL65" s="364"/>
      <c r="AM65" s="1363"/>
      <c r="AN65" s="1363"/>
    </row>
    <row r="66" spans="1:40" ht="14.25" customHeight="1">
      <c r="A66" s="366"/>
      <c r="B66" s="356"/>
      <c r="C66" s="356"/>
      <c r="D66" s="356"/>
      <c r="E66" s="356"/>
      <c r="F66" s="356"/>
      <c r="G66" s="366"/>
      <c r="H66" s="366"/>
      <c r="I66" s="366"/>
      <c r="J66" s="366"/>
      <c r="K66" s="366"/>
      <c r="L66" s="366"/>
      <c r="M66" s="366"/>
      <c r="N66" s="366"/>
      <c r="O66" s="366"/>
      <c r="P66" s="366"/>
      <c r="Q66" s="366"/>
      <c r="R66" s="366"/>
      <c r="S66" s="366"/>
      <c r="T66" s="366"/>
      <c r="U66" s="356"/>
      <c r="V66" s="356"/>
      <c r="W66" s="356"/>
      <c r="X66" s="49"/>
      <c r="Y66" s="378"/>
      <c r="Z66" s="367"/>
      <c r="AA66" s="367"/>
      <c r="AB66" s="367"/>
      <c r="AC66" s="367"/>
      <c r="AD66" s="379"/>
      <c r="AE66" s="383"/>
      <c r="AF66" s="383"/>
      <c r="AG66" s="383"/>
      <c r="AH66" s="383"/>
      <c r="AI66" s="356"/>
      <c r="AJ66" s="384"/>
      <c r="AK66" s="376"/>
      <c r="AL66" s="377"/>
    </row>
    <row r="67" spans="1:40" ht="15.75" customHeight="1">
      <c r="A67" s="366"/>
      <c r="B67" s="375" t="s">
        <v>398</v>
      </c>
      <c r="C67" s="375" t="s">
        <v>398</v>
      </c>
      <c r="D67" s="375" t="s">
        <v>398</v>
      </c>
      <c r="E67" s="375" t="s">
        <v>398</v>
      </c>
      <c r="F67" s="375" t="s">
        <v>398</v>
      </c>
      <c r="V67" s="49"/>
      <c r="W67" s="49"/>
      <c r="X67" s="49"/>
      <c r="Y67" s="49"/>
      <c r="AL67" s="366"/>
    </row>
    <row r="68" spans="1:40" ht="18" customHeight="1" outlineLevel="1">
      <c r="A68" s="689">
        <v>9</v>
      </c>
      <c r="B68" s="765" t="s">
        <v>399</v>
      </c>
      <c r="C68" s="645" t="s">
        <v>400</v>
      </c>
      <c r="D68" s="765" t="s">
        <v>401</v>
      </c>
      <c r="E68" s="765">
        <v>8</v>
      </c>
      <c r="F68" s="765" t="s">
        <v>260</v>
      </c>
      <c r="G68" s="816" t="s">
        <v>261</v>
      </c>
      <c r="H68" s="765" t="s">
        <v>325</v>
      </c>
      <c r="I68" s="765"/>
      <c r="J68" s="765"/>
      <c r="K68" s="765"/>
      <c r="L68" s="765"/>
      <c r="M68" s="765"/>
      <c r="N68" s="765"/>
      <c r="O68" s="765"/>
      <c r="P68" s="765" t="s">
        <v>325</v>
      </c>
      <c r="Q68" s="765"/>
      <c r="R68" s="765"/>
      <c r="S68" s="765"/>
      <c r="T68" s="765"/>
      <c r="U68" s="765"/>
      <c r="V68" s="821"/>
      <c r="W68" s="821"/>
      <c r="X68" s="821" t="s">
        <v>402</v>
      </c>
      <c r="Y68" s="821"/>
      <c r="Z68" s="816"/>
      <c r="AA68" s="816"/>
      <c r="AB68" s="816"/>
      <c r="AC68" s="816"/>
      <c r="AD68" s="816"/>
      <c r="AE68" s="645" t="s">
        <v>403</v>
      </c>
      <c r="AF68" s="689"/>
      <c r="AG68" s="689"/>
      <c r="AH68" s="689"/>
      <c r="AI68" s="689"/>
      <c r="AJ68" s="689"/>
      <c r="AK68" s="181"/>
      <c r="AL68" s="364" t="s">
        <v>404</v>
      </c>
      <c r="AM68" s="1363"/>
      <c r="AN68" s="1363"/>
    </row>
    <row r="69" spans="1:40" ht="30.75" customHeight="1" outlineLevel="1">
      <c r="B69" s="80"/>
      <c r="C69" s="80"/>
      <c r="D69" s="80"/>
      <c r="E69" s="80"/>
      <c r="F69" s="80"/>
      <c r="G69" s="609" t="s">
        <v>261</v>
      </c>
      <c r="H69" s="607" t="s">
        <v>325</v>
      </c>
      <c r="I69" s="607"/>
      <c r="J69" s="607"/>
      <c r="K69" s="607"/>
      <c r="L69" s="607"/>
      <c r="M69" s="607"/>
      <c r="N69" s="607"/>
      <c r="O69" s="607"/>
      <c r="P69" s="607" t="s">
        <v>325</v>
      </c>
      <c r="Q69" s="607"/>
      <c r="R69" s="607"/>
      <c r="S69" s="607"/>
      <c r="T69" s="607"/>
      <c r="U69" s="586"/>
      <c r="V69" s="587"/>
      <c r="W69" s="587"/>
      <c r="X69" s="1646" t="s">
        <v>405</v>
      </c>
      <c r="Y69" s="14" t="s">
        <v>406</v>
      </c>
      <c r="Z69" s="625">
        <v>0</v>
      </c>
      <c r="AA69" s="595">
        <v>0</v>
      </c>
      <c r="AB69" s="595">
        <f>Z69*8+AA69</f>
        <v>0</v>
      </c>
      <c r="AC69" s="595">
        <v>32</v>
      </c>
      <c r="AD69" s="595" t="s">
        <v>407</v>
      </c>
      <c r="AE69" s="599" t="s">
        <v>408</v>
      </c>
      <c r="AF69" s="595">
        <v>1</v>
      </c>
      <c r="AG69" s="595"/>
      <c r="AH69" s="595"/>
      <c r="AI69" s="595"/>
      <c r="AJ69" s="598" t="s">
        <v>409</v>
      </c>
      <c r="AK69" s="127"/>
    </row>
    <row r="70" spans="1:40" ht="14.25" customHeight="1">
      <c r="B70" s="80"/>
      <c r="C70" s="80"/>
      <c r="D70" s="80"/>
      <c r="E70" s="80"/>
      <c r="F70" s="80"/>
      <c r="G70" s="609" t="s">
        <v>261</v>
      </c>
      <c r="H70" s="607" t="s">
        <v>325</v>
      </c>
      <c r="I70" s="607"/>
      <c r="J70" s="607"/>
      <c r="K70" s="607"/>
      <c r="L70" s="607"/>
      <c r="M70" s="607"/>
      <c r="N70" s="607"/>
      <c r="O70" s="607"/>
      <c r="P70" s="607" t="s">
        <v>325</v>
      </c>
      <c r="Q70" s="607"/>
      <c r="R70" s="607"/>
      <c r="S70" s="607"/>
      <c r="T70" s="607"/>
      <c r="U70" s="586"/>
      <c r="V70" s="587"/>
      <c r="W70" s="587"/>
      <c r="X70" s="1647" t="s">
        <v>410</v>
      </c>
      <c r="Y70" s="14" t="s">
        <v>411</v>
      </c>
      <c r="Z70" s="625">
        <v>4</v>
      </c>
      <c r="AA70" s="595">
        <v>0</v>
      </c>
      <c r="AB70" s="595">
        <f>Z70*8+AA70</f>
        <v>32</v>
      </c>
      <c r="AC70" s="595">
        <v>32</v>
      </c>
      <c r="AD70" s="595" t="s">
        <v>407</v>
      </c>
      <c r="AE70" s="599" t="s">
        <v>412</v>
      </c>
      <c r="AF70" s="595">
        <v>1</v>
      </c>
      <c r="AG70" s="595"/>
      <c r="AH70" s="595"/>
      <c r="AI70" s="595"/>
      <c r="AJ70" s="598" t="s">
        <v>409</v>
      </c>
      <c r="AK70" s="127"/>
    </row>
    <row r="71" spans="1:40" ht="18" customHeight="1" outlineLevel="1">
      <c r="A71" s="621">
        <v>10</v>
      </c>
      <c r="B71" s="591" t="s">
        <v>413</v>
      </c>
      <c r="C71" s="639" t="s">
        <v>414</v>
      </c>
      <c r="D71" s="591" t="s">
        <v>401</v>
      </c>
      <c r="E71" s="591">
        <v>8</v>
      </c>
      <c r="F71" s="591" t="s">
        <v>260</v>
      </c>
      <c r="G71" s="628" t="s">
        <v>261</v>
      </c>
      <c r="H71" s="591" t="s">
        <v>325</v>
      </c>
      <c r="I71" s="591"/>
      <c r="J71" s="591"/>
      <c r="K71" s="591"/>
      <c r="L71" s="591"/>
      <c r="M71" s="591"/>
      <c r="N71" s="591"/>
      <c r="O71" s="591"/>
      <c r="P71" s="591" t="s">
        <v>325</v>
      </c>
      <c r="Q71" s="591"/>
      <c r="R71" s="591"/>
      <c r="S71" s="591"/>
      <c r="T71" s="591"/>
      <c r="U71" s="591"/>
      <c r="V71" s="597"/>
      <c r="W71" s="597"/>
      <c r="X71" s="597" t="s">
        <v>415</v>
      </c>
      <c r="Y71" s="597"/>
      <c r="Z71" s="623"/>
      <c r="AA71" s="623"/>
      <c r="AB71" s="623"/>
      <c r="AC71" s="623"/>
      <c r="AD71" s="623"/>
      <c r="AE71" s="623"/>
      <c r="AF71" s="621"/>
      <c r="AG71" s="621"/>
      <c r="AH71" s="621"/>
      <c r="AI71" s="621"/>
      <c r="AJ71" s="640"/>
      <c r="AK71" s="136"/>
      <c r="AL71" s="108" t="s">
        <v>404</v>
      </c>
    </row>
    <row r="72" spans="1:40" ht="30.75" customHeight="1" outlineLevel="1">
      <c r="B72" s="80"/>
      <c r="C72" s="80"/>
      <c r="D72" s="80"/>
      <c r="E72" s="80"/>
      <c r="F72" s="80"/>
      <c r="G72" s="609" t="s">
        <v>261</v>
      </c>
      <c r="H72" s="607" t="s">
        <v>325</v>
      </c>
      <c r="I72" s="607"/>
      <c r="J72" s="607"/>
      <c r="K72" s="607"/>
      <c r="L72" s="607"/>
      <c r="M72" s="607"/>
      <c r="N72" s="607"/>
      <c r="O72" s="607"/>
      <c r="P72" s="607" t="s">
        <v>325</v>
      </c>
      <c r="Q72" s="607"/>
      <c r="R72" s="607"/>
      <c r="S72" s="607"/>
      <c r="T72" s="607"/>
      <c r="U72" s="586"/>
      <c r="V72" s="587"/>
      <c r="W72" s="587"/>
      <c r="X72" s="1648" t="s">
        <v>416</v>
      </c>
      <c r="Y72" s="594" t="s">
        <v>417</v>
      </c>
      <c r="Z72" s="625">
        <v>0</v>
      </c>
      <c r="AA72" s="595">
        <v>0</v>
      </c>
      <c r="AB72" s="595">
        <f>Z72*8+AA72</f>
        <v>0</v>
      </c>
      <c r="AC72" s="595">
        <v>16</v>
      </c>
      <c r="AD72" s="595" t="s">
        <v>407</v>
      </c>
      <c r="AE72" s="599" t="s">
        <v>418</v>
      </c>
      <c r="AF72" s="595">
        <v>0.1</v>
      </c>
      <c r="AG72" s="595">
        <v>0</v>
      </c>
      <c r="AH72" s="595"/>
      <c r="AI72" s="595"/>
      <c r="AJ72" s="598" t="s">
        <v>419</v>
      </c>
      <c r="AK72" s="127"/>
      <c r="AL72" s="108" t="s">
        <v>420</v>
      </c>
    </row>
    <row r="73" spans="1:40" ht="30.75" customHeight="1" outlineLevel="1">
      <c r="B73" s="80"/>
      <c r="C73" s="80"/>
      <c r="D73" s="80"/>
      <c r="E73" s="80"/>
      <c r="F73" s="80"/>
      <c r="G73" s="609" t="s">
        <v>261</v>
      </c>
      <c r="H73" s="607" t="s">
        <v>325</v>
      </c>
      <c r="I73" s="607"/>
      <c r="J73" s="607"/>
      <c r="K73" s="607"/>
      <c r="L73" s="607"/>
      <c r="M73" s="607"/>
      <c r="N73" s="607"/>
      <c r="O73" s="607"/>
      <c r="P73" s="607" t="s">
        <v>325</v>
      </c>
      <c r="Q73" s="607"/>
      <c r="R73" s="607"/>
      <c r="S73" s="607"/>
      <c r="T73" s="607"/>
      <c r="U73" s="586"/>
      <c r="V73" s="587"/>
      <c r="W73" s="587"/>
      <c r="X73" s="1649" t="s">
        <v>421</v>
      </c>
      <c r="Y73" s="594" t="s">
        <v>422</v>
      </c>
      <c r="Z73" s="625">
        <v>2</v>
      </c>
      <c r="AA73" s="595">
        <v>0</v>
      </c>
      <c r="AB73" s="595">
        <f>Z73*8+AA73</f>
        <v>16</v>
      </c>
      <c r="AC73" s="595">
        <v>16</v>
      </c>
      <c r="AD73" s="595" t="s">
        <v>407</v>
      </c>
      <c r="AE73" s="599" t="s">
        <v>423</v>
      </c>
      <c r="AF73" s="595">
        <v>0.1</v>
      </c>
      <c r="AG73" s="595">
        <v>0</v>
      </c>
      <c r="AH73" s="595"/>
      <c r="AI73" s="595"/>
      <c r="AJ73" s="598" t="s">
        <v>424</v>
      </c>
      <c r="AK73" s="127"/>
      <c r="AL73" s="108" t="s">
        <v>420</v>
      </c>
    </row>
    <row r="74" spans="1:40" ht="45.75" customHeight="1" outlineLevel="1">
      <c r="B74" s="80"/>
      <c r="C74" s="80"/>
      <c r="D74" s="80"/>
      <c r="E74" s="80"/>
      <c r="F74" s="80"/>
      <c r="G74" s="609" t="s">
        <v>261</v>
      </c>
      <c r="H74" s="607" t="s">
        <v>325</v>
      </c>
      <c r="I74" s="607"/>
      <c r="J74" s="607"/>
      <c r="K74" s="607"/>
      <c r="L74" s="607"/>
      <c r="M74" s="607"/>
      <c r="N74" s="607"/>
      <c r="O74" s="607"/>
      <c r="P74" s="607" t="s">
        <v>325</v>
      </c>
      <c r="Q74" s="607"/>
      <c r="R74" s="607"/>
      <c r="S74" s="607"/>
      <c r="T74" s="607"/>
      <c r="U74" s="586"/>
      <c r="V74" s="587"/>
      <c r="W74" s="587"/>
      <c r="X74" s="1650" t="s">
        <v>425</v>
      </c>
      <c r="Y74" s="594" t="s">
        <v>426</v>
      </c>
      <c r="Z74" s="625">
        <v>4</v>
      </c>
      <c r="AA74" s="595">
        <v>0</v>
      </c>
      <c r="AB74" s="595">
        <f>Z74*8+AA74</f>
        <v>32</v>
      </c>
      <c r="AC74" s="595">
        <v>16</v>
      </c>
      <c r="AD74" s="595" t="s">
        <v>407</v>
      </c>
      <c r="AE74" s="599" t="s">
        <v>427</v>
      </c>
      <c r="AF74" s="595">
        <v>0.1</v>
      </c>
      <c r="AG74" s="595">
        <v>0</v>
      </c>
      <c r="AH74" s="595"/>
      <c r="AI74" s="595">
        <v>0</v>
      </c>
      <c r="AJ74" s="598" t="s">
        <v>428</v>
      </c>
      <c r="AK74" s="127"/>
      <c r="AL74" s="108" t="s">
        <v>420</v>
      </c>
    </row>
    <row r="75" spans="1:40" ht="30.75" customHeight="1">
      <c r="B75" s="80"/>
      <c r="C75" s="80"/>
      <c r="D75" s="80"/>
      <c r="E75" s="80"/>
      <c r="F75" s="80"/>
      <c r="G75" s="609" t="s">
        <v>261</v>
      </c>
      <c r="H75" s="607" t="s">
        <v>325</v>
      </c>
      <c r="I75" s="607"/>
      <c r="J75" s="607"/>
      <c r="K75" s="607"/>
      <c r="L75" s="607"/>
      <c r="M75" s="607"/>
      <c r="N75" s="607"/>
      <c r="O75" s="607"/>
      <c r="P75" s="607" t="s">
        <v>325</v>
      </c>
      <c r="Q75" s="607"/>
      <c r="R75" s="607"/>
      <c r="S75" s="607"/>
      <c r="T75" s="607"/>
      <c r="U75" s="586"/>
      <c r="V75" s="587"/>
      <c r="W75" s="587"/>
      <c r="X75" s="1651" t="s">
        <v>429</v>
      </c>
      <c r="Y75" s="594" t="s">
        <v>430</v>
      </c>
      <c r="Z75" s="625">
        <v>6</v>
      </c>
      <c r="AA75" s="595">
        <v>0</v>
      </c>
      <c r="AB75" s="595">
        <f>Z75*8+AA75</f>
        <v>48</v>
      </c>
      <c r="AC75" s="595">
        <v>16</v>
      </c>
      <c r="AD75" s="595" t="s">
        <v>407</v>
      </c>
      <c r="AE75" s="599" t="s">
        <v>431</v>
      </c>
      <c r="AF75" s="595">
        <v>1</v>
      </c>
      <c r="AG75" s="595">
        <v>0</v>
      </c>
      <c r="AH75" s="595"/>
      <c r="AI75" s="595">
        <v>0</v>
      </c>
      <c r="AJ75" s="598" t="s">
        <v>409</v>
      </c>
      <c r="AK75" s="127"/>
      <c r="AL75" s="108" t="s">
        <v>420</v>
      </c>
    </row>
    <row r="76" spans="1:40" ht="45.75" customHeight="1" outlineLevel="1">
      <c r="A76" s="621">
        <v>10</v>
      </c>
      <c r="B76" s="639" t="s">
        <v>432</v>
      </c>
      <c r="C76" s="639" t="s">
        <v>433</v>
      </c>
      <c r="D76" s="639" t="s">
        <v>401</v>
      </c>
      <c r="E76" s="639">
        <v>8</v>
      </c>
      <c r="F76" s="639" t="s">
        <v>260</v>
      </c>
      <c r="G76" s="641" t="s">
        <v>261</v>
      </c>
      <c r="H76" s="639" t="s">
        <v>325</v>
      </c>
      <c r="I76" s="639"/>
      <c r="J76" s="639"/>
      <c r="K76" s="639"/>
      <c r="L76" s="639"/>
      <c r="M76" s="639"/>
      <c r="N76" s="639"/>
      <c r="O76" s="639"/>
      <c r="P76" s="639" t="s">
        <v>325</v>
      </c>
      <c r="Q76" s="639"/>
      <c r="R76" s="639"/>
      <c r="S76" s="639"/>
      <c r="T76" s="639"/>
      <c r="U76" s="639"/>
      <c r="V76" s="610"/>
      <c r="W76" s="610"/>
      <c r="X76" s="610" t="s">
        <v>434</v>
      </c>
      <c r="Y76" s="610"/>
      <c r="Z76" s="642"/>
      <c r="AA76" s="642"/>
      <c r="AB76" s="642"/>
      <c r="AC76" s="642"/>
      <c r="AD76" s="642"/>
      <c r="AE76" s="642"/>
      <c r="AF76" s="605"/>
      <c r="AG76" s="605"/>
      <c r="AH76" s="605"/>
      <c r="AI76" s="605"/>
      <c r="AJ76" s="643"/>
      <c r="AK76" s="137"/>
      <c r="AL76" s="108" t="s">
        <v>435</v>
      </c>
    </row>
    <row r="77" spans="1:40" s="110" customFormat="1" ht="14.25" customHeight="1" outlineLevel="1">
      <c r="A77" s="49"/>
      <c r="B77" s="80"/>
      <c r="C77" s="80"/>
      <c r="D77" s="80"/>
      <c r="E77" s="80"/>
      <c r="F77" s="80"/>
      <c r="G77" s="609" t="s">
        <v>261</v>
      </c>
      <c r="H77" s="607" t="s">
        <v>325</v>
      </c>
      <c r="I77" s="607"/>
      <c r="J77" s="607"/>
      <c r="K77" s="607"/>
      <c r="L77" s="607"/>
      <c r="M77" s="607"/>
      <c r="N77" s="607"/>
      <c r="O77" s="607"/>
      <c r="P77" s="607" t="s">
        <v>325</v>
      </c>
      <c r="Q77" s="607"/>
      <c r="R77" s="607"/>
      <c r="S77" s="607"/>
      <c r="T77" s="607"/>
      <c r="U77" s="586"/>
      <c r="V77" s="587"/>
      <c r="W77" s="587"/>
      <c r="X77" s="1652" t="s">
        <v>436</v>
      </c>
      <c r="Y77" s="594" t="s">
        <v>437</v>
      </c>
      <c r="Z77" s="625">
        <v>0</v>
      </c>
      <c r="AA77" s="595">
        <v>0</v>
      </c>
      <c r="AB77" s="595">
        <f>Z77*8+AA77</f>
        <v>0</v>
      </c>
      <c r="AC77" s="595">
        <v>16</v>
      </c>
      <c r="AD77" s="595" t="s">
        <v>407</v>
      </c>
      <c r="AE77" s="599"/>
      <c r="AF77" s="595">
        <v>0.1</v>
      </c>
      <c r="AG77" s="595"/>
      <c r="AH77" s="595" t="s">
        <v>438</v>
      </c>
      <c r="AI77" s="595"/>
      <c r="AJ77" s="598" t="s">
        <v>424</v>
      </c>
      <c r="AK77" s="127"/>
      <c r="AL77" s="108" t="s">
        <v>439</v>
      </c>
      <c r="AM77" s="49"/>
      <c r="AN77" s="49"/>
    </row>
    <row r="78" spans="1:40" ht="30.75" customHeight="1" outlineLevel="1">
      <c r="A78" s="110"/>
      <c r="B78" s="88"/>
      <c r="C78" s="88"/>
      <c r="D78" s="88"/>
      <c r="E78" s="88"/>
      <c r="F78" s="88"/>
      <c r="G78" s="609" t="s">
        <v>261</v>
      </c>
      <c r="H78" s="607" t="s">
        <v>325</v>
      </c>
      <c r="I78" s="607"/>
      <c r="J78" s="607"/>
      <c r="K78" s="607"/>
      <c r="L78" s="607"/>
      <c r="M78" s="607"/>
      <c r="N78" s="607"/>
      <c r="O78" s="607"/>
      <c r="P78" s="607" t="s">
        <v>325</v>
      </c>
      <c r="Q78" s="638"/>
      <c r="R78" s="638"/>
      <c r="S78" s="638"/>
      <c r="T78" s="638"/>
      <c r="U78" s="588"/>
      <c r="V78" s="589"/>
      <c r="W78" s="589"/>
      <c r="X78" s="602" t="s">
        <v>440</v>
      </c>
      <c r="Y78" s="637"/>
      <c r="Z78" s="626">
        <v>1</v>
      </c>
      <c r="AA78" s="603">
        <v>2</v>
      </c>
      <c r="AB78" s="595">
        <f>Z78*8+AA78</f>
        <v>10</v>
      </c>
      <c r="AC78" s="603">
        <v>12</v>
      </c>
      <c r="AD78" s="603" t="s">
        <v>407</v>
      </c>
      <c r="AE78" s="602" t="s">
        <v>423</v>
      </c>
      <c r="AF78" s="603">
        <v>0.1</v>
      </c>
      <c r="AG78" s="603">
        <v>0</v>
      </c>
      <c r="AH78" s="603"/>
      <c r="AI78" s="603"/>
      <c r="AJ78" s="601" t="s">
        <v>424</v>
      </c>
      <c r="AK78" s="138"/>
      <c r="AL78" s="341" t="s">
        <v>441</v>
      </c>
      <c r="AM78" s="110"/>
      <c r="AN78" s="110"/>
    </row>
    <row r="79" spans="1:40" ht="45.75" customHeight="1" outlineLevel="1">
      <c r="B79" s="80"/>
      <c r="C79" s="80"/>
      <c r="D79" s="80"/>
      <c r="E79" s="80"/>
      <c r="F79" s="80"/>
      <c r="G79" s="609" t="s">
        <v>261</v>
      </c>
      <c r="H79" s="607" t="s">
        <v>325</v>
      </c>
      <c r="I79" s="607"/>
      <c r="J79" s="607"/>
      <c r="K79" s="607"/>
      <c r="L79" s="607"/>
      <c r="M79" s="607"/>
      <c r="N79" s="607"/>
      <c r="O79" s="607"/>
      <c r="P79" s="607" t="s">
        <v>325</v>
      </c>
      <c r="Q79" s="607"/>
      <c r="R79" s="607"/>
      <c r="S79" s="607"/>
      <c r="T79" s="607"/>
      <c r="U79" s="586"/>
      <c r="V79" s="587"/>
      <c r="W79" s="587"/>
      <c r="X79" s="1653" t="s">
        <v>442</v>
      </c>
      <c r="Y79" s="594" t="s">
        <v>443</v>
      </c>
      <c r="Z79" s="625">
        <v>2</v>
      </c>
      <c r="AA79" s="595">
        <v>2</v>
      </c>
      <c r="AB79" s="595">
        <v>16</v>
      </c>
      <c r="AC79" s="595">
        <v>16</v>
      </c>
      <c r="AD79" s="595" t="s">
        <v>407</v>
      </c>
      <c r="AE79" s="599" t="s">
        <v>427</v>
      </c>
      <c r="AF79" s="595">
        <v>0.1</v>
      </c>
      <c r="AG79" s="595" t="s">
        <v>444</v>
      </c>
      <c r="AH79" s="595" t="s">
        <v>444</v>
      </c>
      <c r="AI79" s="595">
        <v>0</v>
      </c>
      <c r="AJ79" s="598" t="s">
        <v>428</v>
      </c>
      <c r="AK79" s="127"/>
      <c r="AL79" s="108" t="s">
        <v>445</v>
      </c>
    </row>
    <row r="80" spans="1:40" ht="30.75" customHeight="1" outlineLevel="1">
      <c r="B80" s="80"/>
      <c r="C80" s="80"/>
      <c r="D80" s="80"/>
      <c r="E80" s="80"/>
      <c r="F80" s="80"/>
      <c r="G80" s="609" t="s">
        <v>261</v>
      </c>
      <c r="H80" s="607" t="s">
        <v>325</v>
      </c>
      <c r="I80" s="607"/>
      <c r="J80" s="607"/>
      <c r="K80" s="607"/>
      <c r="L80" s="607"/>
      <c r="M80" s="607"/>
      <c r="N80" s="607"/>
      <c r="O80" s="607"/>
      <c r="P80" s="607" t="s">
        <v>325</v>
      </c>
      <c r="Q80" s="607"/>
      <c r="R80" s="607"/>
      <c r="S80" s="607"/>
      <c r="T80" s="607"/>
      <c r="U80" s="586"/>
      <c r="V80" s="587"/>
      <c r="W80" s="587"/>
      <c r="X80" s="1654" t="s">
        <v>446</v>
      </c>
      <c r="Y80" s="594" t="s">
        <v>447</v>
      </c>
      <c r="Z80" s="625">
        <v>4</v>
      </c>
      <c r="AA80" s="595">
        <v>2</v>
      </c>
      <c r="AB80" s="595">
        <v>32</v>
      </c>
      <c r="AC80" s="595">
        <v>16</v>
      </c>
      <c r="AD80" s="595" t="s">
        <v>407</v>
      </c>
      <c r="AE80" s="599" t="s">
        <v>431</v>
      </c>
      <c r="AF80" s="595">
        <v>1</v>
      </c>
      <c r="AG80" s="595">
        <v>0</v>
      </c>
      <c r="AH80" s="595"/>
      <c r="AI80" s="595">
        <v>0</v>
      </c>
      <c r="AJ80" s="598" t="s">
        <v>409</v>
      </c>
      <c r="AK80" s="127"/>
      <c r="AL80" s="108" t="s">
        <v>445</v>
      </c>
    </row>
    <row r="81" spans="1:40" ht="30" customHeight="1">
      <c r="B81" s="80"/>
      <c r="C81" s="80"/>
      <c r="D81" s="80"/>
      <c r="E81" s="80"/>
      <c r="F81" s="80"/>
      <c r="G81" s="609" t="s">
        <v>261</v>
      </c>
      <c r="H81" s="607" t="s">
        <v>325</v>
      </c>
      <c r="I81" s="607"/>
      <c r="J81" s="607"/>
      <c r="K81" s="607"/>
      <c r="L81" s="607"/>
      <c r="M81" s="607"/>
      <c r="N81" s="607"/>
      <c r="O81" s="607"/>
      <c r="P81" s="607" t="s">
        <v>325</v>
      </c>
      <c r="Q81" s="607"/>
      <c r="R81" s="607"/>
      <c r="S81" s="607"/>
      <c r="T81" s="607"/>
      <c r="U81" s="586"/>
      <c r="V81" s="587"/>
      <c r="W81" s="587"/>
      <c r="X81" s="606" t="s">
        <v>448</v>
      </c>
      <c r="Y81" s="594" t="s">
        <v>449</v>
      </c>
      <c r="Z81" s="625">
        <v>6</v>
      </c>
      <c r="AA81" s="595">
        <v>2</v>
      </c>
      <c r="AB81" s="595">
        <v>48</v>
      </c>
      <c r="AC81" s="595">
        <v>16</v>
      </c>
      <c r="AD81" s="595" t="s">
        <v>407</v>
      </c>
      <c r="AE81" s="599" t="s">
        <v>450</v>
      </c>
      <c r="AF81" s="595">
        <v>0.1</v>
      </c>
      <c r="AG81" s="595"/>
      <c r="AH81" s="595" t="s">
        <v>451</v>
      </c>
      <c r="AI81" s="595">
        <v>0</v>
      </c>
      <c r="AJ81" s="598" t="s">
        <v>452</v>
      </c>
      <c r="AK81" s="127"/>
      <c r="AL81" s="108" t="s">
        <v>445</v>
      </c>
    </row>
    <row r="82" spans="1:40" ht="18" customHeight="1">
      <c r="A82" s="591">
        <v>11</v>
      </c>
      <c r="B82" s="591" t="s">
        <v>453</v>
      </c>
      <c r="C82" s="591" t="s">
        <v>454</v>
      </c>
      <c r="D82" s="591" t="s">
        <v>259</v>
      </c>
      <c r="E82" s="591">
        <v>8</v>
      </c>
      <c r="F82" s="591" t="s">
        <v>260</v>
      </c>
      <c r="G82" s="628" t="s">
        <v>261</v>
      </c>
      <c r="H82" s="591" t="s">
        <v>325</v>
      </c>
      <c r="I82" s="591"/>
      <c r="J82" s="591"/>
      <c r="K82" s="591"/>
      <c r="L82" s="591"/>
      <c r="M82" s="591"/>
      <c r="N82" s="591"/>
      <c r="O82" s="591"/>
      <c r="P82" s="591"/>
      <c r="Q82" s="591"/>
      <c r="R82" s="591"/>
      <c r="S82" s="591"/>
      <c r="T82" s="591"/>
      <c r="U82" s="591"/>
      <c r="V82" s="592"/>
      <c r="W82" s="592"/>
      <c r="X82" s="592" t="s">
        <v>455</v>
      </c>
      <c r="Y82" s="232"/>
      <c r="Z82" s="591"/>
      <c r="AA82" s="591"/>
      <c r="AB82" s="591"/>
      <c r="AC82" s="591"/>
      <c r="AD82" s="591"/>
      <c r="AE82" s="599"/>
      <c r="AF82" s="591"/>
      <c r="AG82" s="591"/>
      <c r="AH82" s="591"/>
      <c r="AI82" s="591"/>
      <c r="AJ82" s="591"/>
      <c r="AK82" s="127"/>
    </row>
    <row r="83" spans="1:40" ht="14.25" customHeight="1" outlineLevel="1">
      <c r="B83" s="80"/>
      <c r="C83" s="80"/>
      <c r="D83" s="80"/>
      <c r="E83" s="80"/>
      <c r="F83" s="80"/>
      <c r="G83" s="1510"/>
      <c r="H83" s="564"/>
      <c r="I83" s="564"/>
      <c r="J83" s="564"/>
      <c r="K83" s="564"/>
      <c r="L83" s="564"/>
      <c r="M83" s="564"/>
      <c r="N83" s="564"/>
      <c r="O83" s="564"/>
      <c r="P83" s="564"/>
      <c r="Q83" s="564"/>
      <c r="R83" s="564"/>
      <c r="S83" s="564"/>
      <c r="T83" s="564"/>
      <c r="U83" s="875"/>
      <c r="V83" s="896"/>
      <c r="W83" s="896"/>
      <c r="X83" s="1533" t="s">
        <v>456</v>
      </c>
      <c r="Y83" s="539" t="s">
        <v>457</v>
      </c>
      <c r="Z83" s="542">
        <v>0</v>
      </c>
      <c r="AA83" s="564">
        <v>0</v>
      </c>
      <c r="AB83" s="564">
        <v>0</v>
      </c>
      <c r="AC83" s="564">
        <v>16</v>
      </c>
      <c r="AD83" s="564" t="s">
        <v>407</v>
      </c>
      <c r="AE83" s="1533" t="s">
        <v>458</v>
      </c>
      <c r="AF83" s="564">
        <v>1</v>
      </c>
      <c r="AG83" s="564">
        <v>0</v>
      </c>
      <c r="AH83" s="595">
        <v>65535</v>
      </c>
      <c r="AI83" s="595">
        <v>0</v>
      </c>
      <c r="AJ83" s="598" t="s">
        <v>459</v>
      </c>
      <c r="AK83" s="127"/>
    </row>
    <row r="84" spans="1:40" ht="29.25" customHeight="1" outlineLevel="1">
      <c r="A84" s="1363"/>
      <c r="B84" s="1363"/>
      <c r="C84" s="1363"/>
      <c r="D84" s="1363"/>
      <c r="E84" s="1363"/>
      <c r="F84" s="1502"/>
      <c r="G84" s="1528" t="s">
        <v>325</v>
      </c>
      <c r="H84" s="1528" t="s">
        <v>261</v>
      </c>
      <c r="I84" s="1528"/>
      <c r="J84" s="1528"/>
      <c r="K84" s="1528"/>
      <c r="L84" s="1528"/>
      <c r="M84" s="1528"/>
      <c r="N84" s="1528"/>
      <c r="O84" s="1528"/>
      <c r="P84" s="1528"/>
      <c r="Q84" s="1528"/>
      <c r="R84" s="1528"/>
      <c r="S84" s="1528"/>
      <c r="T84" s="1528"/>
      <c r="U84" s="1528"/>
      <c r="V84" s="1528"/>
      <c r="W84" s="1528"/>
      <c r="X84" s="1655" t="s">
        <v>460</v>
      </c>
      <c r="Y84" s="1547" t="s">
        <v>461</v>
      </c>
      <c r="Z84" s="1528">
        <v>2</v>
      </c>
      <c r="AA84" s="1528">
        <v>0</v>
      </c>
      <c r="AB84" s="1528">
        <v>16</v>
      </c>
      <c r="AC84" s="1528">
        <v>1</v>
      </c>
      <c r="AD84" s="1528" t="s">
        <v>286</v>
      </c>
      <c r="AE84" s="1656" t="s">
        <v>462</v>
      </c>
      <c r="AF84" s="1528" t="s">
        <v>398</v>
      </c>
      <c r="AG84" s="1528" t="s">
        <v>398</v>
      </c>
      <c r="AH84" s="1530" t="s">
        <v>398</v>
      </c>
      <c r="AI84" s="1530">
        <v>0</v>
      </c>
      <c r="AJ84" s="1530" t="s">
        <v>398</v>
      </c>
      <c r="AK84" s="371">
        <v>20250818</v>
      </c>
      <c r="AL84" s="1363"/>
      <c r="AM84" s="1363"/>
      <c r="AN84" s="1363"/>
    </row>
    <row r="85" spans="1:40" ht="43.5" customHeight="1" outlineLevel="1">
      <c r="A85" s="1363"/>
      <c r="B85" s="1363"/>
      <c r="C85" s="1363"/>
      <c r="D85" s="1363"/>
      <c r="E85" s="1363"/>
      <c r="F85" s="1502"/>
      <c r="G85" s="1528"/>
      <c r="H85" s="1528"/>
      <c r="I85" s="1528"/>
      <c r="J85" s="1528"/>
      <c r="K85" s="1528"/>
      <c r="L85" s="1528"/>
      <c r="M85" s="1528"/>
      <c r="N85" s="1528"/>
      <c r="O85" s="1528"/>
      <c r="P85" s="1528"/>
      <c r="Q85" s="1528"/>
      <c r="R85" s="1528"/>
      <c r="S85" s="1528"/>
      <c r="T85" s="1528"/>
      <c r="U85" s="1528"/>
      <c r="V85" s="1528"/>
      <c r="W85" s="1528"/>
      <c r="X85" s="1657" t="s">
        <v>463</v>
      </c>
      <c r="Y85" s="1547" t="s">
        <v>464</v>
      </c>
      <c r="Z85" s="1528">
        <v>2</v>
      </c>
      <c r="AA85" s="1528">
        <v>0</v>
      </c>
      <c r="AB85" s="1528">
        <v>17</v>
      </c>
      <c r="AC85" s="1528">
        <v>2</v>
      </c>
      <c r="AD85" s="1528" t="s">
        <v>407</v>
      </c>
      <c r="AE85" s="1658" t="s">
        <v>465</v>
      </c>
      <c r="AF85" s="1528"/>
      <c r="AG85" s="1528"/>
      <c r="AH85" s="1530"/>
      <c r="AI85" s="1530">
        <v>0</v>
      </c>
      <c r="AJ85" s="1530"/>
      <c r="AK85" s="371"/>
      <c r="AL85" s="1363"/>
      <c r="AM85" s="1363"/>
      <c r="AN85" s="1363"/>
    </row>
    <row r="86" spans="1:40" ht="29.25" customHeight="1" outlineLevel="1">
      <c r="A86" s="1363"/>
      <c r="B86" s="1363"/>
      <c r="C86" s="1363"/>
      <c r="D86" s="1363"/>
      <c r="E86" s="1363"/>
      <c r="F86" s="1502"/>
      <c r="G86" s="1528"/>
      <c r="H86" s="1528"/>
      <c r="I86" s="1528"/>
      <c r="J86" s="1528"/>
      <c r="K86" s="1528"/>
      <c r="L86" s="1528"/>
      <c r="M86" s="1528"/>
      <c r="N86" s="1528"/>
      <c r="O86" s="1528"/>
      <c r="P86" s="1528"/>
      <c r="Q86" s="1528"/>
      <c r="R86" s="1528"/>
      <c r="S86" s="1528"/>
      <c r="T86" s="1528"/>
      <c r="U86" s="1528"/>
      <c r="V86" s="1528"/>
      <c r="W86" s="1528"/>
      <c r="X86" s="1659" t="s">
        <v>466</v>
      </c>
      <c r="Y86" s="1547" t="s">
        <v>467</v>
      </c>
      <c r="Z86" s="1528">
        <v>2</v>
      </c>
      <c r="AA86" s="1528">
        <v>0</v>
      </c>
      <c r="AB86" s="1528">
        <v>19</v>
      </c>
      <c r="AC86" s="1528">
        <v>1</v>
      </c>
      <c r="AD86" s="1528" t="s">
        <v>407</v>
      </c>
      <c r="AE86" s="1660" t="s">
        <v>468</v>
      </c>
      <c r="AF86" s="1528"/>
      <c r="AG86" s="1528"/>
      <c r="AH86" s="1530"/>
      <c r="AI86" s="1530">
        <v>0</v>
      </c>
      <c r="AJ86" s="1530"/>
      <c r="AK86" s="371"/>
      <c r="AL86" s="1363"/>
      <c r="AM86" s="1363"/>
      <c r="AN86" s="1363"/>
    </row>
    <row r="87" spans="1:40" ht="43.5" customHeight="1" outlineLevel="1">
      <c r="A87" s="1363"/>
      <c r="B87" s="1363"/>
      <c r="C87" s="1363"/>
      <c r="D87" s="1363"/>
      <c r="E87" s="1363"/>
      <c r="F87" s="1502"/>
      <c r="G87" s="1528"/>
      <c r="H87" s="1528"/>
      <c r="I87" s="1528"/>
      <c r="J87" s="1528"/>
      <c r="K87" s="1528"/>
      <c r="L87" s="1528"/>
      <c r="M87" s="1528"/>
      <c r="N87" s="1528"/>
      <c r="O87" s="1528"/>
      <c r="P87" s="1528"/>
      <c r="Q87" s="1528"/>
      <c r="R87" s="1528"/>
      <c r="S87" s="1528"/>
      <c r="T87" s="1528"/>
      <c r="U87" s="1528"/>
      <c r="V87" s="1528"/>
      <c r="W87" s="1528"/>
      <c r="X87" s="1661" t="s">
        <v>469</v>
      </c>
      <c r="Y87" s="1547" t="s">
        <v>470</v>
      </c>
      <c r="Z87" s="1528">
        <v>2</v>
      </c>
      <c r="AA87" s="1528">
        <v>0</v>
      </c>
      <c r="AB87" s="1528">
        <v>20</v>
      </c>
      <c r="AC87" s="1528">
        <v>2</v>
      </c>
      <c r="AD87" s="1528" t="s">
        <v>407</v>
      </c>
      <c r="AE87" s="1662" t="s">
        <v>471</v>
      </c>
      <c r="AF87" s="1528"/>
      <c r="AG87" s="1528"/>
      <c r="AH87" s="1530"/>
      <c r="AI87" s="1530">
        <v>0</v>
      </c>
      <c r="AJ87" s="1530"/>
      <c r="AK87" s="371"/>
      <c r="AL87" s="1363"/>
      <c r="AM87" s="1363"/>
      <c r="AN87" s="1363"/>
    </row>
    <row r="88" spans="1:40" ht="43.5" customHeight="1" outlineLevel="1">
      <c r="A88" s="1363"/>
      <c r="B88" s="1363"/>
      <c r="C88" s="1363"/>
      <c r="D88" s="1363"/>
      <c r="E88" s="1363"/>
      <c r="F88" s="1502"/>
      <c r="G88" s="1528"/>
      <c r="H88" s="1528"/>
      <c r="I88" s="1528"/>
      <c r="J88" s="1528"/>
      <c r="K88" s="1528"/>
      <c r="L88" s="1528"/>
      <c r="M88" s="1528"/>
      <c r="N88" s="1528"/>
      <c r="O88" s="1528"/>
      <c r="P88" s="1528"/>
      <c r="Q88" s="1528"/>
      <c r="R88" s="1528"/>
      <c r="S88" s="1528"/>
      <c r="T88" s="1528"/>
      <c r="U88" s="1528"/>
      <c r="V88" s="1528"/>
      <c r="W88" s="1528"/>
      <c r="X88" s="1663" t="s">
        <v>472</v>
      </c>
      <c r="Y88" s="1547" t="s">
        <v>473</v>
      </c>
      <c r="Z88" s="1528">
        <v>3</v>
      </c>
      <c r="AA88" s="1528">
        <v>0</v>
      </c>
      <c r="AB88" s="1528">
        <v>24</v>
      </c>
      <c r="AC88" s="1528">
        <v>16</v>
      </c>
      <c r="AD88" s="1528" t="s">
        <v>474</v>
      </c>
      <c r="AE88" s="1528" t="s">
        <v>475</v>
      </c>
      <c r="AF88" s="1528">
        <v>0.1</v>
      </c>
      <c r="AG88" s="1528">
        <v>0</v>
      </c>
      <c r="AH88" s="387" t="s">
        <v>476</v>
      </c>
      <c r="AI88" s="380" t="s">
        <v>444</v>
      </c>
      <c r="AJ88" s="1527" t="s">
        <v>477</v>
      </c>
      <c r="AK88" s="371"/>
      <c r="AL88" s="1363"/>
      <c r="AM88" s="1363"/>
      <c r="AN88" s="1363"/>
    </row>
    <row r="89" spans="1:40" ht="14.25" customHeight="1">
      <c r="A89" s="1363"/>
      <c r="B89" s="1500"/>
      <c r="C89" s="1500"/>
      <c r="D89" s="1500"/>
      <c r="E89" s="1500"/>
      <c r="F89" s="1500"/>
      <c r="G89" s="1528"/>
      <c r="H89" s="1548"/>
      <c r="I89" s="1548"/>
      <c r="J89" s="1548"/>
      <c r="K89" s="1548"/>
      <c r="L89" s="1548"/>
      <c r="M89" s="1548"/>
      <c r="N89" s="1548"/>
      <c r="O89" s="1548"/>
      <c r="P89" s="1548"/>
      <c r="Q89" s="1548"/>
      <c r="R89" s="1548"/>
      <c r="S89" s="1548"/>
      <c r="T89" s="1548"/>
      <c r="U89" s="646"/>
      <c r="V89" s="1539"/>
      <c r="W89" s="1539"/>
      <c r="X89" s="1539"/>
      <c r="Y89" s="1547"/>
      <c r="Z89" s="1548"/>
      <c r="AA89" s="1548"/>
      <c r="AB89" s="1548"/>
      <c r="AC89" s="1548"/>
      <c r="AD89" s="1548"/>
      <c r="AE89" s="1539"/>
      <c r="AF89" s="1548"/>
      <c r="AG89" s="1548"/>
      <c r="AH89" s="670"/>
      <c r="AI89" s="1548"/>
      <c r="AJ89" s="1548"/>
      <c r="AK89" s="1500"/>
      <c r="AL89" s="364"/>
      <c r="AM89" s="1363"/>
      <c r="AN89" s="1363"/>
    </row>
    <row r="90" spans="1:40" ht="14.25" customHeight="1">
      <c r="A90" s="1363"/>
      <c r="B90" s="1500"/>
      <c r="C90" s="1500"/>
      <c r="D90" s="1500"/>
      <c r="E90" s="1500"/>
      <c r="F90" s="1500"/>
      <c r="G90" s="1528"/>
      <c r="H90" s="1548"/>
      <c r="I90" s="1548"/>
      <c r="J90" s="1548"/>
      <c r="K90" s="1548"/>
      <c r="L90" s="1548"/>
      <c r="M90" s="1548"/>
      <c r="N90" s="1548"/>
      <c r="O90" s="1548"/>
      <c r="P90" s="1548"/>
      <c r="Q90" s="1548"/>
      <c r="R90" s="1548"/>
      <c r="S90" s="1548"/>
      <c r="T90" s="1548"/>
      <c r="U90" s="646"/>
      <c r="V90" s="1539"/>
      <c r="W90" s="1539"/>
      <c r="X90" s="1539"/>
      <c r="Y90" s="1547"/>
      <c r="Z90" s="1548"/>
      <c r="AA90" s="1548"/>
      <c r="AB90" s="1548"/>
      <c r="AC90" s="1548"/>
      <c r="AD90" s="1548"/>
      <c r="AE90" s="1539"/>
      <c r="AF90" s="1548"/>
      <c r="AG90" s="1548"/>
      <c r="AH90" s="670"/>
      <c r="AI90" s="1548"/>
      <c r="AJ90" s="1548"/>
      <c r="AK90" s="1500"/>
      <c r="AL90" s="364"/>
      <c r="AM90" s="1363"/>
      <c r="AN90" s="1363"/>
    </row>
    <row r="91" spans="1:40" ht="14.25" customHeight="1">
      <c r="A91" s="1363"/>
      <c r="B91" s="1500"/>
      <c r="C91" s="1500"/>
      <c r="D91" s="1500"/>
      <c r="E91" s="1500"/>
      <c r="F91" s="1500"/>
      <c r="G91" s="1528"/>
      <c r="H91" s="1548"/>
      <c r="I91" s="1548"/>
      <c r="J91" s="1548"/>
      <c r="K91" s="1548"/>
      <c r="L91" s="1548"/>
      <c r="M91" s="1548"/>
      <c r="N91" s="1548"/>
      <c r="O91" s="1548"/>
      <c r="P91" s="1548"/>
      <c r="Q91" s="1548"/>
      <c r="R91" s="1548"/>
      <c r="S91" s="1548"/>
      <c r="T91" s="1548"/>
      <c r="U91" s="646"/>
      <c r="V91" s="1539"/>
      <c r="W91" s="1539"/>
      <c r="X91" s="1539"/>
      <c r="Y91" s="1547"/>
      <c r="Z91" s="1548"/>
      <c r="AA91" s="1548"/>
      <c r="AB91" s="1548"/>
      <c r="AC91" s="1548"/>
      <c r="AD91" s="1548"/>
      <c r="AE91" s="1539"/>
      <c r="AF91" s="1548"/>
      <c r="AG91" s="1548"/>
      <c r="AH91" s="670"/>
      <c r="AI91" s="1548"/>
      <c r="AJ91" s="1548"/>
      <c r="AK91" s="1500"/>
      <c r="AL91" s="364"/>
      <c r="AM91" s="1363"/>
      <c r="AN91" s="1363"/>
    </row>
    <row r="92" spans="1:40" ht="35.25" customHeight="1" outlineLevel="1">
      <c r="A92" s="689">
        <v>10</v>
      </c>
      <c r="B92" s="645" t="s">
        <v>478</v>
      </c>
      <c r="C92" s="645" t="s">
        <v>479</v>
      </c>
      <c r="D92" s="645" t="s">
        <v>401</v>
      </c>
      <c r="E92" s="645">
        <v>8</v>
      </c>
      <c r="F92" s="645" t="s">
        <v>260</v>
      </c>
      <c r="G92" s="512" t="s">
        <v>261</v>
      </c>
      <c r="H92" s="1018" t="s">
        <v>325</v>
      </c>
      <c r="I92" s="1018"/>
      <c r="J92" s="1018"/>
      <c r="K92" s="1018"/>
      <c r="L92" s="1018"/>
      <c r="M92" s="1018"/>
      <c r="N92" s="1018"/>
      <c r="O92" s="1018"/>
      <c r="P92" s="1018" t="s">
        <v>325</v>
      </c>
      <c r="Q92" s="1018"/>
      <c r="R92" s="1018"/>
      <c r="S92" s="1018"/>
      <c r="T92" s="1018"/>
      <c r="U92" s="1018"/>
      <c r="V92" s="1204"/>
      <c r="W92" s="1204"/>
      <c r="X92" s="1204" t="s">
        <v>480</v>
      </c>
      <c r="Y92" s="1204"/>
      <c r="Z92" s="512"/>
      <c r="AA92" s="512"/>
      <c r="AB92" s="1512">
        <f>Z92*8+AA92</f>
        <v>0</v>
      </c>
      <c r="AC92" s="512"/>
      <c r="AD92" s="512"/>
      <c r="AE92" s="512" t="s">
        <v>481</v>
      </c>
      <c r="AF92" s="511"/>
      <c r="AG92" s="511"/>
      <c r="AH92" s="877"/>
      <c r="AI92" s="877"/>
      <c r="AJ92" s="877"/>
      <c r="AK92" s="616">
        <v>20241205</v>
      </c>
      <c r="AL92" s="364" t="s">
        <v>482</v>
      </c>
      <c r="AM92" s="1363"/>
      <c r="AN92" s="1363"/>
    </row>
    <row r="93" spans="1:40" ht="14.25" customHeight="1">
      <c r="A93" s="1363"/>
      <c r="B93" s="1500"/>
      <c r="C93" s="1500"/>
      <c r="D93" s="1500"/>
      <c r="E93" s="1500"/>
      <c r="F93" s="1500"/>
      <c r="G93" s="1528" t="s">
        <v>261</v>
      </c>
      <c r="H93" s="1548" t="s">
        <v>325</v>
      </c>
      <c r="I93" s="1548"/>
      <c r="J93" s="1548"/>
      <c r="K93" s="1548"/>
      <c r="L93" s="1548"/>
      <c r="M93" s="1548"/>
      <c r="N93" s="1548"/>
      <c r="O93" s="1548"/>
      <c r="P93" s="1548" t="s">
        <v>325</v>
      </c>
      <c r="Q93" s="1548"/>
      <c r="R93" s="1548"/>
      <c r="S93" s="1548"/>
      <c r="T93" s="1548"/>
      <c r="U93" s="586"/>
      <c r="V93" s="1501"/>
      <c r="W93" s="1501"/>
      <c r="X93" s="1664" t="s">
        <v>483</v>
      </c>
      <c r="Y93" s="684" t="s">
        <v>484</v>
      </c>
      <c r="Z93" s="670">
        <v>0</v>
      </c>
      <c r="AA93" s="1548">
        <v>0</v>
      </c>
      <c r="AB93" s="1548">
        <f>Z93*8+AA93</f>
        <v>0</v>
      </c>
      <c r="AC93" s="1548">
        <v>2</v>
      </c>
      <c r="AD93" s="1548" t="s">
        <v>407</v>
      </c>
      <c r="AE93" s="1665" t="s">
        <v>485</v>
      </c>
      <c r="AF93" s="1548">
        <v>0.1</v>
      </c>
      <c r="AG93" s="1548"/>
      <c r="AH93" s="1548"/>
      <c r="AI93" s="1548">
        <v>0</v>
      </c>
      <c r="AJ93" s="1548" t="s">
        <v>452</v>
      </c>
      <c r="AK93" s="1500"/>
      <c r="AL93" s="364"/>
      <c r="AM93" s="1363"/>
      <c r="AN93" s="1363"/>
    </row>
    <row r="94" spans="1:40" ht="18" customHeight="1" outlineLevel="1">
      <c r="A94" s="689">
        <v>10</v>
      </c>
      <c r="B94" s="645" t="s">
        <v>486</v>
      </c>
      <c r="C94" s="645" t="s">
        <v>487</v>
      </c>
      <c r="D94" s="645" t="s">
        <v>488</v>
      </c>
      <c r="E94" s="645">
        <v>8</v>
      </c>
      <c r="F94" s="645" t="s">
        <v>260</v>
      </c>
      <c r="G94" s="1535" t="s">
        <v>261</v>
      </c>
      <c r="H94" s="645"/>
      <c r="I94" s="645"/>
      <c r="J94" s="645"/>
      <c r="K94" s="645"/>
      <c r="L94" s="645"/>
      <c r="M94" s="645"/>
      <c r="N94" s="645"/>
      <c r="O94" s="645"/>
      <c r="P94" s="645"/>
      <c r="Q94" s="645"/>
      <c r="R94" s="645"/>
      <c r="S94" s="645"/>
      <c r="T94" s="645"/>
      <c r="U94" s="645"/>
      <c r="V94" s="904"/>
      <c r="W94" s="904"/>
      <c r="X94" s="904" t="s">
        <v>489</v>
      </c>
      <c r="Y94" s="904"/>
      <c r="Z94" s="1535"/>
      <c r="AA94" s="1535"/>
      <c r="AB94" s="1535"/>
      <c r="AC94" s="1535"/>
      <c r="AD94" s="1535"/>
      <c r="AE94" s="1535"/>
      <c r="AF94" s="877"/>
      <c r="AG94" s="877"/>
      <c r="AH94" s="877"/>
      <c r="AI94" s="877"/>
      <c r="AJ94" s="877"/>
      <c r="AK94" s="616"/>
      <c r="AL94" s="364"/>
      <c r="AM94" s="1363"/>
      <c r="AN94" s="1363"/>
    </row>
    <row r="95" spans="1:40" ht="14.25" customHeight="1" outlineLevel="1">
      <c r="A95" s="1363"/>
      <c r="B95" s="1500"/>
      <c r="C95" s="1500"/>
      <c r="D95" s="1500"/>
      <c r="E95" s="1500"/>
      <c r="F95" s="1500"/>
      <c r="G95" s="1528" t="s">
        <v>261</v>
      </c>
      <c r="H95" s="1548"/>
      <c r="I95" s="1548"/>
      <c r="J95" s="1548"/>
      <c r="K95" s="1548"/>
      <c r="L95" s="1548"/>
      <c r="M95" s="1548"/>
      <c r="N95" s="1548"/>
      <c r="O95" s="1548"/>
      <c r="P95" s="1548"/>
      <c r="Q95" s="1548"/>
      <c r="R95" s="1548"/>
      <c r="S95" s="1548"/>
      <c r="T95" s="1548"/>
      <c r="U95" s="586"/>
      <c r="V95" s="1501"/>
      <c r="W95" s="1501"/>
      <c r="X95" s="1468" t="s">
        <v>490</v>
      </c>
      <c r="Y95" s="1468" t="s">
        <v>490</v>
      </c>
      <c r="Z95" s="670"/>
      <c r="AA95" s="1548"/>
      <c r="AB95" s="1468">
        <v>0</v>
      </c>
      <c r="AC95" s="1468">
        <v>8</v>
      </c>
      <c r="AD95" s="1548" t="s">
        <v>407</v>
      </c>
      <c r="AE95" s="1468"/>
      <c r="AF95" s="1468">
        <v>1</v>
      </c>
      <c r="AG95" s="1468">
        <v>0</v>
      </c>
      <c r="AH95" s="1548"/>
      <c r="AI95" s="1548"/>
      <c r="AJ95" s="1548"/>
      <c r="AK95" s="1500"/>
      <c r="AL95" s="364"/>
      <c r="AM95" s="1363"/>
      <c r="AN95" s="1363"/>
    </row>
    <row r="96" spans="1:40" ht="14.25" customHeight="1" outlineLevel="1">
      <c r="A96" s="1363"/>
      <c r="B96" s="1500"/>
      <c r="C96" s="1500"/>
      <c r="D96" s="1500"/>
      <c r="E96" s="1500"/>
      <c r="F96" s="1500"/>
      <c r="G96" s="1528" t="s">
        <v>261</v>
      </c>
      <c r="H96" s="1548"/>
      <c r="I96" s="1548"/>
      <c r="J96" s="1548"/>
      <c r="K96" s="1548"/>
      <c r="L96" s="1548"/>
      <c r="M96" s="1548"/>
      <c r="N96" s="1548"/>
      <c r="O96" s="1548"/>
      <c r="P96" s="1548"/>
      <c r="Q96" s="1548"/>
      <c r="R96" s="1548"/>
      <c r="S96" s="1548"/>
      <c r="T96" s="1548"/>
      <c r="U96" s="586"/>
      <c r="V96" s="1501"/>
      <c r="W96" s="1501"/>
      <c r="X96" s="1468" t="s">
        <v>491</v>
      </c>
      <c r="Y96" s="1468" t="s">
        <v>491</v>
      </c>
      <c r="Z96" s="670"/>
      <c r="AA96" s="1548"/>
      <c r="AB96" s="1468">
        <v>8</v>
      </c>
      <c r="AC96" s="1468">
        <v>8</v>
      </c>
      <c r="AD96" s="1548" t="s">
        <v>407</v>
      </c>
      <c r="AE96" s="1468"/>
      <c r="AF96" s="1468">
        <v>1</v>
      </c>
      <c r="AG96" s="1468">
        <v>0</v>
      </c>
      <c r="AH96" s="1548"/>
      <c r="AI96" s="1548"/>
      <c r="AJ96" s="1548"/>
      <c r="AK96" s="1500"/>
      <c r="AL96" s="364"/>
      <c r="AM96" s="1363"/>
      <c r="AN96" s="1363"/>
    </row>
    <row r="97" spans="1:50" ht="30.75" customHeight="1" outlineLevel="1">
      <c r="B97" s="80"/>
      <c r="C97" s="80"/>
      <c r="D97" s="80"/>
      <c r="E97" s="80"/>
      <c r="F97" s="80"/>
      <c r="G97" s="609" t="s">
        <v>261</v>
      </c>
      <c r="H97" s="607"/>
      <c r="I97" s="607"/>
      <c r="J97" s="607"/>
      <c r="K97" s="607"/>
      <c r="L97" s="607"/>
      <c r="M97" s="607"/>
      <c r="N97" s="607"/>
      <c r="O97" s="607"/>
      <c r="P97" s="607"/>
      <c r="Q97" s="607"/>
      <c r="R97" s="607"/>
      <c r="S97" s="607"/>
      <c r="T97" s="607"/>
      <c r="U97" s="586"/>
      <c r="V97" s="587"/>
      <c r="W97" s="587"/>
      <c r="X97" s="593" t="s">
        <v>492</v>
      </c>
      <c r="Y97" s="593" t="s">
        <v>492</v>
      </c>
      <c r="Z97" s="625"/>
      <c r="AA97" s="595"/>
      <c r="AB97" s="593">
        <v>16</v>
      </c>
      <c r="AC97" s="593">
        <v>8</v>
      </c>
      <c r="AD97" s="595" t="s">
        <v>407</v>
      </c>
      <c r="AE97" s="593"/>
      <c r="AF97" s="593">
        <v>1</v>
      </c>
      <c r="AG97" s="593">
        <v>0</v>
      </c>
      <c r="AH97" s="595"/>
      <c r="AI97" s="595"/>
      <c r="AJ97" s="598"/>
      <c r="AK97" s="127"/>
    </row>
    <row r="98" spans="1:50" ht="108.75" customHeight="1" outlineLevel="1">
      <c r="B98" s="80"/>
      <c r="C98" s="80"/>
      <c r="D98" s="80"/>
      <c r="E98" s="80"/>
      <c r="F98" s="80"/>
      <c r="G98" s="609" t="s">
        <v>261</v>
      </c>
      <c r="H98" s="607"/>
      <c r="I98" s="607"/>
      <c r="J98" s="607"/>
      <c r="K98" s="607"/>
      <c r="L98" s="607"/>
      <c r="M98" s="607"/>
      <c r="N98" s="607"/>
      <c r="O98" s="607"/>
      <c r="P98" s="607"/>
      <c r="Q98" s="607"/>
      <c r="R98" s="607"/>
      <c r="S98" s="607"/>
      <c r="T98" s="607"/>
      <c r="U98" s="586"/>
      <c r="V98" s="587"/>
      <c r="W98" s="587"/>
      <c r="X98" s="593" t="s">
        <v>493</v>
      </c>
      <c r="Y98" s="593" t="s">
        <v>493</v>
      </c>
      <c r="Z98" s="625"/>
      <c r="AA98" s="595"/>
      <c r="AB98" s="593">
        <v>24</v>
      </c>
      <c r="AC98" s="593">
        <v>8</v>
      </c>
      <c r="AD98" s="595" t="s">
        <v>407</v>
      </c>
      <c r="AE98" s="1666" t="s">
        <v>494</v>
      </c>
      <c r="AF98" s="593">
        <v>1</v>
      </c>
      <c r="AG98" s="593">
        <v>0</v>
      </c>
      <c r="AH98" s="595"/>
      <c r="AI98" s="595"/>
      <c r="AJ98" s="598"/>
      <c r="AK98" s="127"/>
    </row>
    <row r="99" spans="1:50" ht="14.25" customHeight="1">
      <c r="B99" s="80"/>
      <c r="C99" s="80"/>
      <c r="D99" s="80"/>
      <c r="E99" s="80"/>
      <c r="F99" s="80"/>
      <c r="G99" s="609" t="s">
        <v>261</v>
      </c>
      <c r="H99" s="607"/>
      <c r="I99" s="607"/>
      <c r="J99" s="607"/>
      <c r="K99" s="607"/>
      <c r="L99" s="607"/>
      <c r="M99" s="607"/>
      <c r="N99" s="607"/>
      <c r="O99" s="607"/>
      <c r="P99" s="607"/>
      <c r="Q99" s="607"/>
      <c r="R99" s="607"/>
      <c r="S99" s="607"/>
      <c r="T99" s="607"/>
      <c r="U99" s="586"/>
      <c r="V99" s="587"/>
      <c r="W99" s="587"/>
      <c r="X99" s="593" t="s">
        <v>495</v>
      </c>
      <c r="Y99" s="593" t="s">
        <v>495</v>
      </c>
      <c r="Z99" s="625"/>
      <c r="AA99" s="595"/>
      <c r="AB99" s="593">
        <v>32</v>
      </c>
      <c r="AC99" s="593">
        <v>8</v>
      </c>
      <c r="AD99" s="595" t="s">
        <v>407</v>
      </c>
      <c r="AE99" s="1667" t="s">
        <v>494</v>
      </c>
      <c r="AF99" s="593">
        <v>1</v>
      </c>
      <c r="AG99" s="593">
        <v>0</v>
      </c>
      <c r="AH99" s="595"/>
      <c r="AI99" s="595"/>
      <c r="AJ99" s="598"/>
      <c r="AK99" s="127"/>
    </row>
    <row r="100" spans="1:50" ht="18" customHeight="1">
      <c r="A100" s="689">
        <v>75</v>
      </c>
      <c r="B100" s="689" t="s">
        <v>496</v>
      </c>
      <c r="C100" s="877" t="s">
        <v>497</v>
      </c>
      <c r="D100" s="689" t="s">
        <v>259</v>
      </c>
      <c r="E100" s="689">
        <v>8</v>
      </c>
      <c r="F100" s="689" t="s">
        <v>260</v>
      </c>
      <c r="G100" s="816" t="s">
        <v>261</v>
      </c>
      <c r="H100" s="765"/>
      <c r="I100" s="765"/>
      <c r="J100" s="765"/>
      <c r="K100" s="765"/>
      <c r="L100" s="765"/>
      <c r="M100" s="765"/>
      <c r="N100" s="765"/>
      <c r="O100" s="765" t="s">
        <v>325</v>
      </c>
      <c r="P100" s="765"/>
      <c r="Q100" s="765"/>
      <c r="R100" s="765"/>
      <c r="S100" s="765"/>
      <c r="T100" s="765"/>
      <c r="U100" s="765"/>
      <c r="V100" s="689"/>
      <c r="W100" s="689"/>
      <c r="X100" s="689" t="s">
        <v>498</v>
      </c>
      <c r="Y100" s="689"/>
      <c r="Z100" s="689"/>
      <c r="AA100" s="689"/>
      <c r="AB100" s="1548">
        <v>0</v>
      </c>
      <c r="AC100" s="689"/>
      <c r="AD100" s="689"/>
      <c r="AE100" s="645"/>
      <c r="AF100" s="689"/>
      <c r="AG100" s="689"/>
      <c r="AH100" s="689"/>
      <c r="AI100" s="689"/>
      <c r="AJ100" s="689"/>
      <c r="AK100" s="181"/>
      <c r="AL100" s="364"/>
      <c r="AM100" s="1363"/>
      <c r="AN100" s="1363"/>
    </row>
    <row r="101" spans="1:50" ht="24.75" customHeight="1" outlineLevel="1">
      <c r="A101" s="1220"/>
      <c r="B101" s="1220"/>
      <c r="C101" s="3327"/>
      <c r="D101" s="1220"/>
      <c r="E101" s="1220"/>
      <c r="F101" s="1220"/>
      <c r="G101" s="1217"/>
      <c r="H101" s="1220"/>
      <c r="I101" s="1220"/>
      <c r="J101" s="1220"/>
      <c r="K101" s="1220"/>
      <c r="L101" s="1220"/>
      <c r="M101" s="1220"/>
      <c r="N101" s="1220"/>
      <c r="O101" s="1220"/>
      <c r="P101" s="1217"/>
      <c r="Q101" s="1217"/>
      <c r="R101" s="1217"/>
      <c r="S101" s="1217"/>
      <c r="T101" s="1217"/>
      <c r="U101" s="1217"/>
      <c r="V101" s="1221"/>
      <c r="W101" s="1221"/>
      <c r="X101" s="1668" t="s">
        <v>499</v>
      </c>
      <c r="Y101" s="1208" t="s">
        <v>500</v>
      </c>
      <c r="Z101" s="1223">
        <v>0</v>
      </c>
      <c r="AA101" s="1223">
        <v>0</v>
      </c>
      <c r="AB101" s="1223">
        <v>0</v>
      </c>
      <c r="AC101" s="1223">
        <v>1</v>
      </c>
      <c r="AD101" s="1224"/>
      <c r="AE101" s="1224" t="s">
        <v>501</v>
      </c>
      <c r="AF101" s="1225"/>
      <c r="AG101" s="1225"/>
      <c r="AH101" s="1225"/>
      <c r="AI101" s="1225"/>
      <c r="AJ101" s="1226"/>
      <c r="AK101" s="1217"/>
      <c r="AL101" s="1218"/>
      <c r="AM101" s="1217"/>
      <c r="AN101" s="1217"/>
      <c r="AO101" s="1219"/>
      <c r="AP101" s="1219"/>
      <c r="AQ101" s="1219"/>
      <c r="AR101" s="1219"/>
      <c r="AS101" s="1219"/>
      <c r="AT101" s="1219"/>
      <c r="AU101" s="1219"/>
      <c r="AV101" s="1219"/>
      <c r="AW101" s="1219"/>
      <c r="AX101" s="1219"/>
    </row>
    <row r="102" spans="1:50" ht="24.75" customHeight="1" outlineLevel="1">
      <c r="A102" s="1220"/>
      <c r="B102" s="1220"/>
      <c r="C102" s="3328"/>
      <c r="D102" s="1220"/>
      <c r="E102" s="1220"/>
      <c r="F102" s="1220"/>
      <c r="G102" s="1217"/>
      <c r="H102" s="1220"/>
      <c r="I102" s="1220"/>
      <c r="J102" s="1220"/>
      <c r="K102" s="1220"/>
      <c r="L102" s="1220"/>
      <c r="M102" s="1220"/>
      <c r="N102" s="1220"/>
      <c r="O102" s="1220"/>
      <c r="P102" s="1217"/>
      <c r="Q102" s="1217"/>
      <c r="R102" s="1217"/>
      <c r="S102" s="1217"/>
      <c r="T102" s="1217"/>
      <c r="U102" s="1217"/>
      <c r="V102" s="1221"/>
      <c r="W102" s="1221"/>
      <c r="X102" s="1669" t="s">
        <v>502</v>
      </c>
      <c r="Y102" s="1208" t="s">
        <v>503</v>
      </c>
      <c r="Z102" s="1223">
        <v>0</v>
      </c>
      <c r="AA102" s="1223">
        <v>1</v>
      </c>
      <c r="AB102" s="1223">
        <v>1</v>
      </c>
      <c r="AC102" s="1223">
        <v>1</v>
      </c>
      <c r="AD102" s="1224"/>
      <c r="AE102" s="1224" t="s">
        <v>501</v>
      </c>
      <c r="AF102" s="1225"/>
      <c r="AG102" s="1225"/>
      <c r="AH102" s="1225"/>
      <c r="AI102" s="1225"/>
      <c r="AJ102" s="1226"/>
      <c r="AK102" s="1217"/>
      <c r="AL102" s="1218"/>
      <c r="AM102" s="1217"/>
      <c r="AN102" s="1217"/>
      <c r="AO102" s="1219"/>
      <c r="AP102" s="1219"/>
      <c r="AQ102" s="1219"/>
      <c r="AR102" s="1219"/>
      <c r="AS102" s="1219"/>
      <c r="AT102" s="1219"/>
      <c r="AU102" s="1219"/>
      <c r="AV102" s="1219"/>
      <c r="AW102" s="1219"/>
      <c r="AX102" s="1219"/>
    </row>
    <row r="103" spans="1:50" ht="36.75" customHeight="1" outlineLevel="1">
      <c r="A103" s="1220"/>
      <c r="B103" s="1220"/>
      <c r="C103" s="3328"/>
      <c r="D103" s="1220"/>
      <c r="E103" s="1220"/>
      <c r="F103" s="1220"/>
      <c r="G103" s="1217"/>
      <c r="H103" s="1220"/>
      <c r="I103" s="1220"/>
      <c r="J103" s="1220"/>
      <c r="K103" s="1220"/>
      <c r="L103" s="1220"/>
      <c r="M103" s="1220"/>
      <c r="N103" s="1220"/>
      <c r="O103" s="1220"/>
      <c r="P103" s="1217"/>
      <c r="Q103" s="1217"/>
      <c r="R103" s="1217"/>
      <c r="S103" s="1217"/>
      <c r="T103" s="1217"/>
      <c r="U103" s="1217"/>
      <c r="V103" s="1221"/>
      <c r="W103" s="1221"/>
      <c r="X103" s="1670" t="s">
        <v>504</v>
      </c>
      <c r="Y103" s="1208" t="s">
        <v>505</v>
      </c>
      <c r="Z103" s="1223">
        <v>1</v>
      </c>
      <c r="AA103" s="1223">
        <v>0</v>
      </c>
      <c r="AB103" s="1223">
        <v>8</v>
      </c>
      <c r="AC103" s="1223">
        <v>8</v>
      </c>
      <c r="AD103" s="1224"/>
      <c r="AE103" s="1224"/>
      <c r="AF103" s="1227" t="s">
        <v>506</v>
      </c>
      <c r="AG103" s="1227" t="s">
        <v>507</v>
      </c>
      <c r="AH103" s="1225"/>
      <c r="AI103" s="1225"/>
      <c r="AJ103" s="1226" t="s">
        <v>508</v>
      </c>
      <c r="AK103" s="1217"/>
      <c r="AL103" s="1218"/>
      <c r="AM103" s="1217"/>
      <c r="AN103" s="1217"/>
      <c r="AO103" s="1219"/>
      <c r="AP103" s="1219"/>
      <c r="AQ103" s="1219"/>
      <c r="AR103" s="1219"/>
      <c r="AS103" s="1219"/>
      <c r="AT103" s="1219"/>
      <c r="AU103" s="1219"/>
      <c r="AV103" s="1219"/>
      <c r="AW103" s="1219"/>
      <c r="AX103" s="1219"/>
    </row>
    <row r="104" spans="1:50" ht="36.75" customHeight="1" outlineLevel="1">
      <c r="A104" s="1220"/>
      <c r="B104" s="1220"/>
      <c r="C104" s="3328"/>
      <c r="D104" s="1220"/>
      <c r="E104" s="1220"/>
      <c r="F104" s="1220"/>
      <c r="G104" s="1217"/>
      <c r="H104" s="1220"/>
      <c r="I104" s="1220"/>
      <c r="J104" s="1220"/>
      <c r="K104" s="1220"/>
      <c r="L104" s="1220"/>
      <c r="M104" s="1220"/>
      <c r="N104" s="1220"/>
      <c r="O104" s="1220"/>
      <c r="P104" s="1217"/>
      <c r="Q104" s="1217"/>
      <c r="R104" s="1217"/>
      <c r="S104" s="1217"/>
      <c r="T104" s="1217"/>
      <c r="U104" s="1217"/>
      <c r="V104" s="1221"/>
      <c r="W104" s="1221"/>
      <c r="X104" s="1671" t="s">
        <v>509</v>
      </c>
      <c r="Y104" s="1208" t="s">
        <v>510</v>
      </c>
      <c r="Z104" s="1223">
        <v>2</v>
      </c>
      <c r="AA104" s="1223">
        <v>0</v>
      </c>
      <c r="AB104" s="1223">
        <v>16</v>
      </c>
      <c r="AC104" s="1223">
        <v>8</v>
      </c>
      <c r="AD104" s="1224"/>
      <c r="AE104" s="1224"/>
      <c r="AF104" s="1227" t="s">
        <v>506</v>
      </c>
      <c r="AG104" s="1227" t="s">
        <v>507</v>
      </c>
      <c r="AH104" s="1225"/>
      <c r="AI104" s="1225"/>
      <c r="AJ104" s="1226" t="s">
        <v>508</v>
      </c>
      <c r="AK104" s="1217"/>
      <c r="AL104" s="1218"/>
      <c r="AM104" s="1217"/>
      <c r="AN104" s="1217"/>
      <c r="AO104" s="1219"/>
      <c r="AP104" s="1219"/>
      <c r="AQ104" s="1219"/>
      <c r="AR104" s="1219"/>
      <c r="AS104" s="1219"/>
      <c r="AT104" s="1219"/>
      <c r="AU104" s="1219"/>
      <c r="AV104" s="1219"/>
      <c r="AW104" s="1219"/>
      <c r="AX104" s="1219"/>
    </row>
    <row r="105" spans="1:50" ht="24.75" customHeight="1" outlineLevel="1">
      <c r="A105" s="1220"/>
      <c r="B105" s="1220"/>
      <c r="C105" s="3328"/>
      <c r="D105" s="1220"/>
      <c r="E105" s="1220"/>
      <c r="F105" s="1220"/>
      <c r="G105" s="1217"/>
      <c r="H105" s="1220"/>
      <c r="I105" s="1220"/>
      <c r="J105" s="1220"/>
      <c r="K105" s="1220"/>
      <c r="L105" s="1220"/>
      <c r="M105" s="1220"/>
      <c r="N105" s="1220"/>
      <c r="O105" s="1220"/>
      <c r="P105" s="1217"/>
      <c r="Q105" s="1217"/>
      <c r="R105" s="1217"/>
      <c r="S105" s="1217"/>
      <c r="T105" s="1217"/>
      <c r="U105" s="1217"/>
      <c r="V105" s="1221"/>
      <c r="W105" s="1221"/>
      <c r="X105" s="1672" t="s">
        <v>511</v>
      </c>
      <c r="Y105" s="1208" t="s">
        <v>512</v>
      </c>
      <c r="Z105" s="1223">
        <v>3</v>
      </c>
      <c r="AA105" s="1223">
        <v>0</v>
      </c>
      <c r="AB105" s="1223">
        <v>24</v>
      </c>
      <c r="AC105" s="1223">
        <v>8</v>
      </c>
      <c r="AD105" s="1224"/>
      <c r="AE105" s="1224"/>
      <c r="AF105" s="1227" t="s">
        <v>506</v>
      </c>
      <c r="AG105" s="1227" t="s">
        <v>513</v>
      </c>
      <c r="AH105" s="1225"/>
      <c r="AI105" s="1225"/>
      <c r="AJ105" s="1226" t="s">
        <v>514</v>
      </c>
      <c r="AK105" s="1217"/>
      <c r="AL105" s="1218"/>
      <c r="AM105" s="1217"/>
      <c r="AN105" s="1217"/>
      <c r="AO105" s="1219"/>
      <c r="AP105" s="1219"/>
      <c r="AQ105" s="1219"/>
      <c r="AR105" s="1219"/>
      <c r="AS105" s="1219"/>
      <c r="AT105" s="1219"/>
      <c r="AU105" s="1219"/>
      <c r="AV105" s="1219"/>
      <c r="AW105" s="1219"/>
      <c r="AX105" s="1219"/>
    </row>
    <row r="106" spans="1:50" ht="24.75" customHeight="1" outlineLevel="1">
      <c r="A106" s="1220"/>
      <c r="B106" s="1220"/>
      <c r="C106" s="3328"/>
      <c r="D106" s="1220"/>
      <c r="E106" s="1220"/>
      <c r="F106" s="1220"/>
      <c r="G106" s="1217"/>
      <c r="H106" s="1220"/>
      <c r="I106" s="1220"/>
      <c r="J106" s="1220"/>
      <c r="K106" s="1220"/>
      <c r="L106" s="1220"/>
      <c r="M106" s="1220"/>
      <c r="N106" s="1220"/>
      <c r="O106" s="1220"/>
      <c r="P106" s="1217"/>
      <c r="Q106" s="1217"/>
      <c r="R106" s="1217"/>
      <c r="S106" s="1217"/>
      <c r="T106" s="1217"/>
      <c r="U106" s="1217"/>
      <c r="V106" s="1221"/>
      <c r="W106" s="1221"/>
      <c r="X106" s="1673" t="s">
        <v>515</v>
      </c>
      <c r="Y106" s="1208" t="s">
        <v>516</v>
      </c>
      <c r="Z106" s="1223">
        <v>4</v>
      </c>
      <c r="AA106" s="1223">
        <v>0</v>
      </c>
      <c r="AB106" s="1223">
        <v>32</v>
      </c>
      <c r="AC106" s="1223">
        <v>8</v>
      </c>
      <c r="AD106" s="1223" t="s">
        <v>286</v>
      </c>
      <c r="AE106" s="1224"/>
      <c r="AF106" s="1223">
        <v>1</v>
      </c>
      <c r="AG106" s="1223">
        <v>-40</v>
      </c>
      <c r="AH106" s="1223"/>
      <c r="AI106" s="1223"/>
      <c r="AJ106" s="1226" t="s">
        <v>508</v>
      </c>
      <c r="AK106" s="1217"/>
      <c r="AL106" s="1218"/>
      <c r="AM106" s="1217"/>
      <c r="AN106" s="1217"/>
      <c r="AO106" s="1219"/>
      <c r="AP106" s="1219"/>
      <c r="AQ106" s="1219"/>
      <c r="AR106" s="1219"/>
      <c r="AS106" s="1219"/>
      <c r="AT106" s="1219"/>
      <c r="AU106" s="1219"/>
      <c r="AV106" s="1219"/>
      <c r="AW106" s="1219"/>
      <c r="AX106" s="1219"/>
    </row>
    <row r="107" spans="1:50" ht="27.75" customHeight="1" outlineLevel="1">
      <c r="A107" s="1220"/>
      <c r="B107" s="1220"/>
      <c r="C107" s="3328"/>
      <c r="D107" s="1220"/>
      <c r="E107" s="1220"/>
      <c r="F107" s="1220"/>
      <c r="G107" s="1217"/>
      <c r="H107" s="1220"/>
      <c r="I107" s="1220"/>
      <c r="J107" s="1220"/>
      <c r="K107" s="1220"/>
      <c r="L107" s="1220"/>
      <c r="M107" s="1220"/>
      <c r="N107" s="1220"/>
      <c r="O107" s="1220"/>
      <c r="P107" s="1217"/>
      <c r="Q107" s="1217"/>
      <c r="R107" s="1217"/>
      <c r="S107" s="1217"/>
      <c r="T107" s="1217"/>
      <c r="U107" s="1217"/>
      <c r="V107" s="1221"/>
      <c r="W107" s="1221"/>
      <c r="X107" s="1228" t="s">
        <v>517</v>
      </c>
      <c r="Y107" s="1224" t="s">
        <v>518</v>
      </c>
      <c r="Z107" s="1229">
        <v>5</v>
      </c>
      <c r="AA107" s="1229">
        <v>0</v>
      </c>
      <c r="AB107" s="1229">
        <v>40</v>
      </c>
      <c r="AC107" s="1224">
        <v>8</v>
      </c>
      <c r="AD107" s="1224"/>
      <c r="AE107" s="1224"/>
      <c r="AF107" s="1224">
        <v>1</v>
      </c>
      <c r="AG107" s="1224">
        <v>-40</v>
      </c>
      <c r="AH107" s="1224"/>
      <c r="AI107" s="1224"/>
      <c r="AJ107" s="1224" t="s">
        <v>508</v>
      </c>
      <c r="AK107" s="1217"/>
      <c r="AL107" s="1218"/>
      <c r="AM107" s="1217"/>
      <c r="AN107" s="1217"/>
      <c r="AO107" s="1219"/>
      <c r="AP107" s="1219"/>
      <c r="AQ107" s="1219"/>
      <c r="AR107" s="1219"/>
      <c r="AS107" s="1219"/>
      <c r="AT107" s="1219"/>
      <c r="AU107" s="1219"/>
      <c r="AV107" s="1219"/>
      <c r="AW107" s="1219"/>
      <c r="AX107" s="1219"/>
    </row>
    <row r="108" spans="1:50" ht="27.75" customHeight="1" outlineLevel="1">
      <c r="A108" s="1220"/>
      <c r="B108" s="1220"/>
      <c r="C108" s="3328"/>
      <c r="D108" s="1220"/>
      <c r="E108" s="1220"/>
      <c r="F108" s="1220"/>
      <c r="G108" s="1217"/>
      <c r="H108" s="1220"/>
      <c r="I108" s="1220"/>
      <c r="J108" s="1220"/>
      <c r="K108" s="1220"/>
      <c r="L108" s="1220"/>
      <c r="M108" s="1220"/>
      <c r="N108" s="1220"/>
      <c r="O108" s="1220"/>
      <c r="P108" s="1217"/>
      <c r="Q108" s="1217"/>
      <c r="R108" s="1217"/>
      <c r="S108" s="1217"/>
      <c r="T108" s="1217"/>
      <c r="U108" s="1217"/>
      <c r="V108" s="1221"/>
      <c r="W108" s="1221"/>
      <c r="X108" s="1228" t="s">
        <v>519</v>
      </c>
      <c r="Y108" s="1224" t="s">
        <v>520</v>
      </c>
      <c r="Z108" s="1229">
        <v>6</v>
      </c>
      <c r="AA108" s="1229">
        <v>0</v>
      </c>
      <c r="AB108" s="1229">
        <v>48</v>
      </c>
      <c r="AC108" s="1224">
        <v>8</v>
      </c>
      <c r="AD108" s="1224"/>
      <c r="AE108" s="1224"/>
      <c r="AF108" s="1224">
        <v>1</v>
      </c>
      <c r="AG108" s="1224">
        <v>-40</v>
      </c>
      <c r="AH108" s="1224"/>
      <c r="AI108" s="1224"/>
      <c r="AJ108" s="1224" t="s">
        <v>508</v>
      </c>
      <c r="AK108" s="1217"/>
      <c r="AL108" s="1218"/>
      <c r="AM108" s="1217"/>
      <c r="AN108" s="1217"/>
      <c r="AO108" s="1219"/>
      <c r="AP108" s="1219"/>
      <c r="AQ108" s="1219"/>
      <c r="AR108" s="1219"/>
      <c r="AS108" s="1219"/>
      <c r="AT108" s="1219"/>
      <c r="AU108" s="1219"/>
      <c r="AV108" s="1219"/>
      <c r="AW108" s="1219"/>
      <c r="AX108" s="1219"/>
    </row>
    <row r="109" spans="1:50" ht="24.75" customHeight="1" outlineLevel="1">
      <c r="A109" s="1217"/>
      <c r="B109" s="1217"/>
      <c r="C109" s="1217"/>
      <c r="D109" s="1217"/>
      <c r="E109" s="1217"/>
      <c r="F109" s="1217"/>
      <c r="G109" s="1217"/>
      <c r="H109" s="1217"/>
      <c r="I109" s="1217"/>
      <c r="J109" s="1217"/>
      <c r="K109" s="1217"/>
      <c r="L109" s="1217"/>
      <c r="M109" s="1217"/>
      <c r="N109" s="1217"/>
      <c r="O109" s="1217"/>
      <c r="P109" s="1217"/>
      <c r="Q109" s="1217"/>
      <c r="R109" s="1217"/>
      <c r="S109" s="1217"/>
      <c r="T109" s="1217"/>
      <c r="U109" s="1217"/>
      <c r="V109" s="1221"/>
      <c r="W109" s="1221"/>
      <c r="X109" s="1674" t="s">
        <v>521</v>
      </c>
      <c r="Y109" s="1208" t="s">
        <v>522</v>
      </c>
      <c r="Z109" s="1223">
        <v>7</v>
      </c>
      <c r="AA109" s="1223">
        <v>0</v>
      </c>
      <c r="AB109" s="1223">
        <v>56</v>
      </c>
      <c r="AC109" s="1223">
        <v>8</v>
      </c>
      <c r="AD109" s="1223" t="s">
        <v>286</v>
      </c>
      <c r="AE109" s="1224"/>
      <c r="AF109" s="1223">
        <v>1</v>
      </c>
      <c r="AG109" s="1223">
        <v>-40</v>
      </c>
      <c r="AH109" s="1223"/>
      <c r="AI109" s="1223"/>
      <c r="AJ109" s="1226" t="s">
        <v>508</v>
      </c>
      <c r="AK109" s="1217"/>
      <c r="AL109" s="1218"/>
      <c r="AM109" s="1217"/>
      <c r="AN109" s="1217"/>
      <c r="AO109" s="1219"/>
      <c r="AP109" s="1219"/>
      <c r="AQ109" s="1219"/>
      <c r="AR109" s="1219"/>
      <c r="AS109" s="1219"/>
      <c r="AT109" s="1219"/>
      <c r="AU109" s="1219"/>
      <c r="AV109" s="1219"/>
      <c r="AW109" s="1219"/>
      <c r="AX109" s="1219"/>
    </row>
    <row r="110" spans="1:50" ht="18" customHeight="1" outlineLevel="1">
      <c r="A110" s="1217"/>
      <c r="B110" s="1217"/>
      <c r="C110" s="1217"/>
      <c r="D110" s="1217"/>
      <c r="E110" s="1217"/>
      <c r="F110" s="1217"/>
      <c r="G110" s="1217"/>
      <c r="H110" s="1217"/>
      <c r="I110" s="1217"/>
      <c r="J110" s="1217"/>
      <c r="K110" s="1217"/>
      <c r="L110" s="1217"/>
      <c r="M110" s="1217"/>
      <c r="N110" s="1217"/>
      <c r="O110" s="1217"/>
      <c r="P110" s="1217"/>
      <c r="Q110" s="1217"/>
      <c r="R110" s="1217"/>
      <c r="S110" s="1217"/>
      <c r="T110" s="1217"/>
      <c r="U110" s="1217"/>
      <c r="V110" s="1221"/>
      <c r="W110" s="1221"/>
      <c r="X110" s="1222"/>
      <c r="Y110" s="1221"/>
      <c r="Z110" s="1217"/>
      <c r="AA110" s="1217"/>
      <c r="AB110" s="1217"/>
      <c r="AC110" s="1217"/>
      <c r="AD110" s="1217"/>
      <c r="AE110" s="1217"/>
      <c r="AF110" s="1217"/>
      <c r="AG110" s="1217"/>
      <c r="AH110" s="1217"/>
      <c r="AI110" s="1217"/>
      <c r="AJ110" s="1217"/>
      <c r="AK110" s="1217"/>
      <c r="AL110" s="1218"/>
      <c r="AM110" s="1217"/>
      <c r="AN110" s="1217"/>
      <c r="AO110" s="1219"/>
      <c r="AP110" s="1219"/>
      <c r="AQ110" s="1219"/>
      <c r="AR110" s="1219"/>
      <c r="AS110" s="1219"/>
      <c r="AT110" s="1219"/>
      <c r="AU110" s="1219"/>
      <c r="AV110" s="1219"/>
      <c r="AW110" s="1219"/>
      <c r="AX110" s="1219"/>
    </row>
    <row r="111" spans="1:50" ht="18" customHeight="1">
      <c r="A111" s="689">
        <v>76</v>
      </c>
      <c r="B111" s="689" t="s">
        <v>523</v>
      </c>
      <c r="C111" s="877" t="s">
        <v>524</v>
      </c>
      <c r="D111" s="689" t="s">
        <v>259</v>
      </c>
      <c r="E111" s="689">
        <v>8</v>
      </c>
      <c r="F111" s="689" t="s">
        <v>260</v>
      </c>
      <c r="G111" s="816" t="s">
        <v>261</v>
      </c>
      <c r="H111" s="765"/>
      <c r="I111" s="765"/>
      <c r="J111" s="765"/>
      <c r="K111" s="765"/>
      <c r="L111" s="765"/>
      <c r="M111" s="765"/>
      <c r="N111" s="765"/>
      <c r="O111" s="765" t="s">
        <v>325</v>
      </c>
      <c r="P111" s="765"/>
      <c r="Q111" s="765"/>
      <c r="R111" s="765"/>
      <c r="S111" s="765"/>
      <c r="T111" s="765"/>
      <c r="U111" s="765"/>
      <c r="V111" s="689"/>
      <c r="W111" s="689"/>
      <c r="X111" s="689" t="s">
        <v>525</v>
      </c>
      <c r="Y111" s="689"/>
      <c r="Z111" s="689"/>
      <c r="AA111" s="689"/>
      <c r="AB111" s="1548">
        <v>0</v>
      </c>
      <c r="AC111" s="689"/>
      <c r="AD111" s="689"/>
      <c r="AE111" s="645"/>
      <c r="AF111" s="689"/>
      <c r="AG111" s="689"/>
      <c r="AH111" s="689"/>
      <c r="AI111" s="689"/>
      <c r="AJ111" s="689"/>
      <c r="AK111" s="181"/>
      <c r="AL111" s="364"/>
      <c r="AM111" s="1363"/>
      <c r="AN111" s="1363"/>
    </row>
    <row r="112" spans="1:50" ht="18" customHeight="1">
      <c r="A112" s="1220"/>
      <c r="B112" s="1220"/>
      <c r="C112" s="1220"/>
      <c r="D112" s="1220"/>
      <c r="E112" s="1220"/>
      <c r="F112" s="1220"/>
      <c r="G112" s="1217"/>
      <c r="H112" s="1220"/>
      <c r="I112" s="1220"/>
      <c r="J112" s="1220"/>
      <c r="K112" s="1220"/>
      <c r="L112" s="1220"/>
      <c r="M112" s="1220"/>
      <c r="N112" s="1220"/>
      <c r="O112" s="1220"/>
      <c r="P112" s="1217"/>
      <c r="Q112" s="1217"/>
      <c r="R112" s="1217"/>
      <c r="S112" s="1217"/>
      <c r="T112" s="1217"/>
      <c r="U112" s="1217"/>
      <c r="V112" s="1221"/>
      <c r="W112" s="1221"/>
      <c r="X112" s="1230" t="s">
        <v>526</v>
      </c>
      <c r="Y112" s="1208" t="s">
        <v>527</v>
      </c>
      <c r="Z112" s="1224">
        <v>0</v>
      </c>
      <c r="AA112" s="1224">
        <v>0</v>
      </c>
      <c r="AB112" s="1224">
        <v>0</v>
      </c>
      <c r="AC112" s="1224">
        <v>8</v>
      </c>
      <c r="AD112" s="1224" t="s">
        <v>407</v>
      </c>
      <c r="AE112" s="1224"/>
      <c r="AF112" s="1224">
        <v>1</v>
      </c>
      <c r="AG112" s="1224">
        <v>0</v>
      </c>
      <c r="AH112" s="1224"/>
      <c r="AI112" s="1224">
        <v>0</v>
      </c>
      <c r="AJ112" s="1224" t="s">
        <v>528</v>
      </c>
      <c r="AK112" s="1217"/>
      <c r="AL112" s="1218"/>
      <c r="AM112" s="1217"/>
      <c r="AN112" s="1217"/>
      <c r="AO112" s="1219"/>
      <c r="AP112" s="1219"/>
      <c r="AQ112" s="1219"/>
      <c r="AR112" s="1219"/>
      <c r="AS112" s="1219"/>
      <c r="AT112" s="1219"/>
      <c r="AU112" s="1219"/>
      <c r="AV112" s="1219"/>
      <c r="AW112" s="1219"/>
      <c r="AX112" s="1219"/>
    </row>
    <row r="113" spans="1:38" ht="18" customHeight="1">
      <c r="A113" s="621">
        <v>11</v>
      </c>
      <c r="B113" s="621" t="s">
        <v>529</v>
      </c>
      <c r="C113" s="605" t="s">
        <v>530</v>
      </c>
      <c r="D113" s="621" t="s">
        <v>401</v>
      </c>
      <c r="E113" s="621">
        <v>8</v>
      </c>
      <c r="F113" s="621" t="s">
        <v>260</v>
      </c>
      <c r="G113" s="628" t="s">
        <v>261</v>
      </c>
      <c r="H113" s="591" t="s">
        <v>325</v>
      </c>
      <c r="I113" s="591"/>
      <c r="J113" s="591"/>
      <c r="K113" s="591"/>
      <c r="L113" s="591"/>
      <c r="M113" s="591"/>
      <c r="N113" s="591"/>
      <c r="O113" s="591"/>
      <c r="P113" s="591" t="s">
        <v>325</v>
      </c>
      <c r="Q113" s="591"/>
      <c r="R113" s="591"/>
      <c r="S113" s="591"/>
      <c r="T113" s="591"/>
      <c r="U113" s="591"/>
      <c r="V113" s="621"/>
      <c r="W113" s="621"/>
      <c r="X113" s="621" t="s">
        <v>531</v>
      </c>
      <c r="Y113" s="621"/>
      <c r="Z113" s="621"/>
      <c r="AA113" s="621"/>
      <c r="AB113" s="595">
        <f t="shared" ref="AB113:AB140" si="0">Z113*8+AA113</f>
        <v>0</v>
      </c>
      <c r="AC113" s="621"/>
      <c r="AD113" s="621"/>
      <c r="AE113" s="639" t="s">
        <v>403</v>
      </c>
      <c r="AF113" s="621"/>
      <c r="AG113" s="621"/>
      <c r="AH113" s="621"/>
      <c r="AI113" s="621"/>
      <c r="AJ113" s="621"/>
      <c r="AK113" s="139"/>
      <c r="AL113" s="108" t="s">
        <v>404</v>
      </c>
    </row>
    <row r="114" spans="1:38" ht="30.75" customHeight="1">
      <c r="A114" s="80"/>
      <c r="B114" s="80"/>
      <c r="C114" s="80"/>
      <c r="D114" s="80"/>
      <c r="E114" s="80"/>
      <c r="F114" s="80"/>
      <c r="G114" s="49" t="s">
        <v>261</v>
      </c>
      <c r="H114" s="94" t="s">
        <v>325</v>
      </c>
      <c r="I114" s="94"/>
      <c r="J114" s="94"/>
      <c r="K114" s="94"/>
      <c r="L114" s="94"/>
      <c r="M114" s="94"/>
      <c r="N114" s="94"/>
      <c r="O114" s="94"/>
      <c r="P114" s="94" t="s">
        <v>325</v>
      </c>
      <c r="Q114" s="94"/>
      <c r="R114" s="94"/>
      <c r="S114" s="94"/>
      <c r="T114" s="94"/>
      <c r="U114" s="97"/>
      <c r="V114" s="117"/>
      <c r="W114" s="117"/>
      <c r="X114" s="1675" t="s">
        <v>532</v>
      </c>
      <c r="Y114" s="117" t="s">
        <v>533</v>
      </c>
      <c r="Z114" s="131">
        <v>0</v>
      </c>
      <c r="AA114" s="101">
        <v>0</v>
      </c>
      <c r="AB114" s="595">
        <f t="shared" si="0"/>
        <v>0</v>
      </c>
      <c r="AC114" s="101">
        <v>16</v>
      </c>
      <c r="AD114" s="101"/>
      <c r="AE114" s="99"/>
      <c r="AF114" s="99"/>
      <c r="AG114" s="99"/>
      <c r="AH114" s="99"/>
      <c r="AI114" s="99"/>
      <c r="AJ114" s="140"/>
      <c r="AK114" s="80"/>
    </row>
    <row r="115" spans="1:38" ht="30.75" customHeight="1">
      <c r="A115" s="80"/>
      <c r="B115" s="80"/>
      <c r="C115" s="80"/>
      <c r="D115" s="80"/>
      <c r="E115" s="80"/>
      <c r="F115" s="80"/>
      <c r="G115" s="49" t="s">
        <v>261</v>
      </c>
      <c r="H115" s="94" t="s">
        <v>325</v>
      </c>
      <c r="I115" s="94"/>
      <c r="J115" s="94"/>
      <c r="K115" s="94"/>
      <c r="L115" s="94"/>
      <c r="M115" s="94"/>
      <c r="N115" s="94"/>
      <c r="O115" s="94"/>
      <c r="P115" s="94" t="s">
        <v>325</v>
      </c>
      <c r="Q115" s="94"/>
      <c r="R115" s="94"/>
      <c r="S115" s="94"/>
      <c r="T115" s="94"/>
      <c r="U115" s="97"/>
      <c r="V115" s="117"/>
      <c r="W115" s="117"/>
      <c r="X115" s="1676" t="s">
        <v>534</v>
      </c>
      <c r="Y115" s="117" t="s">
        <v>535</v>
      </c>
      <c r="Z115" s="132">
        <v>2</v>
      </c>
      <c r="AA115" s="103">
        <v>0</v>
      </c>
      <c r="AB115" s="595">
        <f t="shared" si="0"/>
        <v>16</v>
      </c>
      <c r="AC115" s="103">
        <v>8</v>
      </c>
      <c r="AD115" s="103"/>
      <c r="AE115" s="102"/>
      <c r="AF115" s="102"/>
      <c r="AG115" s="102"/>
      <c r="AH115" s="102"/>
      <c r="AI115" s="102"/>
      <c r="AJ115" s="141" t="s">
        <v>536</v>
      </c>
      <c r="AK115" s="80"/>
    </row>
    <row r="116" spans="1:38" ht="45.75" customHeight="1">
      <c r="A116" s="80"/>
      <c r="B116" s="80"/>
      <c r="C116" s="80"/>
      <c r="D116" s="80"/>
      <c r="E116" s="80"/>
      <c r="F116" s="80"/>
      <c r="G116" s="49" t="s">
        <v>261</v>
      </c>
      <c r="H116" s="94" t="s">
        <v>325</v>
      </c>
      <c r="I116" s="94"/>
      <c r="J116" s="94"/>
      <c r="K116" s="94"/>
      <c r="L116" s="94"/>
      <c r="M116" s="94"/>
      <c r="N116" s="94"/>
      <c r="O116" s="94"/>
      <c r="P116" s="94" t="s">
        <v>325</v>
      </c>
      <c r="Q116" s="94"/>
      <c r="R116" s="94"/>
      <c r="S116" s="94"/>
      <c r="T116" s="94"/>
      <c r="U116" s="97"/>
      <c r="V116" s="117"/>
      <c r="W116" s="117"/>
      <c r="X116" s="1677" t="s">
        <v>537</v>
      </c>
      <c r="Y116" s="117" t="s">
        <v>538</v>
      </c>
      <c r="Z116" s="132">
        <v>3</v>
      </c>
      <c r="AA116" s="103">
        <v>0</v>
      </c>
      <c r="AB116" s="595">
        <f t="shared" si="0"/>
        <v>24</v>
      </c>
      <c r="AC116" s="103">
        <v>8</v>
      </c>
      <c r="AD116" s="103"/>
      <c r="AE116" s="102"/>
      <c r="AF116" s="102"/>
      <c r="AG116" s="102"/>
      <c r="AH116" s="102"/>
      <c r="AI116" s="102"/>
      <c r="AJ116" s="141" t="s">
        <v>539</v>
      </c>
      <c r="AK116" s="80"/>
    </row>
    <row r="117" spans="1:38" ht="30.75" customHeight="1">
      <c r="A117" s="80"/>
      <c r="B117" s="80"/>
      <c r="C117" s="80"/>
      <c r="D117" s="80"/>
      <c r="E117" s="80"/>
      <c r="F117" s="80"/>
      <c r="G117" s="49" t="s">
        <v>261</v>
      </c>
      <c r="H117" s="94" t="s">
        <v>325</v>
      </c>
      <c r="I117" s="94"/>
      <c r="J117" s="94"/>
      <c r="K117" s="94"/>
      <c r="L117" s="94"/>
      <c r="M117" s="94"/>
      <c r="N117" s="94"/>
      <c r="O117" s="94"/>
      <c r="P117" s="94" t="s">
        <v>325</v>
      </c>
      <c r="Q117" s="94"/>
      <c r="R117" s="94"/>
      <c r="S117" s="94"/>
      <c r="T117" s="94"/>
      <c r="U117" s="97"/>
      <c r="V117" s="117"/>
      <c r="W117" s="117"/>
      <c r="X117" s="1678" t="s">
        <v>540</v>
      </c>
      <c r="Y117" s="117" t="s">
        <v>541</v>
      </c>
      <c r="Z117" s="132">
        <v>4</v>
      </c>
      <c r="AA117" s="103">
        <v>0</v>
      </c>
      <c r="AB117" s="595">
        <f t="shared" si="0"/>
        <v>32</v>
      </c>
      <c r="AC117" s="103">
        <v>8</v>
      </c>
      <c r="AD117" s="103"/>
      <c r="AE117" s="102"/>
      <c r="AF117" s="102"/>
      <c r="AG117" s="102"/>
      <c r="AH117" s="102"/>
      <c r="AI117" s="102"/>
      <c r="AJ117" s="141" t="s">
        <v>542</v>
      </c>
      <c r="AK117" s="80"/>
    </row>
    <row r="118" spans="1:38" ht="14.25" customHeight="1">
      <c r="A118" s="80"/>
      <c r="B118" s="80"/>
      <c r="C118" s="80"/>
      <c r="D118" s="80"/>
      <c r="E118" s="80"/>
      <c r="F118" s="80"/>
      <c r="G118" s="49" t="s">
        <v>261</v>
      </c>
      <c r="H118" s="94" t="s">
        <v>325</v>
      </c>
      <c r="I118" s="94"/>
      <c r="J118" s="94"/>
      <c r="K118" s="94"/>
      <c r="L118" s="94"/>
      <c r="M118" s="94"/>
      <c r="N118" s="94"/>
      <c r="O118" s="94"/>
      <c r="P118" s="94" t="s">
        <v>325</v>
      </c>
      <c r="Q118" s="94"/>
      <c r="R118" s="94"/>
      <c r="S118" s="94"/>
      <c r="T118" s="94"/>
      <c r="U118" s="97"/>
      <c r="V118" s="117"/>
      <c r="W118" s="117"/>
      <c r="X118" s="1679" t="s">
        <v>543</v>
      </c>
      <c r="Y118" s="117" t="s">
        <v>544</v>
      </c>
      <c r="Z118" s="132">
        <v>5</v>
      </c>
      <c r="AA118" s="103">
        <v>0</v>
      </c>
      <c r="AB118" s="595">
        <f t="shared" si="0"/>
        <v>40</v>
      </c>
      <c r="AC118" s="103">
        <v>24</v>
      </c>
      <c r="AD118" s="103"/>
      <c r="AE118" s="102"/>
      <c r="AF118" s="102"/>
      <c r="AG118" s="102"/>
      <c r="AH118" s="102"/>
      <c r="AI118" s="102"/>
      <c r="AJ118" s="141" t="s">
        <v>545</v>
      </c>
      <c r="AK118" s="80"/>
    </row>
    <row r="119" spans="1:38" ht="18" customHeight="1" outlineLevel="1">
      <c r="A119" s="622">
        <v>12</v>
      </c>
      <c r="B119" s="622" t="s">
        <v>546</v>
      </c>
      <c r="C119" s="645" t="s">
        <v>547</v>
      </c>
      <c r="D119" s="622" t="s">
        <v>401</v>
      </c>
      <c r="E119" s="622">
        <v>8</v>
      </c>
      <c r="F119" s="622" t="s">
        <v>260</v>
      </c>
      <c r="G119" s="628" t="s">
        <v>261</v>
      </c>
      <c r="H119" s="591" t="s">
        <v>325</v>
      </c>
      <c r="I119" s="591"/>
      <c r="J119" s="591"/>
      <c r="K119" s="591"/>
      <c r="L119" s="591"/>
      <c r="M119" s="591"/>
      <c r="N119" s="591"/>
      <c r="O119" s="591"/>
      <c r="P119" s="591" t="s">
        <v>325</v>
      </c>
      <c r="Q119" s="591"/>
      <c r="R119" s="591"/>
      <c r="S119" s="591"/>
      <c r="T119" s="591"/>
      <c r="U119" s="591"/>
      <c r="V119" s="597"/>
      <c r="W119" s="597"/>
      <c r="X119" s="597" t="s">
        <v>548</v>
      </c>
      <c r="Y119" s="597"/>
      <c r="Z119" s="622"/>
      <c r="AA119" s="622"/>
      <c r="AB119" s="595">
        <f t="shared" si="0"/>
        <v>0</v>
      </c>
      <c r="AC119" s="622"/>
      <c r="AD119" s="622"/>
      <c r="AE119" s="639" t="s">
        <v>403</v>
      </c>
      <c r="AF119" s="622"/>
      <c r="AG119" s="622"/>
      <c r="AH119" s="622"/>
      <c r="AI119" s="622"/>
      <c r="AJ119" s="622"/>
      <c r="AK119" s="125"/>
      <c r="AL119" s="108" t="s">
        <v>404</v>
      </c>
    </row>
    <row r="120" spans="1:38" ht="45.75" customHeight="1" outlineLevel="1">
      <c r="A120" s="80"/>
      <c r="B120" s="80"/>
      <c r="C120" s="80"/>
      <c r="D120" s="80"/>
      <c r="E120" s="80"/>
      <c r="F120" s="80"/>
      <c r="G120" s="49" t="s">
        <v>261</v>
      </c>
      <c r="H120" s="94" t="s">
        <v>325</v>
      </c>
      <c r="I120" s="94"/>
      <c r="J120" s="94"/>
      <c r="K120" s="94"/>
      <c r="L120" s="94"/>
      <c r="M120" s="94"/>
      <c r="N120" s="94"/>
      <c r="O120" s="94"/>
      <c r="P120" s="94" t="s">
        <v>325</v>
      </c>
      <c r="Q120" s="94"/>
      <c r="R120" s="94"/>
      <c r="S120" s="94"/>
      <c r="T120" s="94"/>
      <c r="U120" s="97"/>
      <c r="V120" s="117"/>
      <c r="W120" s="117"/>
      <c r="X120" s="1680" t="s">
        <v>549</v>
      </c>
      <c r="Y120" s="120" t="s">
        <v>550</v>
      </c>
      <c r="Z120" s="120">
        <v>0</v>
      </c>
      <c r="AA120" s="71">
        <v>0</v>
      </c>
      <c r="AB120" s="595">
        <f t="shared" si="0"/>
        <v>0</v>
      </c>
      <c r="AC120" s="71">
        <v>8</v>
      </c>
      <c r="AD120" s="133"/>
      <c r="AE120" s="70" t="s">
        <v>551</v>
      </c>
      <c r="AF120" s="134"/>
      <c r="AG120" s="134"/>
      <c r="AH120" s="134"/>
      <c r="AI120" s="134"/>
      <c r="AJ120" s="134"/>
      <c r="AK120" s="59"/>
    </row>
    <row r="121" spans="1:38" ht="75.75" customHeight="1" outlineLevel="1">
      <c r="A121" s="80"/>
      <c r="B121" s="80"/>
      <c r="C121" s="80"/>
      <c r="D121" s="80"/>
      <c r="E121" s="80"/>
      <c r="F121" s="80"/>
      <c r="G121" s="49" t="s">
        <v>261</v>
      </c>
      <c r="H121" s="94" t="s">
        <v>325</v>
      </c>
      <c r="I121" s="94"/>
      <c r="J121" s="94"/>
      <c r="K121" s="94"/>
      <c r="L121" s="94"/>
      <c r="M121" s="94"/>
      <c r="N121" s="94"/>
      <c r="O121" s="94"/>
      <c r="P121" s="94" t="s">
        <v>325</v>
      </c>
      <c r="Q121" s="94"/>
      <c r="R121" s="94"/>
      <c r="S121" s="94"/>
      <c r="T121" s="94"/>
      <c r="U121" s="97"/>
      <c r="V121" s="117"/>
      <c r="W121" s="117"/>
      <c r="X121" s="1681" t="s">
        <v>552</v>
      </c>
      <c r="Y121" s="644" t="s">
        <v>553</v>
      </c>
      <c r="Z121" s="644">
        <v>1</v>
      </c>
      <c r="AA121" s="595">
        <v>0</v>
      </c>
      <c r="AB121" s="595">
        <f t="shared" si="0"/>
        <v>8</v>
      </c>
      <c r="AC121" s="595">
        <v>8</v>
      </c>
      <c r="AD121" s="609"/>
      <c r="AE121" s="599" t="s">
        <v>554</v>
      </c>
      <c r="AF121" s="646"/>
      <c r="AG121" s="646"/>
      <c r="AH121" s="646"/>
      <c r="AI121" s="646"/>
      <c r="AJ121" s="646"/>
      <c r="AK121" s="59"/>
    </row>
    <row r="122" spans="1:38" ht="75.75" customHeight="1" outlineLevel="1">
      <c r="A122" s="80"/>
      <c r="B122" s="80"/>
      <c r="C122" s="80"/>
      <c r="D122" s="80"/>
      <c r="E122" s="80"/>
      <c r="F122" s="80"/>
      <c r="G122" s="49" t="s">
        <v>261</v>
      </c>
      <c r="H122" s="94" t="s">
        <v>325</v>
      </c>
      <c r="I122" s="94"/>
      <c r="J122" s="94"/>
      <c r="K122" s="94"/>
      <c r="L122" s="94"/>
      <c r="M122" s="94"/>
      <c r="N122" s="94"/>
      <c r="O122" s="94"/>
      <c r="P122" s="94" t="s">
        <v>325</v>
      </c>
      <c r="Q122" s="94"/>
      <c r="R122" s="94"/>
      <c r="S122" s="94"/>
      <c r="T122" s="94"/>
      <c r="U122" s="97"/>
      <c r="V122" s="117"/>
      <c r="W122" s="117"/>
      <c r="X122" s="1682" t="s">
        <v>555</v>
      </c>
      <c r="Y122" s="644" t="s">
        <v>556</v>
      </c>
      <c r="Z122" s="644">
        <v>2</v>
      </c>
      <c r="AA122" s="595">
        <v>0</v>
      </c>
      <c r="AB122" s="595">
        <f t="shared" si="0"/>
        <v>16</v>
      </c>
      <c r="AC122" s="595">
        <v>8</v>
      </c>
      <c r="AD122" s="609"/>
      <c r="AE122" s="599" t="s">
        <v>557</v>
      </c>
      <c r="AF122" s="646"/>
      <c r="AG122" s="646"/>
      <c r="AH122" s="646"/>
      <c r="AI122" s="646"/>
      <c r="AJ122" s="646"/>
      <c r="AK122" s="59"/>
    </row>
    <row r="123" spans="1:38" ht="75.75" customHeight="1" outlineLevel="1">
      <c r="A123" s="80"/>
      <c r="B123" s="80"/>
      <c r="C123" s="80"/>
      <c r="D123" s="80"/>
      <c r="E123" s="80"/>
      <c r="F123" s="80"/>
      <c r="G123" s="49" t="s">
        <v>261</v>
      </c>
      <c r="H123" s="94" t="s">
        <v>325</v>
      </c>
      <c r="I123" s="94"/>
      <c r="J123" s="94"/>
      <c r="K123" s="94"/>
      <c r="L123" s="94"/>
      <c r="M123" s="94"/>
      <c r="N123" s="94"/>
      <c r="O123" s="94"/>
      <c r="P123" s="94" t="s">
        <v>325</v>
      </c>
      <c r="Q123" s="94"/>
      <c r="R123" s="94"/>
      <c r="S123" s="94"/>
      <c r="T123" s="94"/>
      <c r="U123" s="97"/>
      <c r="V123" s="117"/>
      <c r="W123" s="117"/>
      <c r="X123" s="1683" t="s">
        <v>558</v>
      </c>
      <c r="Y123" s="644" t="s">
        <v>559</v>
      </c>
      <c r="Z123" s="644">
        <v>3</v>
      </c>
      <c r="AA123" s="595">
        <v>0</v>
      </c>
      <c r="AB123" s="595">
        <f t="shared" si="0"/>
        <v>24</v>
      </c>
      <c r="AC123" s="595">
        <v>8</v>
      </c>
      <c r="AD123" s="609"/>
      <c r="AE123" s="599" t="s">
        <v>560</v>
      </c>
      <c r="AF123" s="646"/>
      <c r="AG123" s="646"/>
      <c r="AH123" s="646"/>
      <c r="AI123" s="646"/>
      <c r="AJ123" s="646"/>
      <c r="AK123" s="59"/>
    </row>
    <row r="124" spans="1:38" ht="45.75" customHeight="1" outlineLevel="1">
      <c r="A124" s="80"/>
      <c r="B124" s="80"/>
      <c r="C124" s="80"/>
      <c r="D124" s="80"/>
      <c r="E124" s="80"/>
      <c r="F124" s="80"/>
      <c r="G124" s="49" t="s">
        <v>261</v>
      </c>
      <c r="H124" s="94" t="s">
        <v>325</v>
      </c>
      <c r="I124" s="94"/>
      <c r="J124" s="94"/>
      <c r="K124" s="94"/>
      <c r="L124" s="94"/>
      <c r="M124" s="94"/>
      <c r="N124" s="94"/>
      <c r="O124" s="94"/>
      <c r="P124" s="94" t="s">
        <v>325</v>
      </c>
      <c r="Q124" s="94"/>
      <c r="R124" s="94"/>
      <c r="S124" s="94"/>
      <c r="T124" s="94"/>
      <c r="U124" s="97"/>
      <c r="V124" s="117"/>
      <c r="W124" s="117"/>
      <c r="X124" s="1684" t="s">
        <v>561</v>
      </c>
      <c r="Y124" s="120" t="s">
        <v>562</v>
      </c>
      <c r="Z124" s="644">
        <v>4</v>
      </c>
      <c r="AA124" s="595">
        <v>0</v>
      </c>
      <c r="AB124" s="595">
        <f t="shared" si="0"/>
        <v>32</v>
      </c>
      <c r="AC124" s="595">
        <v>8</v>
      </c>
      <c r="AD124" s="609"/>
      <c r="AE124" s="599" t="s">
        <v>563</v>
      </c>
      <c r="AF124" s="646"/>
      <c r="AG124" s="646"/>
      <c r="AH124" s="646"/>
      <c r="AI124" s="646"/>
      <c r="AJ124" s="646"/>
      <c r="AK124" s="59"/>
    </row>
    <row r="125" spans="1:38" ht="75.75" customHeight="1" outlineLevel="1">
      <c r="A125" s="80"/>
      <c r="B125" s="80"/>
      <c r="C125" s="80"/>
      <c r="D125" s="80"/>
      <c r="E125" s="80"/>
      <c r="F125" s="80"/>
      <c r="G125" s="49" t="s">
        <v>261</v>
      </c>
      <c r="H125" s="94" t="s">
        <v>325</v>
      </c>
      <c r="I125" s="94"/>
      <c r="J125" s="94"/>
      <c r="K125" s="94"/>
      <c r="L125" s="94"/>
      <c r="M125" s="94"/>
      <c r="N125" s="94"/>
      <c r="O125" s="94"/>
      <c r="P125" s="94" t="s">
        <v>325</v>
      </c>
      <c r="Q125" s="94"/>
      <c r="R125" s="94"/>
      <c r="S125" s="94"/>
      <c r="T125" s="94"/>
      <c r="U125" s="97"/>
      <c r="V125" s="117"/>
      <c r="W125" s="117"/>
      <c r="X125" s="1685" t="s">
        <v>564</v>
      </c>
      <c r="Y125" s="644" t="s">
        <v>565</v>
      </c>
      <c r="Z125" s="644">
        <v>5</v>
      </c>
      <c r="AA125" s="595">
        <v>0</v>
      </c>
      <c r="AB125" s="595">
        <f t="shared" si="0"/>
        <v>40</v>
      </c>
      <c r="AC125" s="595">
        <v>8</v>
      </c>
      <c r="AD125" s="609"/>
      <c r="AE125" s="599" t="s">
        <v>566</v>
      </c>
      <c r="AF125" s="646"/>
      <c r="AG125" s="646"/>
      <c r="AH125" s="646"/>
      <c r="AI125" s="646"/>
      <c r="AJ125" s="646"/>
      <c r="AK125" s="59"/>
    </row>
    <row r="126" spans="1:38" ht="75.75" customHeight="1" outlineLevel="1">
      <c r="A126" s="80"/>
      <c r="B126" s="80"/>
      <c r="C126" s="80"/>
      <c r="D126" s="80"/>
      <c r="E126" s="80"/>
      <c r="F126" s="80"/>
      <c r="G126" s="49" t="s">
        <v>261</v>
      </c>
      <c r="H126" s="94" t="s">
        <v>325</v>
      </c>
      <c r="I126" s="94"/>
      <c r="J126" s="94"/>
      <c r="K126" s="94"/>
      <c r="L126" s="94"/>
      <c r="M126" s="94"/>
      <c r="N126" s="94"/>
      <c r="O126" s="94"/>
      <c r="P126" s="94" t="s">
        <v>325</v>
      </c>
      <c r="Q126" s="94"/>
      <c r="R126" s="94"/>
      <c r="S126" s="94"/>
      <c r="T126" s="94"/>
      <c r="U126" s="97"/>
      <c r="V126" s="117"/>
      <c r="W126" s="117"/>
      <c r="X126" s="1686" t="s">
        <v>567</v>
      </c>
      <c r="Y126" s="644" t="s">
        <v>568</v>
      </c>
      <c r="Z126" s="644">
        <v>6</v>
      </c>
      <c r="AA126" s="595">
        <v>0</v>
      </c>
      <c r="AB126" s="595">
        <f t="shared" si="0"/>
        <v>48</v>
      </c>
      <c r="AC126" s="595">
        <v>8</v>
      </c>
      <c r="AD126" s="609"/>
      <c r="AE126" s="599" t="s">
        <v>569</v>
      </c>
      <c r="AF126" s="646"/>
      <c r="AG126" s="646"/>
      <c r="AH126" s="646"/>
      <c r="AI126" s="646"/>
      <c r="AJ126" s="646"/>
      <c r="AK126" s="59"/>
    </row>
    <row r="127" spans="1:38" ht="14.25" customHeight="1">
      <c r="A127" s="80"/>
      <c r="B127" s="80"/>
      <c r="C127" s="80"/>
      <c r="D127" s="80"/>
      <c r="E127" s="80"/>
      <c r="F127" s="80"/>
      <c r="G127" s="49" t="s">
        <v>261</v>
      </c>
      <c r="H127" s="94" t="s">
        <v>325</v>
      </c>
      <c r="I127" s="94"/>
      <c r="J127" s="94"/>
      <c r="K127" s="94"/>
      <c r="L127" s="94"/>
      <c r="M127" s="94"/>
      <c r="N127" s="94"/>
      <c r="O127" s="94"/>
      <c r="P127" s="94" t="s">
        <v>325</v>
      </c>
      <c r="Q127" s="94"/>
      <c r="R127" s="94"/>
      <c r="S127" s="94"/>
      <c r="T127" s="94"/>
      <c r="U127" s="97"/>
      <c r="V127" s="117"/>
      <c r="W127" s="117"/>
      <c r="X127" s="1687" t="s">
        <v>570</v>
      </c>
      <c r="Y127" s="644" t="s">
        <v>571</v>
      </c>
      <c r="Z127" s="644">
        <v>7</v>
      </c>
      <c r="AA127" s="595">
        <v>0</v>
      </c>
      <c r="AB127" s="595">
        <f t="shared" si="0"/>
        <v>56</v>
      </c>
      <c r="AC127" s="595">
        <v>8</v>
      </c>
      <c r="AD127" s="609"/>
      <c r="AE127" s="599" t="s">
        <v>572</v>
      </c>
      <c r="AF127" s="646"/>
      <c r="AG127" s="646"/>
      <c r="AH127" s="646"/>
      <c r="AI127" s="646"/>
      <c r="AJ127" s="646"/>
      <c r="AK127" s="59"/>
    </row>
    <row r="128" spans="1:38" ht="18" customHeight="1" outlineLevel="1">
      <c r="A128" s="622">
        <v>13</v>
      </c>
      <c r="B128" s="622" t="s">
        <v>573</v>
      </c>
      <c r="C128" s="645" t="s">
        <v>574</v>
      </c>
      <c r="D128" s="622" t="s">
        <v>401</v>
      </c>
      <c r="E128" s="622">
        <v>8</v>
      </c>
      <c r="F128" s="622" t="s">
        <v>260</v>
      </c>
      <c r="G128" s="628" t="s">
        <v>261</v>
      </c>
      <c r="H128" s="591" t="s">
        <v>325</v>
      </c>
      <c r="I128" s="591"/>
      <c r="J128" s="591"/>
      <c r="K128" s="591"/>
      <c r="L128" s="591"/>
      <c r="M128" s="591"/>
      <c r="N128" s="591"/>
      <c r="O128" s="591"/>
      <c r="P128" s="591" t="s">
        <v>325</v>
      </c>
      <c r="Q128" s="591"/>
      <c r="R128" s="591"/>
      <c r="S128" s="591"/>
      <c r="T128" s="591"/>
      <c r="U128" s="591"/>
      <c r="V128" s="597"/>
      <c r="W128" s="597"/>
      <c r="X128" s="597" t="s">
        <v>575</v>
      </c>
      <c r="Y128" s="597"/>
      <c r="Z128" s="622"/>
      <c r="AA128" s="622"/>
      <c r="AB128" s="595">
        <f t="shared" si="0"/>
        <v>0</v>
      </c>
      <c r="AC128" s="622"/>
      <c r="AD128" s="622"/>
      <c r="AE128" s="639" t="s">
        <v>403</v>
      </c>
      <c r="AF128" s="622"/>
      <c r="AG128" s="622"/>
      <c r="AH128" s="622"/>
      <c r="AI128" s="622"/>
      <c r="AJ128" s="622"/>
      <c r="AK128" s="125"/>
      <c r="AL128" s="108" t="s">
        <v>404</v>
      </c>
    </row>
    <row r="129" spans="1:40" ht="45.75" customHeight="1" outlineLevel="1">
      <c r="A129" s="80"/>
      <c r="B129" s="80"/>
      <c r="C129" s="80"/>
      <c r="D129" s="80"/>
      <c r="E129" s="80"/>
      <c r="F129" s="80"/>
      <c r="G129" s="49" t="s">
        <v>261</v>
      </c>
      <c r="H129" s="94" t="s">
        <v>325</v>
      </c>
      <c r="I129" s="94"/>
      <c r="J129" s="94"/>
      <c r="K129" s="94"/>
      <c r="L129" s="94"/>
      <c r="M129" s="94"/>
      <c r="N129" s="94"/>
      <c r="O129" s="94"/>
      <c r="P129" s="94" t="s">
        <v>325</v>
      </c>
      <c r="Q129" s="94"/>
      <c r="R129" s="94"/>
      <c r="S129" s="94"/>
      <c r="T129" s="94"/>
      <c r="U129" s="97"/>
      <c r="V129" s="117"/>
      <c r="W129" s="117"/>
      <c r="X129" s="1688" t="s">
        <v>576</v>
      </c>
      <c r="Y129" s="644" t="s">
        <v>577</v>
      </c>
      <c r="Z129" s="120">
        <v>0</v>
      </c>
      <c r="AA129" s="71">
        <v>0</v>
      </c>
      <c r="AB129" s="595">
        <f t="shared" si="0"/>
        <v>0</v>
      </c>
      <c r="AC129" s="71">
        <v>8</v>
      </c>
      <c r="AD129" s="71"/>
      <c r="AE129" s="70" t="s">
        <v>578</v>
      </c>
      <c r="AF129" s="70"/>
      <c r="AG129" s="70"/>
      <c r="AH129" s="70"/>
      <c r="AI129" s="70"/>
      <c r="AJ129" s="71"/>
      <c r="AK129" s="80"/>
    </row>
    <row r="130" spans="1:40" ht="75.75" customHeight="1" outlineLevel="1">
      <c r="A130" s="80"/>
      <c r="B130" s="80"/>
      <c r="C130" s="80"/>
      <c r="D130" s="80"/>
      <c r="E130" s="80"/>
      <c r="F130" s="80"/>
      <c r="G130" s="49" t="s">
        <v>261</v>
      </c>
      <c r="H130" s="94" t="s">
        <v>325</v>
      </c>
      <c r="I130" s="94"/>
      <c r="J130" s="94"/>
      <c r="K130" s="94"/>
      <c r="L130" s="94"/>
      <c r="M130" s="94"/>
      <c r="N130" s="94"/>
      <c r="O130" s="94"/>
      <c r="P130" s="94" t="s">
        <v>325</v>
      </c>
      <c r="Q130" s="94"/>
      <c r="R130" s="94"/>
      <c r="S130" s="94"/>
      <c r="T130" s="94"/>
      <c r="U130" s="97"/>
      <c r="V130" s="117"/>
      <c r="W130" s="117"/>
      <c r="X130" s="1689" t="s">
        <v>579</v>
      </c>
      <c r="Y130" s="644" t="s">
        <v>580</v>
      </c>
      <c r="Z130" s="644">
        <v>1</v>
      </c>
      <c r="AA130" s="595">
        <v>0</v>
      </c>
      <c r="AB130" s="595">
        <f t="shared" si="0"/>
        <v>8</v>
      </c>
      <c r="AC130" s="595">
        <v>8</v>
      </c>
      <c r="AD130" s="595"/>
      <c r="AE130" s="599" t="s">
        <v>554</v>
      </c>
      <c r="AF130" s="599"/>
      <c r="AG130" s="599"/>
      <c r="AH130" s="599"/>
      <c r="AI130" s="599"/>
      <c r="AJ130" s="595"/>
      <c r="AK130" s="80"/>
    </row>
    <row r="131" spans="1:40" ht="75.75" customHeight="1" outlineLevel="1">
      <c r="A131" s="80"/>
      <c r="B131" s="80"/>
      <c r="C131" s="80"/>
      <c r="D131" s="80"/>
      <c r="E131" s="80"/>
      <c r="F131" s="80"/>
      <c r="G131" s="49" t="s">
        <v>261</v>
      </c>
      <c r="H131" s="94" t="s">
        <v>325</v>
      </c>
      <c r="I131" s="94"/>
      <c r="J131" s="94"/>
      <c r="K131" s="94"/>
      <c r="L131" s="94"/>
      <c r="M131" s="94"/>
      <c r="N131" s="94"/>
      <c r="O131" s="94"/>
      <c r="P131" s="94" t="s">
        <v>325</v>
      </c>
      <c r="Q131" s="94"/>
      <c r="R131" s="94"/>
      <c r="S131" s="94"/>
      <c r="T131" s="94"/>
      <c r="U131" s="97"/>
      <c r="V131" s="117"/>
      <c r="W131" s="117"/>
      <c r="X131" s="1690" t="s">
        <v>581</v>
      </c>
      <c r="Y131" s="644" t="s">
        <v>582</v>
      </c>
      <c r="Z131" s="644">
        <v>2</v>
      </c>
      <c r="AA131" s="595">
        <v>0</v>
      </c>
      <c r="AB131" s="595">
        <f t="shared" si="0"/>
        <v>16</v>
      </c>
      <c r="AC131" s="595">
        <v>8</v>
      </c>
      <c r="AD131" s="595"/>
      <c r="AE131" s="599" t="s">
        <v>557</v>
      </c>
      <c r="AF131" s="599"/>
      <c r="AG131" s="599"/>
      <c r="AH131" s="599"/>
      <c r="AI131" s="599"/>
      <c r="AJ131" s="595"/>
      <c r="AK131" s="80"/>
    </row>
    <row r="132" spans="1:40" ht="14.25" customHeight="1">
      <c r="A132" s="80"/>
      <c r="B132" s="80"/>
      <c r="C132" s="80"/>
      <c r="D132" s="80"/>
      <c r="E132" s="80"/>
      <c r="F132" s="80"/>
      <c r="G132" s="49" t="s">
        <v>261</v>
      </c>
      <c r="H132" s="94" t="s">
        <v>325</v>
      </c>
      <c r="I132" s="94"/>
      <c r="J132" s="94"/>
      <c r="K132" s="94"/>
      <c r="L132" s="94"/>
      <c r="M132" s="94"/>
      <c r="N132" s="94"/>
      <c r="O132" s="94"/>
      <c r="P132" s="94" t="s">
        <v>325</v>
      </c>
      <c r="Q132" s="94"/>
      <c r="R132" s="94"/>
      <c r="S132" s="94"/>
      <c r="T132" s="94"/>
      <c r="U132" s="97"/>
      <c r="V132" s="117"/>
      <c r="W132" s="117"/>
      <c r="X132" s="1691" t="s">
        <v>583</v>
      </c>
      <c r="Y132" s="644" t="s">
        <v>584</v>
      </c>
      <c r="Z132" s="644">
        <v>3</v>
      </c>
      <c r="AA132" s="595">
        <v>0</v>
      </c>
      <c r="AB132" s="595">
        <f t="shared" si="0"/>
        <v>24</v>
      </c>
      <c r="AC132" s="595">
        <v>8</v>
      </c>
      <c r="AD132" s="595"/>
      <c r="AE132" s="599" t="s">
        <v>560</v>
      </c>
      <c r="AF132" s="599"/>
      <c r="AG132" s="599"/>
      <c r="AH132" s="599"/>
      <c r="AI132" s="599"/>
      <c r="AJ132" s="595"/>
      <c r="AK132" s="80"/>
    </row>
    <row r="133" spans="1:40" ht="18" customHeight="1" outlineLevel="1">
      <c r="A133" s="622">
        <v>14</v>
      </c>
      <c r="B133" s="622" t="s">
        <v>585</v>
      </c>
      <c r="C133" s="645" t="s">
        <v>586</v>
      </c>
      <c r="D133" s="622" t="s">
        <v>401</v>
      </c>
      <c r="E133" s="622">
        <v>8</v>
      </c>
      <c r="F133" s="622" t="s">
        <v>260</v>
      </c>
      <c r="G133" s="628" t="s">
        <v>261</v>
      </c>
      <c r="H133" s="591" t="s">
        <v>325</v>
      </c>
      <c r="I133" s="591"/>
      <c r="J133" s="591"/>
      <c r="K133" s="591"/>
      <c r="L133" s="591"/>
      <c r="M133" s="591"/>
      <c r="N133" s="591"/>
      <c r="O133" s="591"/>
      <c r="P133" s="591" t="s">
        <v>325</v>
      </c>
      <c r="Q133" s="591"/>
      <c r="R133" s="591"/>
      <c r="S133" s="591"/>
      <c r="T133" s="591"/>
      <c r="U133" s="591"/>
      <c r="V133" s="597"/>
      <c r="W133" s="597"/>
      <c r="X133" s="597" t="s">
        <v>587</v>
      </c>
      <c r="Y133" s="597"/>
      <c r="Z133" s="622"/>
      <c r="AA133" s="622"/>
      <c r="AB133" s="595">
        <f t="shared" si="0"/>
        <v>0</v>
      </c>
      <c r="AC133" s="622"/>
      <c r="AD133" s="622"/>
      <c r="AE133" s="639" t="s">
        <v>403</v>
      </c>
      <c r="AF133" s="622"/>
      <c r="AG133" s="622"/>
      <c r="AH133" s="622"/>
      <c r="AI133" s="622"/>
      <c r="AJ133" s="622"/>
      <c r="AK133" s="125"/>
      <c r="AL133" s="108" t="s">
        <v>404</v>
      </c>
    </row>
    <row r="134" spans="1:40" ht="30.75" customHeight="1" outlineLevel="1">
      <c r="B134" s="129"/>
      <c r="C134" s="101"/>
      <c r="D134" s="101"/>
      <c r="E134" s="101"/>
      <c r="F134" s="106"/>
      <c r="G134" s="49" t="s">
        <v>261</v>
      </c>
      <c r="H134" s="94" t="s">
        <v>325</v>
      </c>
      <c r="I134" s="94"/>
      <c r="J134" s="94"/>
      <c r="K134" s="94"/>
      <c r="L134" s="94"/>
      <c r="M134" s="94"/>
      <c r="N134" s="94"/>
      <c r="O134" s="94"/>
      <c r="P134" s="94" t="s">
        <v>325</v>
      </c>
      <c r="Q134" s="94"/>
      <c r="R134" s="94"/>
      <c r="S134" s="94"/>
      <c r="T134" s="94"/>
      <c r="U134" s="97"/>
      <c r="V134" s="117"/>
      <c r="W134" s="117"/>
      <c r="X134" s="1692" t="s">
        <v>532</v>
      </c>
      <c r="Y134" s="120" t="s">
        <v>588</v>
      </c>
      <c r="Z134" s="120">
        <v>0</v>
      </c>
      <c r="AA134" s="71">
        <v>0</v>
      </c>
      <c r="AB134" s="595">
        <f t="shared" si="0"/>
        <v>0</v>
      </c>
      <c r="AC134" s="71">
        <v>16</v>
      </c>
      <c r="AD134" s="71"/>
      <c r="AE134" s="70"/>
      <c r="AF134" s="70"/>
      <c r="AG134" s="70"/>
      <c r="AH134" s="70"/>
      <c r="AI134" s="70"/>
      <c r="AJ134" s="71"/>
      <c r="AK134" s="80"/>
    </row>
    <row r="135" spans="1:40" ht="30.75" customHeight="1" outlineLevel="1">
      <c r="B135" s="129"/>
      <c r="C135" s="101"/>
      <c r="D135" s="101"/>
      <c r="E135" s="101"/>
      <c r="F135" s="106"/>
      <c r="G135" s="49" t="s">
        <v>261</v>
      </c>
      <c r="H135" s="94" t="s">
        <v>325</v>
      </c>
      <c r="I135" s="94"/>
      <c r="J135" s="94"/>
      <c r="K135" s="94"/>
      <c r="L135" s="94"/>
      <c r="M135" s="94"/>
      <c r="N135" s="94"/>
      <c r="O135" s="94"/>
      <c r="P135" s="94" t="s">
        <v>325</v>
      </c>
      <c r="Q135" s="94"/>
      <c r="R135" s="94"/>
      <c r="S135" s="94"/>
      <c r="T135" s="94"/>
      <c r="U135" s="97"/>
      <c r="V135" s="117"/>
      <c r="W135" s="117"/>
      <c r="X135" s="1693" t="s">
        <v>534</v>
      </c>
      <c r="Y135" s="644" t="s">
        <v>589</v>
      </c>
      <c r="Z135" s="644">
        <v>2</v>
      </c>
      <c r="AA135" s="595">
        <v>0</v>
      </c>
      <c r="AB135" s="595">
        <f t="shared" si="0"/>
        <v>16</v>
      </c>
      <c r="AC135" s="595">
        <v>8</v>
      </c>
      <c r="AD135" s="595"/>
      <c r="AE135" s="599"/>
      <c r="AF135" s="599"/>
      <c r="AG135" s="599"/>
      <c r="AH135" s="599"/>
      <c r="AI135" s="599"/>
      <c r="AJ135" s="595" t="s">
        <v>536</v>
      </c>
      <c r="AK135" s="80"/>
    </row>
    <row r="136" spans="1:40" ht="45.75" customHeight="1" outlineLevel="1">
      <c r="B136" s="129"/>
      <c r="C136" s="101"/>
      <c r="D136" s="101"/>
      <c r="E136" s="101"/>
      <c r="F136" s="106"/>
      <c r="G136" s="49" t="s">
        <v>261</v>
      </c>
      <c r="H136" s="94" t="s">
        <v>325</v>
      </c>
      <c r="I136" s="94"/>
      <c r="J136" s="94"/>
      <c r="K136" s="94"/>
      <c r="L136" s="94"/>
      <c r="M136" s="94"/>
      <c r="N136" s="94"/>
      <c r="O136" s="94"/>
      <c r="P136" s="94" t="s">
        <v>325</v>
      </c>
      <c r="Q136" s="94"/>
      <c r="R136" s="94"/>
      <c r="S136" s="94"/>
      <c r="T136" s="94"/>
      <c r="U136" s="97"/>
      <c r="V136" s="117"/>
      <c r="W136" s="117"/>
      <c r="X136" s="1694" t="s">
        <v>537</v>
      </c>
      <c r="Y136" s="644" t="s">
        <v>590</v>
      </c>
      <c r="Z136" s="644">
        <v>3</v>
      </c>
      <c r="AA136" s="595">
        <v>0</v>
      </c>
      <c r="AB136" s="595">
        <f t="shared" si="0"/>
        <v>24</v>
      </c>
      <c r="AC136" s="595">
        <v>8</v>
      </c>
      <c r="AD136" s="595"/>
      <c r="AE136" s="599"/>
      <c r="AF136" s="599"/>
      <c r="AG136" s="599"/>
      <c r="AH136" s="599"/>
      <c r="AI136" s="599"/>
      <c r="AJ136" s="595" t="s">
        <v>539</v>
      </c>
      <c r="AK136" s="80"/>
    </row>
    <row r="137" spans="1:40" ht="30.75" customHeight="1" outlineLevel="1">
      <c r="B137" s="129"/>
      <c r="C137" s="101"/>
      <c r="D137" s="101"/>
      <c r="E137" s="101"/>
      <c r="F137" s="106"/>
      <c r="G137" s="49" t="s">
        <v>261</v>
      </c>
      <c r="H137" s="94" t="s">
        <v>325</v>
      </c>
      <c r="I137" s="94"/>
      <c r="J137" s="94"/>
      <c r="K137" s="94"/>
      <c r="L137" s="94"/>
      <c r="M137" s="94"/>
      <c r="N137" s="94"/>
      <c r="O137" s="94"/>
      <c r="P137" s="94" t="s">
        <v>325</v>
      </c>
      <c r="Q137" s="94"/>
      <c r="R137" s="94"/>
      <c r="S137" s="94"/>
      <c r="T137" s="94"/>
      <c r="U137" s="97"/>
      <c r="V137" s="117"/>
      <c r="W137" s="117"/>
      <c r="X137" s="1695" t="s">
        <v>540</v>
      </c>
      <c r="Y137" s="644" t="s">
        <v>591</v>
      </c>
      <c r="Z137" s="644">
        <v>4</v>
      </c>
      <c r="AA137" s="595">
        <v>0</v>
      </c>
      <c r="AB137" s="595">
        <f t="shared" si="0"/>
        <v>32</v>
      </c>
      <c r="AC137" s="595">
        <v>8</v>
      </c>
      <c r="AD137" s="595"/>
      <c r="AE137" s="599"/>
      <c r="AF137" s="599"/>
      <c r="AG137" s="599"/>
      <c r="AH137" s="599"/>
      <c r="AI137" s="599"/>
      <c r="AJ137" s="595" t="s">
        <v>542</v>
      </c>
      <c r="AK137" s="80"/>
    </row>
    <row r="138" spans="1:40" s="111" customFormat="1" ht="14.25" customHeight="1">
      <c r="A138" s="49"/>
      <c r="B138" s="129"/>
      <c r="C138" s="101"/>
      <c r="D138" s="101"/>
      <c r="E138" s="101"/>
      <c r="F138" s="106"/>
      <c r="G138" s="49" t="s">
        <v>261</v>
      </c>
      <c r="H138" s="94" t="s">
        <v>325</v>
      </c>
      <c r="I138" s="94"/>
      <c r="J138" s="94"/>
      <c r="K138" s="94"/>
      <c r="L138" s="94"/>
      <c r="M138" s="94"/>
      <c r="N138" s="94"/>
      <c r="O138" s="94"/>
      <c r="P138" s="94" t="s">
        <v>325</v>
      </c>
      <c r="Q138" s="94"/>
      <c r="R138" s="94"/>
      <c r="S138" s="94"/>
      <c r="T138" s="94"/>
      <c r="U138" s="97"/>
      <c r="V138" s="117"/>
      <c r="W138" s="117"/>
      <c r="X138" s="1696" t="s">
        <v>543</v>
      </c>
      <c r="Y138" s="644" t="s">
        <v>592</v>
      </c>
      <c r="Z138" s="644">
        <v>5</v>
      </c>
      <c r="AA138" s="595">
        <v>0</v>
      </c>
      <c r="AB138" s="595">
        <f t="shared" si="0"/>
        <v>40</v>
      </c>
      <c r="AC138" s="595">
        <v>24</v>
      </c>
      <c r="AD138" s="595"/>
      <c r="AE138" s="599"/>
      <c r="AF138" s="599"/>
      <c r="AG138" s="599"/>
      <c r="AH138" s="599"/>
      <c r="AI138" s="599"/>
      <c r="AJ138" s="595" t="s">
        <v>545</v>
      </c>
      <c r="AK138" s="80"/>
      <c r="AL138" s="108"/>
      <c r="AM138" s="49"/>
      <c r="AN138" s="49"/>
    </row>
    <row r="139" spans="1:40" ht="18" customHeight="1" outlineLevel="1">
      <c r="A139" s="622">
        <v>15</v>
      </c>
      <c r="B139" s="622" t="s">
        <v>593</v>
      </c>
      <c r="C139" s="645" t="s">
        <v>594</v>
      </c>
      <c r="D139" s="622" t="s">
        <v>401</v>
      </c>
      <c r="E139" s="622">
        <v>8</v>
      </c>
      <c r="F139" s="622" t="s">
        <v>260</v>
      </c>
      <c r="G139" s="628" t="s">
        <v>261</v>
      </c>
      <c r="H139" s="591" t="s">
        <v>325</v>
      </c>
      <c r="I139" s="591"/>
      <c r="J139" s="591"/>
      <c r="K139" s="591"/>
      <c r="L139" s="591"/>
      <c r="M139" s="591"/>
      <c r="N139" s="591"/>
      <c r="O139" s="591"/>
      <c r="P139" s="591" t="s">
        <v>325</v>
      </c>
      <c r="Q139" s="591"/>
      <c r="R139" s="591"/>
      <c r="S139" s="591"/>
      <c r="T139" s="591"/>
      <c r="U139" s="591"/>
      <c r="V139" s="597"/>
      <c r="W139" s="597"/>
      <c r="X139" s="597" t="s">
        <v>595</v>
      </c>
      <c r="Y139" s="597"/>
      <c r="Z139" s="622"/>
      <c r="AA139" s="622"/>
      <c r="AB139" s="595">
        <f t="shared" si="0"/>
        <v>0</v>
      </c>
      <c r="AC139" s="622"/>
      <c r="AD139" s="622"/>
      <c r="AE139" s="622"/>
      <c r="AF139" s="622"/>
      <c r="AG139" s="622"/>
      <c r="AH139" s="622"/>
      <c r="AI139" s="622"/>
      <c r="AJ139" s="622"/>
      <c r="AK139" s="125"/>
      <c r="AL139" s="108" t="s">
        <v>404</v>
      </c>
      <c r="AM139" s="111"/>
      <c r="AN139" s="111"/>
    </row>
    <row r="140" spans="1:40" ht="196.35" customHeight="1" outlineLevel="1">
      <c r="B140" s="129"/>
      <c r="C140" s="101"/>
      <c r="D140" s="101"/>
      <c r="E140" s="101"/>
      <c r="F140" s="106"/>
      <c r="G140" s="49" t="s">
        <v>261</v>
      </c>
      <c r="H140" s="94" t="s">
        <v>325</v>
      </c>
      <c r="I140" s="94"/>
      <c r="J140" s="94"/>
      <c r="K140" s="94"/>
      <c r="L140" s="94"/>
      <c r="M140" s="94"/>
      <c r="N140" s="94"/>
      <c r="O140" s="94"/>
      <c r="P140" s="94" t="s">
        <v>325</v>
      </c>
      <c r="Q140" s="94"/>
      <c r="R140" s="94"/>
      <c r="S140" s="94"/>
      <c r="T140" s="94"/>
      <c r="U140" s="97"/>
      <c r="V140" s="117"/>
      <c r="W140" s="117"/>
      <c r="X140" s="1697" t="s">
        <v>596</v>
      </c>
      <c r="Y140" s="117" t="s">
        <v>597</v>
      </c>
      <c r="Z140" s="131">
        <v>0</v>
      </c>
      <c r="AA140" s="101">
        <v>0</v>
      </c>
      <c r="AB140" s="595">
        <f t="shared" si="0"/>
        <v>0</v>
      </c>
      <c r="AC140" s="101">
        <v>8</v>
      </c>
      <c r="AD140" s="101"/>
      <c r="AE140" s="1698" t="s">
        <v>598</v>
      </c>
      <c r="AF140" s="99">
        <v>1</v>
      </c>
      <c r="AG140" s="99">
        <v>0</v>
      </c>
      <c r="AH140" s="99" t="s">
        <v>599</v>
      </c>
      <c r="AI140" s="99">
        <v>0</v>
      </c>
      <c r="AJ140" s="140"/>
      <c r="AK140" s="1699" t="s">
        <v>600</v>
      </c>
    </row>
    <row r="141" spans="1:40" ht="50.25" customHeight="1" outlineLevel="1">
      <c r="B141" s="80"/>
      <c r="C141" s="80"/>
      <c r="D141" s="80"/>
      <c r="E141" s="80"/>
      <c r="F141" s="80"/>
      <c r="H141" s="94"/>
      <c r="I141" s="94"/>
      <c r="J141" s="94"/>
      <c r="K141" s="94"/>
      <c r="L141" s="94"/>
      <c r="M141" s="94"/>
      <c r="N141" s="94"/>
      <c r="O141" s="94"/>
      <c r="P141" s="94"/>
      <c r="Q141" s="94"/>
      <c r="R141" s="94"/>
      <c r="S141" s="94"/>
      <c r="T141" s="94"/>
      <c r="U141" s="97"/>
      <c r="V141" s="117"/>
      <c r="W141" s="117"/>
      <c r="X141" s="1700" t="s">
        <v>601</v>
      </c>
      <c r="Y141" s="117" t="s">
        <v>602</v>
      </c>
      <c r="Z141" s="117"/>
      <c r="AA141" s="80"/>
      <c r="AB141" s="595">
        <v>8</v>
      </c>
      <c r="AC141" s="80">
        <v>8</v>
      </c>
      <c r="AD141" s="80"/>
      <c r="AE141" s="117"/>
      <c r="AF141" s="117"/>
      <c r="AG141" s="117"/>
      <c r="AH141" s="117"/>
      <c r="AI141" s="117"/>
      <c r="AJ141" s="80"/>
      <c r="AK141" s="80"/>
    </row>
    <row r="142" spans="1:40" ht="54" customHeight="1" outlineLevel="1">
      <c r="B142" s="80"/>
      <c r="C142" s="80"/>
      <c r="D142" s="80"/>
      <c r="E142" s="80"/>
      <c r="F142" s="80"/>
      <c r="H142" s="94"/>
      <c r="I142" s="94"/>
      <c r="J142" s="94"/>
      <c r="K142" s="94"/>
      <c r="L142" s="94"/>
      <c r="M142" s="94"/>
      <c r="N142" s="94"/>
      <c r="O142" s="94"/>
      <c r="P142" s="94"/>
      <c r="Q142" s="94"/>
      <c r="R142" s="94"/>
      <c r="S142" s="94"/>
      <c r="T142" s="94"/>
      <c r="U142" s="97"/>
      <c r="V142" s="117"/>
      <c r="W142" s="117"/>
      <c r="X142" s="1701" t="s">
        <v>603</v>
      </c>
      <c r="Y142" s="117" t="s">
        <v>604</v>
      </c>
      <c r="Z142" s="117"/>
      <c r="AA142" s="80"/>
      <c r="AB142" s="595">
        <v>16</v>
      </c>
      <c r="AC142" s="80">
        <v>8</v>
      </c>
      <c r="AD142" s="80"/>
      <c r="AE142" s="117"/>
      <c r="AF142" s="117"/>
      <c r="AG142" s="117"/>
      <c r="AH142" s="117"/>
      <c r="AI142" s="117"/>
      <c r="AJ142" s="80"/>
      <c r="AK142" s="80"/>
    </row>
    <row r="143" spans="1:40" ht="44.25" customHeight="1" outlineLevel="1">
      <c r="B143" s="80"/>
      <c r="C143" s="80"/>
      <c r="D143" s="80"/>
      <c r="E143" s="80"/>
      <c r="F143" s="80"/>
      <c r="H143" s="94"/>
      <c r="I143" s="94"/>
      <c r="J143" s="94"/>
      <c r="K143" s="94"/>
      <c r="L143" s="94"/>
      <c r="M143" s="94"/>
      <c r="N143" s="94"/>
      <c r="O143" s="94"/>
      <c r="P143" s="94"/>
      <c r="Q143" s="94"/>
      <c r="R143" s="94"/>
      <c r="S143" s="94"/>
      <c r="T143" s="94"/>
      <c r="U143" s="97"/>
      <c r="V143" s="117"/>
      <c r="W143" s="117"/>
      <c r="X143" s="1702" t="s">
        <v>605</v>
      </c>
      <c r="Y143" s="117" t="s">
        <v>606</v>
      </c>
      <c r="Z143" s="117"/>
      <c r="AA143" s="80"/>
      <c r="AB143" s="595">
        <v>24</v>
      </c>
      <c r="AC143" s="80">
        <v>8</v>
      </c>
      <c r="AD143" s="80"/>
      <c r="AE143" s="117"/>
      <c r="AF143" s="117"/>
      <c r="AG143" s="117"/>
      <c r="AH143" s="117"/>
      <c r="AI143" s="117"/>
      <c r="AJ143" s="80"/>
      <c r="AK143" s="80"/>
    </row>
    <row r="144" spans="1:40" ht="42.75" customHeight="1" outlineLevel="1">
      <c r="B144" s="80"/>
      <c r="C144" s="80"/>
      <c r="D144" s="80"/>
      <c r="E144" s="80"/>
      <c r="F144" s="80"/>
      <c r="H144" s="94"/>
      <c r="I144" s="94"/>
      <c r="J144" s="94"/>
      <c r="K144" s="94"/>
      <c r="L144" s="94"/>
      <c r="M144" s="94"/>
      <c r="N144" s="94"/>
      <c r="O144" s="94"/>
      <c r="P144" s="94"/>
      <c r="Q144" s="94"/>
      <c r="R144" s="94"/>
      <c r="S144" s="94"/>
      <c r="T144" s="94"/>
      <c r="U144" s="97"/>
      <c r="V144" s="117"/>
      <c r="W144" s="117"/>
      <c r="X144" s="1703" t="s">
        <v>607</v>
      </c>
      <c r="Y144" s="117" t="s">
        <v>608</v>
      </c>
      <c r="Z144" s="117"/>
      <c r="AA144" s="80"/>
      <c r="AB144" s="595">
        <v>32</v>
      </c>
      <c r="AC144" s="80">
        <v>8</v>
      </c>
      <c r="AD144" s="80"/>
      <c r="AE144" s="117"/>
      <c r="AF144" s="117"/>
      <c r="AG144" s="117"/>
      <c r="AH144" s="117"/>
      <c r="AI144" s="117"/>
      <c r="AJ144" s="80"/>
      <c r="AK144" s="80"/>
    </row>
    <row r="145" spans="1:40" ht="51.75" customHeight="1" outlineLevel="1">
      <c r="B145" s="80"/>
      <c r="C145" s="80"/>
      <c r="D145" s="80"/>
      <c r="E145" s="80"/>
      <c r="F145" s="80"/>
      <c r="H145" s="94"/>
      <c r="I145" s="94"/>
      <c r="J145" s="94"/>
      <c r="K145" s="94"/>
      <c r="L145" s="94"/>
      <c r="M145" s="94"/>
      <c r="N145" s="94"/>
      <c r="O145" s="94"/>
      <c r="P145" s="94"/>
      <c r="Q145" s="94"/>
      <c r="R145" s="94"/>
      <c r="S145" s="94"/>
      <c r="T145" s="94"/>
      <c r="U145" s="97"/>
      <c r="V145" s="117"/>
      <c r="W145" s="117"/>
      <c r="X145" s="1704" t="s">
        <v>609</v>
      </c>
      <c r="Y145" s="117" t="s">
        <v>610</v>
      </c>
      <c r="Z145" s="117"/>
      <c r="AA145" s="80"/>
      <c r="AB145" s="595">
        <v>40</v>
      </c>
      <c r="AC145" s="80">
        <v>8</v>
      </c>
      <c r="AD145" s="80"/>
      <c r="AE145" s="117"/>
      <c r="AF145" s="117"/>
      <c r="AG145" s="117"/>
      <c r="AH145" s="117"/>
      <c r="AI145" s="117"/>
      <c r="AJ145" s="80"/>
      <c r="AK145" s="80"/>
    </row>
    <row r="146" spans="1:40" ht="50.25" customHeight="1" outlineLevel="1">
      <c r="B146" s="80"/>
      <c r="C146" s="80"/>
      <c r="D146" s="80"/>
      <c r="E146" s="80"/>
      <c r="F146" s="80"/>
      <c r="H146" s="94"/>
      <c r="I146" s="94"/>
      <c r="J146" s="94"/>
      <c r="K146" s="94"/>
      <c r="L146" s="94"/>
      <c r="M146" s="94"/>
      <c r="N146" s="94"/>
      <c r="O146" s="94"/>
      <c r="P146" s="94"/>
      <c r="Q146" s="94"/>
      <c r="R146" s="94"/>
      <c r="S146" s="94"/>
      <c r="T146" s="94"/>
      <c r="U146" s="97"/>
      <c r="V146" s="117"/>
      <c r="W146" s="117"/>
      <c r="X146" s="1705" t="s">
        <v>611</v>
      </c>
      <c r="Y146" s="117" t="s">
        <v>612</v>
      </c>
      <c r="Z146" s="117"/>
      <c r="AA146" s="80"/>
      <c r="AB146" s="595">
        <v>48</v>
      </c>
      <c r="AC146" s="80">
        <v>8</v>
      </c>
      <c r="AD146" s="80"/>
      <c r="AE146" s="117"/>
      <c r="AF146" s="117"/>
      <c r="AG146" s="117"/>
      <c r="AH146" s="117"/>
      <c r="AI146" s="117"/>
      <c r="AJ146" s="80"/>
      <c r="AK146" s="80"/>
    </row>
    <row r="147" spans="1:40" ht="14.25" customHeight="1">
      <c r="B147" s="80"/>
      <c r="C147" s="80"/>
      <c r="D147" s="80"/>
      <c r="E147" s="80"/>
      <c r="F147" s="80"/>
      <c r="H147" s="94"/>
      <c r="I147" s="94"/>
      <c r="J147" s="94"/>
      <c r="K147" s="94"/>
      <c r="L147" s="94"/>
      <c r="M147" s="94"/>
      <c r="N147" s="94"/>
      <c r="O147" s="94"/>
      <c r="P147" s="94"/>
      <c r="Q147" s="94"/>
      <c r="R147" s="94"/>
      <c r="S147" s="94"/>
      <c r="T147" s="94"/>
      <c r="U147" s="97"/>
      <c r="V147" s="117"/>
      <c r="W147" s="117"/>
      <c r="X147" s="1706" t="s">
        <v>613</v>
      </c>
      <c r="Y147" s="117" t="s">
        <v>614</v>
      </c>
      <c r="Z147" s="117"/>
      <c r="AA147" s="80"/>
      <c r="AB147" s="595">
        <v>56</v>
      </c>
      <c r="AC147" s="80">
        <v>8</v>
      </c>
      <c r="AD147" s="80"/>
      <c r="AE147" s="117"/>
      <c r="AF147" s="117"/>
      <c r="AG147" s="117"/>
      <c r="AH147" s="117"/>
      <c r="AI147" s="117"/>
      <c r="AJ147" s="80"/>
      <c r="AK147" s="80"/>
    </row>
    <row r="148" spans="1:40" ht="18" customHeight="1" outlineLevel="1">
      <c r="A148" s="622">
        <v>16</v>
      </c>
      <c r="B148" s="622" t="s">
        <v>615</v>
      </c>
      <c r="C148" s="622" t="s">
        <v>616</v>
      </c>
      <c r="D148" s="622" t="s">
        <v>617</v>
      </c>
      <c r="E148" s="622">
        <v>8</v>
      </c>
      <c r="F148" s="622" t="s">
        <v>260</v>
      </c>
      <c r="G148" s="628" t="s">
        <v>261</v>
      </c>
      <c r="H148" s="591" t="s">
        <v>325</v>
      </c>
      <c r="I148" s="591"/>
      <c r="J148" s="591"/>
      <c r="K148" s="591"/>
      <c r="L148" s="591"/>
      <c r="M148" s="591"/>
      <c r="N148" s="591"/>
      <c r="O148" s="591"/>
      <c r="P148" s="591" t="s">
        <v>325</v>
      </c>
      <c r="Q148" s="591"/>
      <c r="R148" s="591"/>
      <c r="S148" s="591"/>
      <c r="T148" s="591"/>
      <c r="U148" s="591"/>
      <c r="V148" s="597"/>
      <c r="W148" s="597"/>
      <c r="X148" s="597" t="s">
        <v>618</v>
      </c>
      <c r="Y148" s="597"/>
      <c r="Z148" s="622"/>
      <c r="AA148" s="622"/>
      <c r="AB148" s="595">
        <f>Z148*8+AA148</f>
        <v>0</v>
      </c>
      <c r="AC148" s="622"/>
      <c r="AD148" s="622"/>
      <c r="AE148" s="622"/>
      <c r="AF148" s="622"/>
      <c r="AG148" s="622"/>
      <c r="AH148" s="622"/>
      <c r="AI148" s="622"/>
      <c r="AJ148" s="622"/>
      <c r="AK148" s="125"/>
    </row>
    <row r="149" spans="1:40" ht="14.25" customHeight="1">
      <c r="B149" s="80"/>
      <c r="C149" s="80"/>
      <c r="D149" s="80"/>
      <c r="E149" s="80"/>
      <c r="F149" s="80"/>
      <c r="G149" s="49" t="s">
        <v>261</v>
      </c>
      <c r="H149" s="94" t="s">
        <v>325</v>
      </c>
      <c r="I149" s="94"/>
      <c r="J149" s="94"/>
      <c r="K149" s="94"/>
      <c r="L149" s="94"/>
      <c r="M149" s="94"/>
      <c r="N149" s="94"/>
      <c r="O149" s="94"/>
      <c r="P149" s="94" t="s">
        <v>325</v>
      </c>
      <c r="Q149" s="94"/>
      <c r="R149" s="94"/>
      <c r="S149" s="94"/>
      <c r="T149" s="94"/>
      <c r="U149" s="97"/>
      <c r="X149" s="66" t="s">
        <v>619</v>
      </c>
      <c r="Y149" s="142"/>
      <c r="Z149" s="143"/>
      <c r="AA149" s="133"/>
      <c r="AB149" s="595">
        <f>Z149*8+AA149</f>
        <v>0</v>
      </c>
      <c r="AC149" s="133"/>
      <c r="AD149" s="133"/>
      <c r="AE149" s="133"/>
      <c r="AF149" s="133"/>
      <c r="AG149" s="133"/>
      <c r="AH149" s="133"/>
      <c r="AI149" s="133"/>
      <c r="AJ149" s="133"/>
    </row>
    <row r="150" spans="1:40" ht="18" customHeight="1" outlineLevel="1">
      <c r="A150" s="622">
        <v>17</v>
      </c>
      <c r="B150" s="622" t="s">
        <v>620</v>
      </c>
      <c r="C150" s="622" t="s">
        <v>621</v>
      </c>
      <c r="D150" s="622" t="s">
        <v>617</v>
      </c>
      <c r="E150" s="622">
        <v>8</v>
      </c>
      <c r="F150" s="622" t="s">
        <v>260</v>
      </c>
      <c r="G150" s="628" t="s">
        <v>261</v>
      </c>
      <c r="H150" s="591" t="s">
        <v>325</v>
      </c>
      <c r="I150" s="591"/>
      <c r="J150" s="591"/>
      <c r="K150" s="591"/>
      <c r="L150" s="591"/>
      <c r="M150" s="591"/>
      <c r="N150" s="591"/>
      <c r="O150" s="591"/>
      <c r="P150" s="591" t="s">
        <v>325</v>
      </c>
      <c r="Q150" s="591"/>
      <c r="R150" s="591"/>
      <c r="S150" s="591"/>
      <c r="T150" s="591"/>
      <c r="U150" s="591"/>
      <c r="V150" s="597"/>
      <c r="W150" s="597"/>
      <c r="X150" s="597" t="s">
        <v>622</v>
      </c>
      <c r="Y150" s="597"/>
      <c r="Z150" s="622"/>
      <c r="AA150" s="622"/>
      <c r="AB150" s="595">
        <f>Z150*8+AA150</f>
        <v>0</v>
      </c>
      <c r="AC150" s="622"/>
      <c r="AD150" s="622"/>
      <c r="AE150" s="622"/>
      <c r="AF150" s="622"/>
      <c r="AG150" s="622"/>
      <c r="AH150" s="622"/>
      <c r="AI150" s="622"/>
      <c r="AJ150" s="622"/>
      <c r="AK150" s="125"/>
    </row>
    <row r="151" spans="1:40" ht="14.25" customHeight="1">
      <c r="B151" s="80"/>
      <c r="C151" s="80"/>
      <c r="D151" s="80"/>
      <c r="E151" s="80"/>
      <c r="F151" s="80"/>
      <c r="G151" s="49" t="s">
        <v>261</v>
      </c>
      <c r="H151" s="94" t="s">
        <v>325</v>
      </c>
      <c r="I151" s="94"/>
      <c r="J151" s="94"/>
      <c r="K151" s="94"/>
      <c r="L151" s="94"/>
      <c r="M151" s="94"/>
      <c r="N151" s="94"/>
      <c r="O151" s="94"/>
      <c r="P151" s="94" t="s">
        <v>325</v>
      </c>
      <c r="Q151" s="94"/>
      <c r="R151" s="94"/>
      <c r="S151" s="94"/>
      <c r="T151" s="94"/>
      <c r="U151" s="97"/>
      <c r="X151" s="66" t="s">
        <v>619</v>
      </c>
      <c r="Y151" s="142"/>
      <c r="Z151" s="143"/>
      <c r="AA151" s="133"/>
      <c r="AB151" s="595">
        <f>Z151*8+AA151</f>
        <v>0</v>
      </c>
      <c r="AC151" s="133"/>
      <c r="AD151" s="133"/>
      <c r="AE151" s="133"/>
      <c r="AF151" s="133"/>
      <c r="AG151" s="133"/>
      <c r="AH151" s="133"/>
      <c r="AI151" s="133"/>
      <c r="AJ151" s="133"/>
    </row>
    <row r="152" spans="1:40" s="112" customFormat="1" ht="14.25" customHeight="1">
      <c r="A152" s="49"/>
      <c r="B152" s="49"/>
      <c r="C152" s="49"/>
      <c r="D152" s="49"/>
      <c r="E152" s="49"/>
      <c r="F152" s="49"/>
      <c r="G152" s="182"/>
      <c r="H152" s="80"/>
      <c r="I152" s="80"/>
      <c r="J152" s="80"/>
      <c r="K152" s="80"/>
      <c r="L152" s="80"/>
      <c r="M152" s="80"/>
      <c r="N152" s="80"/>
      <c r="O152" s="80"/>
      <c r="P152" s="80"/>
      <c r="Q152" s="80"/>
      <c r="R152" s="80"/>
      <c r="S152" s="80"/>
      <c r="T152" s="80"/>
      <c r="U152" s="80"/>
      <c r="V152" s="117"/>
      <c r="W152" s="117"/>
      <c r="X152" s="268"/>
      <c r="Y152" s="370"/>
      <c r="Z152" s="1363"/>
      <c r="AA152" s="1333"/>
      <c r="AB152" s="1333"/>
      <c r="AC152" s="1333"/>
      <c r="AD152" s="1397"/>
      <c r="AE152" s="1397"/>
      <c r="AF152" s="595"/>
      <c r="AG152" s="595"/>
      <c r="AH152" s="595"/>
      <c r="AI152" s="598"/>
      <c r="AJ152" s="595"/>
      <c r="AK152" s="125"/>
      <c r="AL152" s="108"/>
      <c r="AM152" s="49"/>
      <c r="AN152" s="49"/>
    </row>
    <row r="153" spans="1:40" ht="18" customHeight="1" outlineLevel="1">
      <c r="A153" s="631">
        <v>26</v>
      </c>
      <c r="B153" s="631" t="s">
        <v>623</v>
      </c>
      <c r="C153" s="631" t="s">
        <v>624</v>
      </c>
      <c r="D153" s="631" t="s">
        <v>259</v>
      </c>
      <c r="E153" s="631">
        <v>8</v>
      </c>
      <c r="F153" s="631" t="s">
        <v>260</v>
      </c>
      <c r="G153" s="632" t="s">
        <v>325</v>
      </c>
      <c r="H153" s="631" t="s">
        <v>261</v>
      </c>
      <c r="I153" s="631"/>
      <c r="J153" s="631"/>
      <c r="K153" s="631"/>
      <c r="L153" s="631"/>
      <c r="M153" s="631"/>
      <c r="N153" s="631"/>
      <c r="O153" s="631"/>
      <c r="P153" s="631"/>
      <c r="Q153" s="631"/>
      <c r="R153" s="631"/>
      <c r="S153" s="631"/>
      <c r="T153" s="112"/>
      <c r="U153" s="631"/>
      <c r="V153" s="633"/>
      <c r="W153" s="633"/>
      <c r="X153" s="633" t="s">
        <v>345</v>
      </c>
      <c r="Y153" s="633"/>
      <c r="Z153" s="631"/>
      <c r="AA153" s="631"/>
      <c r="AB153" s="595">
        <f>Z153*8+AA153</f>
        <v>0</v>
      </c>
      <c r="AC153" s="631"/>
      <c r="AD153" s="631"/>
      <c r="AE153" s="631"/>
      <c r="AF153" s="631"/>
      <c r="AG153" s="631"/>
      <c r="AH153" s="631"/>
      <c r="AI153" s="631"/>
      <c r="AJ153" s="631"/>
      <c r="AK153" s="128"/>
      <c r="AM153" s="112"/>
      <c r="AN153" s="112"/>
    </row>
    <row r="154" spans="1:40" ht="26.25" customHeight="1" outlineLevel="1">
      <c r="A154" s="1128"/>
      <c r="B154" s="1128"/>
      <c r="C154" s="1128"/>
      <c r="D154" s="1128"/>
      <c r="E154" s="1128"/>
      <c r="F154" s="1128"/>
      <c r="G154" s="1129" t="s">
        <v>325</v>
      </c>
      <c r="H154" s="1130" t="s">
        <v>261</v>
      </c>
      <c r="I154" s="1130"/>
      <c r="J154" s="1131"/>
      <c r="K154" s="1131"/>
      <c r="L154" s="1131"/>
      <c r="M154" s="1131"/>
      <c r="N154" s="1131"/>
      <c r="O154" s="1131"/>
      <c r="P154" s="1131"/>
      <c r="Q154" s="1131"/>
      <c r="R154" s="1131"/>
      <c r="S154" s="1131"/>
      <c r="T154" s="1129"/>
      <c r="U154" s="1128"/>
      <c r="V154" s="1132"/>
      <c r="W154" s="1132"/>
      <c r="X154" s="1707" t="s">
        <v>346</v>
      </c>
      <c r="Y154" s="1134" t="s">
        <v>625</v>
      </c>
      <c r="Z154" s="1134">
        <v>0</v>
      </c>
      <c r="AA154" s="1133">
        <v>0</v>
      </c>
      <c r="AB154" s="1135">
        <v>0</v>
      </c>
      <c r="AC154" s="1133">
        <v>2</v>
      </c>
      <c r="AD154" s="1133"/>
      <c r="AE154" s="1133" t="s">
        <v>348</v>
      </c>
      <c r="AF154" s="1132"/>
      <c r="AG154" s="1132"/>
      <c r="AH154" s="1132"/>
      <c r="AI154" s="1132"/>
      <c r="AJ154" s="1131"/>
      <c r="AK154" s="1130"/>
      <c r="AL154" s="1136"/>
    </row>
    <row r="155" spans="1:40" ht="26.25" customHeight="1" outlineLevel="1">
      <c r="A155" s="1128"/>
      <c r="B155" s="1128"/>
      <c r="C155" s="1128"/>
      <c r="D155" s="1128"/>
      <c r="E155" s="1128"/>
      <c r="F155" s="1128"/>
      <c r="G155" s="1129" t="s">
        <v>325</v>
      </c>
      <c r="H155" s="1130" t="s">
        <v>261</v>
      </c>
      <c r="I155" s="1130"/>
      <c r="J155" s="1131"/>
      <c r="K155" s="1131"/>
      <c r="L155" s="1131"/>
      <c r="M155" s="1131"/>
      <c r="N155" s="1131"/>
      <c r="O155" s="1131"/>
      <c r="P155" s="1131"/>
      <c r="Q155" s="1131"/>
      <c r="R155" s="1131"/>
      <c r="S155" s="1131"/>
      <c r="T155" s="1129"/>
      <c r="U155" s="1128"/>
      <c r="V155" s="1132"/>
      <c r="W155" s="1132"/>
      <c r="X155" s="1708" t="s">
        <v>349</v>
      </c>
      <c r="Y155" s="1137" t="s">
        <v>626</v>
      </c>
      <c r="Z155" s="1137">
        <v>0</v>
      </c>
      <c r="AA155" s="1135">
        <v>2</v>
      </c>
      <c r="AB155" s="1135">
        <v>2</v>
      </c>
      <c r="AC155" s="1135">
        <v>2</v>
      </c>
      <c r="AD155" s="1135"/>
      <c r="AE155" s="1133" t="s">
        <v>348</v>
      </c>
      <c r="AF155" s="1132"/>
      <c r="AG155" s="1132"/>
      <c r="AH155" s="1132"/>
      <c r="AI155" s="1132"/>
      <c r="AJ155" s="1131"/>
      <c r="AK155" s="1130"/>
      <c r="AL155" s="1136"/>
    </row>
    <row r="156" spans="1:40" ht="26.25" customHeight="1" outlineLevel="1">
      <c r="A156" s="1128"/>
      <c r="B156" s="1128"/>
      <c r="C156" s="1128"/>
      <c r="D156" s="1128"/>
      <c r="E156" s="1128"/>
      <c r="F156" s="1128"/>
      <c r="G156" s="1129" t="s">
        <v>325</v>
      </c>
      <c r="H156" s="1130" t="s">
        <v>261</v>
      </c>
      <c r="I156" s="1130"/>
      <c r="J156" s="1131"/>
      <c r="K156" s="1131"/>
      <c r="L156" s="1131"/>
      <c r="M156" s="1131"/>
      <c r="N156" s="1131"/>
      <c r="O156" s="1131"/>
      <c r="P156" s="1131"/>
      <c r="Q156" s="1131"/>
      <c r="R156" s="1131"/>
      <c r="S156" s="1131"/>
      <c r="T156" s="1129"/>
      <c r="U156" s="1128"/>
      <c r="V156" s="1132"/>
      <c r="W156" s="1132"/>
      <c r="X156" s="1709" t="s">
        <v>351</v>
      </c>
      <c r="Y156" s="1137" t="s">
        <v>627</v>
      </c>
      <c r="Z156" s="1137">
        <v>0</v>
      </c>
      <c r="AA156" s="1135">
        <v>4</v>
      </c>
      <c r="AB156" s="1135">
        <v>4</v>
      </c>
      <c r="AC156" s="1135">
        <v>2</v>
      </c>
      <c r="AD156" s="1135"/>
      <c r="AE156" s="1133" t="s">
        <v>348</v>
      </c>
      <c r="AF156" s="1132"/>
      <c r="AG156" s="1132"/>
      <c r="AH156" s="1132"/>
      <c r="AI156" s="1132"/>
      <c r="AJ156" s="1131"/>
      <c r="AK156" s="1130"/>
      <c r="AL156" s="1136"/>
    </row>
    <row r="157" spans="1:40" ht="42.75" customHeight="1" outlineLevel="1">
      <c r="A157" s="1128"/>
      <c r="B157" s="1128"/>
      <c r="C157" s="1128"/>
      <c r="D157" s="1128"/>
      <c r="E157" s="1128"/>
      <c r="F157" s="1128"/>
      <c r="G157" s="1129" t="s">
        <v>325</v>
      </c>
      <c r="H157" s="1130" t="s">
        <v>261</v>
      </c>
      <c r="I157" s="1130"/>
      <c r="J157" s="1131"/>
      <c r="K157" s="1131"/>
      <c r="L157" s="1131"/>
      <c r="M157" s="1131"/>
      <c r="N157" s="1131"/>
      <c r="O157" s="1131"/>
      <c r="P157" s="1131"/>
      <c r="Q157" s="1131"/>
      <c r="R157" s="1131"/>
      <c r="S157" s="1131"/>
      <c r="T157" s="1129"/>
      <c r="U157" s="1128"/>
      <c r="V157" s="1132"/>
      <c r="W157" s="1132"/>
      <c r="X157" s="1710" t="s">
        <v>353</v>
      </c>
      <c r="Y157" s="1137" t="s">
        <v>628</v>
      </c>
      <c r="Z157" s="1137">
        <v>0</v>
      </c>
      <c r="AA157" s="1135">
        <v>6</v>
      </c>
      <c r="AB157" s="1135">
        <v>6</v>
      </c>
      <c r="AC157" s="1135">
        <v>2</v>
      </c>
      <c r="AD157" s="1135"/>
      <c r="AE157" s="1133" t="s">
        <v>348</v>
      </c>
      <c r="AF157" s="1132"/>
      <c r="AG157" s="1132"/>
      <c r="AH157" s="1132"/>
      <c r="AI157" s="1132"/>
      <c r="AJ157" s="1131"/>
      <c r="AK157" s="1130"/>
      <c r="AL157" s="1136"/>
    </row>
    <row r="158" spans="1:40" ht="26.25" customHeight="1" outlineLevel="1">
      <c r="A158" s="1128"/>
      <c r="B158" s="1128"/>
      <c r="C158" s="1128"/>
      <c r="D158" s="1128"/>
      <c r="E158" s="1128"/>
      <c r="F158" s="1128"/>
      <c r="G158" s="1129" t="s">
        <v>325</v>
      </c>
      <c r="H158" s="1130" t="s">
        <v>261</v>
      </c>
      <c r="I158" s="1130"/>
      <c r="J158" s="1131"/>
      <c r="K158" s="1131"/>
      <c r="L158" s="1131"/>
      <c r="M158" s="1131"/>
      <c r="N158" s="1131"/>
      <c r="O158" s="1131"/>
      <c r="P158" s="1131"/>
      <c r="Q158" s="1131"/>
      <c r="R158" s="1131"/>
      <c r="S158" s="1131"/>
      <c r="T158" s="1129"/>
      <c r="U158" s="1128"/>
      <c r="V158" s="1132"/>
      <c r="W158" s="1132"/>
      <c r="X158" s="1711" t="s">
        <v>355</v>
      </c>
      <c r="Y158" s="1137" t="s">
        <v>629</v>
      </c>
      <c r="Z158" s="1137">
        <v>1</v>
      </c>
      <c r="AA158" s="1135">
        <v>0</v>
      </c>
      <c r="AB158" s="1135">
        <v>8</v>
      </c>
      <c r="AC158" s="1135">
        <v>2</v>
      </c>
      <c r="AD158" s="1135"/>
      <c r="AE158" s="1133" t="s">
        <v>348</v>
      </c>
      <c r="AF158" s="1132"/>
      <c r="AG158" s="1132"/>
      <c r="AH158" s="1132"/>
      <c r="AI158" s="1132"/>
      <c r="AJ158" s="1131"/>
      <c r="AK158" s="1130"/>
      <c r="AL158" s="1136"/>
    </row>
    <row r="159" spans="1:40" ht="26.25" customHeight="1" outlineLevel="1">
      <c r="A159" s="1128"/>
      <c r="B159" s="1128"/>
      <c r="C159" s="1128"/>
      <c r="D159" s="1128"/>
      <c r="E159" s="1128"/>
      <c r="F159" s="1128"/>
      <c r="G159" s="1129" t="s">
        <v>325</v>
      </c>
      <c r="H159" s="1130" t="s">
        <v>261</v>
      </c>
      <c r="I159" s="1130"/>
      <c r="J159" s="1131"/>
      <c r="K159" s="1131"/>
      <c r="L159" s="1131"/>
      <c r="M159" s="1131"/>
      <c r="N159" s="1131"/>
      <c r="O159" s="1131"/>
      <c r="P159" s="1131"/>
      <c r="Q159" s="1131"/>
      <c r="R159" s="1131"/>
      <c r="S159" s="1131"/>
      <c r="T159" s="1129"/>
      <c r="U159" s="1128"/>
      <c r="V159" s="1132"/>
      <c r="W159" s="1132"/>
      <c r="X159" s="1712" t="s">
        <v>357</v>
      </c>
      <c r="Y159" s="1137" t="s">
        <v>630</v>
      </c>
      <c r="Z159" s="1137">
        <v>1</v>
      </c>
      <c r="AA159" s="1135">
        <v>2</v>
      </c>
      <c r="AB159" s="1135">
        <v>10</v>
      </c>
      <c r="AC159" s="1135">
        <v>2</v>
      </c>
      <c r="AD159" s="1135"/>
      <c r="AE159" s="1133" t="s">
        <v>348</v>
      </c>
      <c r="AF159" s="1132"/>
      <c r="AG159" s="1132"/>
      <c r="AH159" s="1132"/>
      <c r="AI159" s="1132"/>
      <c r="AJ159" s="1131"/>
      <c r="AK159" s="1130"/>
      <c r="AL159" s="1136"/>
    </row>
    <row r="160" spans="1:40" ht="26.25" customHeight="1" outlineLevel="1">
      <c r="A160" s="1128"/>
      <c r="B160" s="1128"/>
      <c r="C160" s="1128"/>
      <c r="D160" s="1128"/>
      <c r="E160" s="1128"/>
      <c r="F160" s="1128"/>
      <c r="G160" s="1129" t="s">
        <v>325</v>
      </c>
      <c r="H160" s="1130" t="s">
        <v>261</v>
      </c>
      <c r="I160" s="1130"/>
      <c r="J160" s="1131"/>
      <c r="K160" s="1131"/>
      <c r="L160" s="1131"/>
      <c r="M160" s="1131"/>
      <c r="N160" s="1131"/>
      <c r="O160" s="1131"/>
      <c r="P160" s="1131"/>
      <c r="Q160" s="1131"/>
      <c r="R160" s="1131"/>
      <c r="S160" s="1131"/>
      <c r="T160" s="1129"/>
      <c r="U160" s="1128"/>
      <c r="V160" s="1132"/>
      <c r="W160" s="1132"/>
      <c r="X160" s="1713" t="s">
        <v>359</v>
      </c>
      <c r="Y160" s="1137" t="s">
        <v>631</v>
      </c>
      <c r="Z160" s="1137">
        <v>1</v>
      </c>
      <c r="AA160" s="1135">
        <v>4</v>
      </c>
      <c r="AB160" s="1135">
        <v>12</v>
      </c>
      <c r="AC160" s="1135">
        <v>2</v>
      </c>
      <c r="AD160" s="1135"/>
      <c r="AE160" s="1133" t="s">
        <v>348</v>
      </c>
      <c r="AF160" s="1132"/>
      <c r="AG160" s="1132"/>
      <c r="AH160" s="1132"/>
      <c r="AI160" s="1132"/>
      <c r="AJ160" s="1131"/>
      <c r="AK160" s="1130"/>
      <c r="AL160" s="1136"/>
    </row>
    <row r="161" spans="1:40" ht="26.25" customHeight="1" outlineLevel="1">
      <c r="A161" s="1128"/>
      <c r="B161" s="1128"/>
      <c r="C161" s="1128"/>
      <c r="D161" s="1128"/>
      <c r="E161" s="1128"/>
      <c r="F161" s="1128"/>
      <c r="G161" s="1129" t="s">
        <v>325</v>
      </c>
      <c r="H161" s="1130" t="s">
        <v>261</v>
      </c>
      <c r="I161" s="1130"/>
      <c r="J161" s="1131"/>
      <c r="K161" s="1131"/>
      <c r="L161" s="1131"/>
      <c r="M161" s="1131"/>
      <c r="N161" s="1131"/>
      <c r="O161" s="1131"/>
      <c r="P161" s="1131"/>
      <c r="Q161" s="1131"/>
      <c r="R161" s="1131"/>
      <c r="S161" s="1131"/>
      <c r="T161" s="1129"/>
      <c r="U161" s="1128"/>
      <c r="V161" s="1132"/>
      <c r="W161" s="1132"/>
      <c r="X161" s="1714" t="s">
        <v>361</v>
      </c>
      <c r="Y161" s="1137" t="s">
        <v>632</v>
      </c>
      <c r="Z161" s="1137">
        <v>1</v>
      </c>
      <c r="AA161" s="1135">
        <v>6</v>
      </c>
      <c r="AB161" s="1135">
        <v>14</v>
      </c>
      <c r="AC161" s="1135">
        <v>2</v>
      </c>
      <c r="AD161" s="1135"/>
      <c r="AE161" s="1133" t="s">
        <v>348</v>
      </c>
      <c r="AF161" s="1132"/>
      <c r="AG161" s="1132"/>
      <c r="AH161" s="1132"/>
      <c r="AI161" s="1132"/>
      <c r="AJ161" s="1131"/>
      <c r="AK161" s="1130"/>
      <c r="AL161" s="1136"/>
    </row>
    <row r="162" spans="1:40" ht="26.25" customHeight="1" outlineLevel="1">
      <c r="A162" s="1128"/>
      <c r="B162" s="1128"/>
      <c r="C162" s="1128"/>
      <c r="D162" s="1128"/>
      <c r="E162" s="1128"/>
      <c r="F162" s="1128"/>
      <c r="G162" s="1129" t="s">
        <v>325</v>
      </c>
      <c r="H162" s="1130" t="s">
        <v>261</v>
      </c>
      <c r="I162" s="1130"/>
      <c r="J162" s="1131"/>
      <c r="K162" s="1131"/>
      <c r="L162" s="1131"/>
      <c r="M162" s="1131"/>
      <c r="N162" s="1131"/>
      <c r="O162" s="1131"/>
      <c r="P162" s="1131"/>
      <c r="Q162" s="1131"/>
      <c r="R162" s="1131"/>
      <c r="S162" s="1131"/>
      <c r="T162" s="1129"/>
      <c r="U162" s="1128"/>
      <c r="V162" s="1132"/>
      <c r="W162" s="1132"/>
      <c r="X162" s="1715" t="s">
        <v>363</v>
      </c>
      <c r="Y162" s="1137" t="s">
        <v>633</v>
      </c>
      <c r="Z162" s="1137">
        <v>2</v>
      </c>
      <c r="AA162" s="1135">
        <v>0</v>
      </c>
      <c r="AB162" s="1135">
        <v>16</v>
      </c>
      <c r="AC162" s="1135">
        <v>2</v>
      </c>
      <c r="AD162" s="1135"/>
      <c r="AE162" s="1133" t="s">
        <v>348</v>
      </c>
      <c r="AF162" s="1132"/>
      <c r="AG162" s="1132"/>
      <c r="AH162" s="1132"/>
      <c r="AI162" s="1132"/>
      <c r="AJ162" s="1131"/>
      <c r="AK162" s="1130"/>
      <c r="AL162" s="1136"/>
    </row>
    <row r="163" spans="1:40" ht="26.25" customHeight="1" outlineLevel="1">
      <c r="A163" s="1128"/>
      <c r="B163" s="1128"/>
      <c r="C163" s="1128"/>
      <c r="D163" s="1128"/>
      <c r="E163" s="1128"/>
      <c r="F163" s="1128"/>
      <c r="G163" s="1129" t="s">
        <v>325</v>
      </c>
      <c r="H163" s="1130" t="s">
        <v>261</v>
      </c>
      <c r="I163" s="1130"/>
      <c r="J163" s="1131"/>
      <c r="K163" s="1131"/>
      <c r="L163" s="1131"/>
      <c r="M163" s="1131"/>
      <c r="N163" s="1131"/>
      <c r="O163" s="1131"/>
      <c r="P163" s="1131"/>
      <c r="Q163" s="1131"/>
      <c r="R163" s="1131"/>
      <c r="S163" s="1131"/>
      <c r="T163" s="1129"/>
      <c r="U163" s="1128"/>
      <c r="V163" s="1132"/>
      <c r="W163" s="1132"/>
      <c r="X163" s="1716" t="s">
        <v>365</v>
      </c>
      <c r="Y163" s="1137" t="s">
        <v>634</v>
      </c>
      <c r="Z163" s="1137">
        <v>2</v>
      </c>
      <c r="AA163" s="1135">
        <v>2</v>
      </c>
      <c r="AB163" s="1135">
        <v>18</v>
      </c>
      <c r="AC163" s="1135">
        <v>2</v>
      </c>
      <c r="AD163" s="1135"/>
      <c r="AE163" s="1133" t="s">
        <v>348</v>
      </c>
      <c r="AF163" s="1132"/>
      <c r="AG163" s="1132"/>
      <c r="AH163" s="1132"/>
      <c r="AI163" s="1132"/>
      <c r="AJ163" s="1131"/>
      <c r="AK163" s="1130"/>
      <c r="AL163" s="1136"/>
    </row>
    <row r="164" spans="1:40" ht="26.25" customHeight="1" outlineLevel="1">
      <c r="A164" s="1128"/>
      <c r="B164" s="1128"/>
      <c r="C164" s="1128"/>
      <c r="D164" s="1128"/>
      <c r="E164" s="1128"/>
      <c r="F164" s="1128"/>
      <c r="G164" s="1129" t="s">
        <v>325</v>
      </c>
      <c r="H164" s="1130" t="s">
        <v>261</v>
      </c>
      <c r="I164" s="1130"/>
      <c r="J164" s="1131"/>
      <c r="K164" s="1131"/>
      <c r="L164" s="1131"/>
      <c r="M164" s="1131"/>
      <c r="N164" s="1131"/>
      <c r="O164" s="1131"/>
      <c r="P164" s="1131"/>
      <c r="Q164" s="1131"/>
      <c r="R164" s="1131"/>
      <c r="S164" s="1131"/>
      <c r="T164" s="1129"/>
      <c r="U164" s="1128"/>
      <c r="V164" s="1132"/>
      <c r="W164" s="1132"/>
      <c r="X164" s="1717" t="s">
        <v>367</v>
      </c>
      <c r="Y164" s="1134" t="s">
        <v>635</v>
      </c>
      <c r="Z164" s="1137">
        <v>2</v>
      </c>
      <c r="AA164" s="1135">
        <v>4</v>
      </c>
      <c r="AB164" s="1135">
        <v>20</v>
      </c>
      <c r="AC164" s="1135">
        <v>2</v>
      </c>
      <c r="AD164" s="1135"/>
      <c r="AE164" s="1133" t="s">
        <v>348</v>
      </c>
      <c r="AF164" s="1132"/>
      <c r="AG164" s="1132"/>
      <c r="AH164" s="1132"/>
      <c r="AI164" s="1132"/>
      <c r="AJ164" s="1131"/>
      <c r="AK164" s="1130"/>
      <c r="AL164" s="1136"/>
    </row>
    <row r="165" spans="1:40" ht="26.25" customHeight="1" outlineLevel="1">
      <c r="A165" s="1128"/>
      <c r="B165" s="1128"/>
      <c r="C165" s="1128"/>
      <c r="D165" s="1128"/>
      <c r="E165" s="1128"/>
      <c r="F165" s="1128"/>
      <c r="G165" s="1129" t="s">
        <v>325</v>
      </c>
      <c r="H165" s="1130" t="s">
        <v>261</v>
      </c>
      <c r="I165" s="1130"/>
      <c r="J165" s="1131"/>
      <c r="K165" s="1131"/>
      <c r="L165" s="1131"/>
      <c r="M165" s="1131"/>
      <c r="N165" s="1131"/>
      <c r="O165" s="1131"/>
      <c r="P165" s="1131"/>
      <c r="Q165" s="1131"/>
      <c r="R165" s="1131"/>
      <c r="S165" s="1131"/>
      <c r="T165" s="1129"/>
      <c r="U165" s="1128"/>
      <c r="V165" s="1132"/>
      <c r="W165" s="1132"/>
      <c r="X165" s="1718" t="s">
        <v>369</v>
      </c>
      <c r="Y165" s="1137" t="s">
        <v>636</v>
      </c>
      <c r="Z165" s="1137">
        <v>2</v>
      </c>
      <c r="AA165" s="1135">
        <v>6</v>
      </c>
      <c r="AB165" s="1135">
        <v>22</v>
      </c>
      <c r="AC165" s="1135">
        <v>2</v>
      </c>
      <c r="AD165" s="1135"/>
      <c r="AE165" s="1133" t="s">
        <v>348</v>
      </c>
      <c r="AF165" s="1132"/>
      <c r="AG165" s="1132"/>
      <c r="AH165" s="1132"/>
      <c r="AI165" s="1132"/>
      <c r="AJ165" s="1131"/>
      <c r="AK165" s="1130"/>
      <c r="AL165" s="1136"/>
    </row>
    <row r="166" spans="1:40" ht="26.25" customHeight="1" outlineLevel="1">
      <c r="A166" s="1128"/>
      <c r="B166" s="1128"/>
      <c r="C166" s="1128"/>
      <c r="D166" s="1128"/>
      <c r="E166" s="1128"/>
      <c r="F166" s="1128"/>
      <c r="G166" s="1129" t="s">
        <v>325</v>
      </c>
      <c r="H166" s="1130" t="s">
        <v>261</v>
      </c>
      <c r="I166" s="1130"/>
      <c r="J166" s="1131"/>
      <c r="K166" s="1131"/>
      <c r="L166" s="1131"/>
      <c r="M166" s="1131"/>
      <c r="N166" s="1131"/>
      <c r="O166" s="1131"/>
      <c r="P166" s="1131"/>
      <c r="Q166" s="1131"/>
      <c r="R166" s="1131"/>
      <c r="S166" s="1131"/>
      <c r="T166" s="1129"/>
      <c r="U166" s="1128"/>
      <c r="V166" s="1132"/>
      <c r="W166" s="1132"/>
      <c r="X166" s="1719" t="s">
        <v>637</v>
      </c>
      <c r="Y166" s="1137" t="s">
        <v>638</v>
      </c>
      <c r="Z166" s="1137">
        <v>3</v>
      </c>
      <c r="AA166" s="1135">
        <v>0</v>
      </c>
      <c r="AB166" s="1135">
        <v>24</v>
      </c>
      <c r="AC166" s="1135">
        <v>2</v>
      </c>
      <c r="AD166" s="1135"/>
      <c r="AE166" s="1133" t="s">
        <v>348</v>
      </c>
      <c r="AF166" s="1132"/>
      <c r="AG166" s="1132"/>
      <c r="AH166" s="1132"/>
      <c r="AI166" s="1132"/>
      <c r="AJ166" s="1131"/>
      <c r="AK166" s="1130"/>
      <c r="AL166" s="1136"/>
    </row>
    <row r="167" spans="1:40" ht="26.25" customHeight="1" outlineLevel="1">
      <c r="A167" s="1128"/>
      <c r="B167" s="1128"/>
      <c r="C167" s="1128"/>
      <c r="D167" s="1128"/>
      <c r="E167" s="1128"/>
      <c r="F167" s="1128"/>
      <c r="G167" s="1129" t="s">
        <v>325</v>
      </c>
      <c r="H167" s="1130" t="s">
        <v>261</v>
      </c>
      <c r="I167" s="1130"/>
      <c r="J167" s="1131"/>
      <c r="K167" s="1131"/>
      <c r="L167" s="1131"/>
      <c r="M167" s="1131"/>
      <c r="N167" s="1131"/>
      <c r="O167" s="1131"/>
      <c r="P167" s="1131"/>
      <c r="Q167" s="1131"/>
      <c r="R167" s="1131"/>
      <c r="S167" s="1131"/>
      <c r="T167" s="1129"/>
      <c r="U167" s="1128"/>
      <c r="V167" s="1132"/>
      <c r="W167" s="1132"/>
      <c r="X167" s="1720" t="s">
        <v>373</v>
      </c>
      <c r="Y167" s="1137" t="s">
        <v>639</v>
      </c>
      <c r="Z167" s="1137">
        <v>3</v>
      </c>
      <c r="AA167" s="1135">
        <v>2</v>
      </c>
      <c r="AB167" s="1135">
        <v>26</v>
      </c>
      <c r="AC167" s="1135">
        <v>2</v>
      </c>
      <c r="AD167" s="1135"/>
      <c r="AE167" s="1133" t="s">
        <v>348</v>
      </c>
      <c r="AF167" s="1132"/>
      <c r="AG167" s="1132"/>
      <c r="AH167" s="1132"/>
      <c r="AI167" s="1132"/>
      <c r="AJ167" s="1131"/>
      <c r="AK167" s="1130"/>
      <c r="AL167" s="1136"/>
    </row>
    <row r="168" spans="1:40" ht="26.25" customHeight="1" outlineLevel="1">
      <c r="A168" s="1128"/>
      <c r="B168" s="1128"/>
      <c r="C168" s="1128"/>
      <c r="D168" s="1128"/>
      <c r="E168" s="1128"/>
      <c r="F168" s="1128"/>
      <c r="G168" s="1129" t="s">
        <v>325</v>
      </c>
      <c r="H168" s="1130" t="s">
        <v>261</v>
      </c>
      <c r="I168" s="1130"/>
      <c r="J168" s="1131"/>
      <c r="K168" s="1131"/>
      <c r="L168" s="1131"/>
      <c r="M168" s="1131"/>
      <c r="N168" s="1131"/>
      <c r="O168" s="1131"/>
      <c r="P168" s="1131"/>
      <c r="Q168" s="1131"/>
      <c r="R168" s="1131"/>
      <c r="S168" s="1131"/>
      <c r="T168" s="1129"/>
      <c r="U168" s="1128"/>
      <c r="V168" s="1132"/>
      <c r="W168" s="1132"/>
      <c r="X168" s="1721" t="s">
        <v>375</v>
      </c>
      <c r="Y168" s="1137" t="s">
        <v>640</v>
      </c>
      <c r="Z168" s="1137">
        <v>3</v>
      </c>
      <c r="AA168" s="1135">
        <v>4</v>
      </c>
      <c r="AB168" s="1135">
        <v>28</v>
      </c>
      <c r="AC168" s="1135">
        <v>2</v>
      </c>
      <c r="AD168" s="1135"/>
      <c r="AE168" s="1133" t="s">
        <v>348</v>
      </c>
      <c r="AF168" s="1132"/>
      <c r="AG168" s="1132"/>
      <c r="AH168" s="1132"/>
      <c r="AI168" s="1132"/>
      <c r="AJ168" s="1131"/>
      <c r="AK168" s="1130"/>
      <c r="AL168" s="1136"/>
    </row>
    <row r="169" spans="1:40" ht="26.25" customHeight="1" outlineLevel="1">
      <c r="A169" s="1128"/>
      <c r="B169" s="1128"/>
      <c r="C169" s="1128"/>
      <c r="D169" s="1128"/>
      <c r="E169" s="1128"/>
      <c r="F169" s="1128"/>
      <c r="G169" s="1129" t="s">
        <v>325</v>
      </c>
      <c r="H169" s="1130" t="s">
        <v>261</v>
      </c>
      <c r="I169" s="1130"/>
      <c r="J169" s="1131"/>
      <c r="K169" s="1131"/>
      <c r="L169" s="1131"/>
      <c r="M169" s="1131"/>
      <c r="N169" s="1131"/>
      <c r="O169" s="1131"/>
      <c r="P169" s="1131"/>
      <c r="Q169" s="1131"/>
      <c r="R169" s="1131"/>
      <c r="S169" s="1131"/>
      <c r="T169" s="1129"/>
      <c r="U169" s="1128"/>
      <c r="V169" s="1132"/>
      <c r="W169" s="1132"/>
      <c r="X169" s="1722" t="s">
        <v>377</v>
      </c>
      <c r="Y169" s="1137" t="s">
        <v>641</v>
      </c>
      <c r="Z169" s="1137">
        <v>3</v>
      </c>
      <c r="AA169" s="1135">
        <v>6</v>
      </c>
      <c r="AB169" s="1135">
        <v>30</v>
      </c>
      <c r="AC169" s="1135">
        <v>2</v>
      </c>
      <c r="AD169" s="1135"/>
      <c r="AE169" s="1133" t="s">
        <v>348</v>
      </c>
      <c r="AF169" s="1132"/>
      <c r="AG169" s="1132"/>
      <c r="AH169" s="1132"/>
      <c r="AI169" s="1132"/>
      <c r="AJ169" s="1131"/>
      <c r="AK169" s="1130"/>
      <c r="AL169" s="1136"/>
    </row>
    <row r="170" spans="1:40" ht="26.25" customHeight="1" outlineLevel="1">
      <c r="A170" s="1128"/>
      <c r="B170" s="1128"/>
      <c r="C170" s="1128"/>
      <c r="D170" s="1128"/>
      <c r="E170" s="1128"/>
      <c r="F170" s="1128"/>
      <c r="G170" s="1129" t="s">
        <v>325</v>
      </c>
      <c r="H170" s="1130" t="s">
        <v>261</v>
      </c>
      <c r="I170" s="1130"/>
      <c r="J170" s="1131"/>
      <c r="K170" s="1131"/>
      <c r="L170" s="1131"/>
      <c r="M170" s="1131"/>
      <c r="N170" s="1131"/>
      <c r="O170" s="1131"/>
      <c r="P170" s="1131"/>
      <c r="Q170" s="1131"/>
      <c r="R170" s="1131"/>
      <c r="S170" s="1131"/>
      <c r="T170" s="1129"/>
      <c r="U170" s="1128"/>
      <c r="V170" s="1132"/>
      <c r="W170" s="1132"/>
      <c r="X170" s="1723" t="s">
        <v>379</v>
      </c>
      <c r="Y170" s="1137" t="s">
        <v>642</v>
      </c>
      <c r="Z170" s="1137">
        <v>4</v>
      </c>
      <c r="AA170" s="1135">
        <v>0</v>
      </c>
      <c r="AB170" s="1135">
        <v>32</v>
      </c>
      <c r="AC170" s="1135">
        <v>4</v>
      </c>
      <c r="AD170" s="1135"/>
      <c r="AE170" s="1135" t="s">
        <v>381</v>
      </c>
      <c r="AF170" s="1132"/>
      <c r="AG170" s="1132"/>
      <c r="AH170" s="1132"/>
      <c r="AI170" s="1132"/>
      <c r="AJ170" s="1131"/>
      <c r="AK170" s="1130"/>
      <c r="AL170" s="1136"/>
    </row>
    <row r="171" spans="1:40" s="110" customFormat="1" ht="26.25" customHeight="1" outlineLevel="1">
      <c r="A171" s="1128"/>
      <c r="B171" s="1128"/>
      <c r="C171" s="1128"/>
      <c r="D171" s="1128"/>
      <c r="E171" s="1128"/>
      <c r="F171" s="1128"/>
      <c r="G171" s="1129" t="s">
        <v>325</v>
      </c>
      <c r="H171" s="1130" t="s">
        <v>261</v>
      </c>
      <c r="I171" s="1130"/>
      <c r="J171" s="1131"/>
      <c r="K171" s="1131"/>
      <c r="L171" s="1131"/>
      <c r="M171" s="1131"/>
      <c r="N171" s="1131"/>
      <c r="O171" s="1131"/>
      <c r="P171" s="1131"/>
      <c r="Q171" s="1131"/>
      <c r="R171" s="1131"/>
      <c r="S171" s="1131"/>
      <c r="T171" s="1129"/>
      <c r="U171" s="1128"/>
      <c r="V171" s="1132"/>
      <c r="W171" s="1132"/>
      <c r="X171" s="1724" t="s">
        <v>382</v>
      </c>
      <c r="Y171" s="1137" t="s">
        <v>643</v>
      </c>
      <c r="Z171" s="1137">
        <v>4</v>
      </c>
      <c r="AA171" s="1135">
        <v>4</v>
      </c>
      <c r="AB171" s="1135">
        <v>36</v>
      </c>
      <c r="AC171" s="1135">
        <v>4</v>
      </c>
      <c r="AD171" s="1135"/>
      <c r="AE171" s="1135" t="s">
        <v>381</v>
      </c>
      <c r="AF171" s="1132"/>
      <c r="AG171" s="1132"/>
      <c r="AH171" s="1132"/>
      <c r="AI171" s="1132"/>
      <c r="AJ171" s="1131"/>
      <c r="AK171" s="1130"/>
      <c r="AL171" s="1136"/>
      <c r="AM171" s="49"/>
      <c r="AN171" s="49"/>
    </row>
    <row r="172" spans="1:40" ht="26.25" customHeight="1" outlineLevel="1">
      <c r="A172" s="1128"/>
      <c r="B172" s="1128"/>
      <c r="C172" s="1128"/>
      <c r="D172" s="1128"/>
      <c r="E172" s="1128"/>
      <c r="F172" s="1128"/>
      <c r="G172" s="1128" t="s">
        <v>325</v>
      </c>
      <c r="H172" s="1131" t="s">
        <v>261</v>
      </c>
      <c r="I172" s="1131"/>
      <c r="J172" s="1131"/>
      <c r="K172" s="1131"/>
      <c r="L172" s="1131"/>
      <c r="M172" s="1131"/>
      <c r="N172" s="1131"/>
      <c r="O172" s="1131"/>
      <c r="P172" s="1131"/>
      <c r="Q172" s="1131"/>
      <c r="R172" s="1131"/>
      <c r="S172" s="1131"/>
      <c r="T172" s="1128"/>
      <c r="U172" s="1128"/>
      <c r="V172" s="1132"/>
      <c r="W172" s="1132"/>
      <c r="X172" s="1725" t="s">
        <v>384</v>
      </c>
      <c r="Y172" s="1137" t="s">
        <v>644</v>
      </c>
      <c r="Z172" s="1308">
        <v>5</v>
      </c>
      <c r="AA172" s="1309">
        <v>0</v>
      </c>
      <c r="AB172" s="1135">
        <v>40</v>
      </c>
      <c r="AC172" s="1135">
        <v>4</v>
      </c>
      <c r="AD172" s="1135"/>
      <c r="AE172" s="1135" t="s">
        <v>381</v>
      </c>
      <c r="AF172" s="1132"/>
      <c r="AG172" s="1132"/>
      <c r="AH172" s="1132"/>
      <c r="AI172" s="1132"/>
      <c r="AJ172" s="1131"/>
      <c r="AK172" s="1131"/>
      <c r="AL172" s="1142"/>
      <c r="AM172" s="110"/>
      <c r="AN172" s="110"/>
    </row>
    <row r="173" spans="1:40" ht="26.25" customHeight="1" outlineLevel="1">
      <c r="A173" s="1128"/>
      <c r="B173" s="1128"/>
      <c r="C173" s="1128"/>
      <c r="D173" s="1128"/>
      <c r="E173" s="1128"/>
      <c r="F173" s="1128"/>
      <c r="G173" s="1129" t="s">
        <v>325</v>
      </c>
      <c r="H173" s="1130" t="s">
        <v>261</v>
      </c>
      <c r="I173" s="1130"/>
      <c r="J173" s="1131"/>
      <c r="K173" s="1131"/>
      <c r="L173" s="1131"/>
      <c r="M173" s="1131"/>
      <c r="N173" s="1131"/>
      <c r="O173" s="1131"/>
      <c r="P173" s="1131"/>
      <c r="Q173" s="1131"/>
      <c r="R173" s="1131"/>
      <c r="S173" s="1131"/>
      <c r="T173" s="1129"/>
      <c r="U173" s="1128"/>
      <c r="V173" s="1132"/>
      <c r="W173" s="1132"/>
      <c r="X173" s="1726" t="s">
        <v>386</v>
      </c>
      <c r="Y173" s="1137" t="s">
        <v>645</v>
      </c>
      <c r="Z173" s="1137">
        <v>5</v>
      </c>
      <c r="AA173" s="1135">
        <v>4</v>
      </c>
      <c r="AB173" s="1135">
        <v>44</v>
      </c>
      <c r="AC173" s="1135">
        <v>4</v>
      </c>
      <c r="AD173" s="1135"/>
      <c r="AE173" s="1135" t="s">
        <v>381</v>
      </c>
      <c r="AF173" s="1132"/>
      <c r="AG173" s="1132"/>
      <c r="AH173" s="1132"/>
      <c r="AI173" s="1132"/>
      <c r="AJ173" s="1131"/>
      <c r="AK173" s="1130"/>
      <c r="AL173" s="1136"/>
    </row>
    <row r="174" spans="1:40" ht="26.25" customHeight="1" outlineLevel="1">
      <c r="A174" s="1129"/>
      <c r="B174" s="1129"/>
      <c r="C174" s="1129"/>
      <c r="D174" s="1129"/>
      <c r="E174" s="1129"/>
      <c r="F174" s="1129"/>
      <c r="G174" s="1129" t="s">
        <v>325</v>
      </c>
      <c r="H174" s="1130" t="s">
        <v>261</v>
      </c>
      <c r="I174" s="1130"/>
      <c r="J174" s="1130"/>
      <c r="K174" s="1130"/>
      <c r="L174" s="1130"/>
      <c r="M174" s="1130"/>
      <c r="N174" s="1130"/>
      <c r="O174" s="1130"/>
      <c r="P174" s="1130"/>
      <c r="Q174" s="1130"/>
      <c r="R174" s="1130"/>
      <c r="S174" s="1130"/>
      <c r="T174" s="1129"/>
      <c r="U174" s="1129"/>
      <c r="V174" s="1143"/>
      <c r="W174" s="1143"/>
      <c r="X174" s="1727" t="s">
        <v>388</v>
      </c>
      <c r="Y174" s="1137" t="s">
        <v>646</v>
      </c>
      <c r="Z174" s="1137">
        <v>6</v>
      </c>
      <c r="AA174" s="1135">
        <v>0</v>
      </c>
      <c r="AB174" s="1135">
        <v>48</v>
      </c>
      <c r="AC174" s="1135">
        <v>4</v>
      </c>
      <c r="AD174" s="1135"/>
      <c r="AE174" s="1135" t="s">
        <v>381</v>
      </c>
      <c r="AF174" s="1143"/>
      <c r="AG174" s="1143"/>
      <c r="AH174" s="1143"/>
      <c r="AI174" s="1143"/>
      <c r="AJ174" s="1130"/>
      <c r="AK174" s="1130"/>
      <c r="AL174" s="1136"/>
    </row>
    <row r="175" spans="1:40" ht="26.25" customHeight="1">
      <c r="A175" s="1144"/>
      <c r="B175" s="1144"/>
      <c r="C175" s="1144"/>
      <c r="D175" s="1144"/>
      <c r="E175" s="1144"/>
      <c r="F175" s="1144"/>
      <c r="G175" s="1129" t="s">
        <v>325</v>
      </c>
      <c r="H175" s="1130" t="s">
        <v>261</v>
      </c>
      <c r="I175" s="1144"/>
      <c r="J175" s="1144"/>
      <c r="K175" s="1144"/>
      <c r="L175" s="1144"/>
      <c r="M175" s="1144"/>
      <c r="N175" s="1144"/>
      <c r="O175" s="1144"/>
      <c r="P175" s="1144"/>
      <c r="Q175" s="1144"/>
      <c r="R175" s="1144"/>
      <c r="S175" s="1144"/>
      <c r="T175" s="1144"/>
      <c r="U175" s="1144"/>
      <c r="V175" s="1144"/>
      <c r="W175" s="1144"/>
      <c r="X175" s="1728" t="s">
        <v>390</v>
      </c>
      <c r="Y175" s="1137" t="s">
        <v>647</v>
      </c>
      <c r="Z175" s="1137">
        <v>6</v>
      </c>
      <c r="AA175" s="1135">
        <v>4</v>
      </c>
      <c r="AB175" s="1135">
        <v>52</v>
      </c>
      <c r="AC175" s="1135">
        <v>2</v>
      </c>
      <c r="AD175" s="1135"/>
      <c r="AE175" s="1135" t="s">
        <v>348</v>
      </c>
      <c r="AF175" s="1144"/>
      <c r="AG175" s="1144"/>
      <c r="AH175" s="1144"/>
      <c r="AI175" s="1144"/>
      <c r="AJ175" s="1144"/>
      <c r="AK175" s="1144"/>
      <c r="AL175" s="1144"/>
    </row>
    <row r="176" spans="1:40" ht="18" customHeight="1" outlineLevel="1">
      <c r="A176" s="622">
        <v>28</v>
      </c>
      <c r="B176" s="622" t="s">
        <v>648</v>
      </c>
      <c r="C176" s="622" t="s">
        <v>649</v>
      </c>
      <c r="D176" s="622" t="s">
        <v>259</v>
      </c>
      <c r="E176" s="622">
        <v>8</v>
      </c>
      <c r="F176" s="622" t="s">
        <v>260</v>
      </c>
      <c r="G176" s="623" t="s">
        <v>325</v>
      </c>
      <c r="H176" s="622" t="s">
        <v>261</v>
      </c>
      <c r="I176" s="622"/>
      <c r="J176" s="622"/>
      <c r="K176" s="622"/>
      <c r="L176" s="622"/>
      <c r="M176" s="622"/>
      <c r="N176" s="622"/>
      <c r="O176" s="622"/>
      <c r="P176" s="622"/>
      <c r="Q176" s="622"/>
      <c r="R176" s="622"/>
      <c r="S176" s="622"/>
      <c r="T176" s="622"/>
      <c r="U176" s="622"/>
      <c r="V176" s="597"/>
      <c r="W176" s="597"/>
      <c r="X176" s="597" t="s">
        <v>650</v>
      </c>
      <c r="Y176" s="597"/>
      <c r="Z176" s="622"/>
      <c r="AA176" s="622"/>
      <c r="AB176" s="595">
        <f>Z176*8+AA176</f>
        <v>0</v>
      </c>
      <c r="AC176" s="622"/>
      <c r="AD176" s="622"/>
      <c r="AE176" s="597" t="s">
        <v>651</v>
      </c>
      <c r="AF176" s="622"/>
      <c r="AG176" s="622"/>
      <c r="AH176" s="622"/>
      <c r="AI176" s="622"/>
      <c r="AJ176" s="622"/>
      <c r="AK176" s="125"/>
    </row>
    <row r="177" spans="1:40" ht="30.75" customHeight="1" outlineLevel="1">
      <c r="G177" s="182" t="s">
        <v>325</v>
      </c>
      <c r="H177" s="80" t="s">
        <v>261</v>
      </c>
      <c r="I177" s="80"/>
      <c r="J177" s="80"/>
      <c r="K177" s="80"/>
      <c r="L177" s="80"/>
      <c r="M177" s="80"/>
      <c r="N177" s="80"/>
      <c r="O177" s="80"/>
      <c r="P177" s="80"/>
      <c r="Q177" s="80"/>
      <c r="R177" s="80"/>
      <c r="S177" s="80"/>
      <c r="T177" s="80"/>
      <c r="V177" s="117"/>
      <c r="W177" s="117"/>
      <c r="X177" s="1729" t="s">
        <v>652</v>
      </c>
      <c r="Y177" s="594" t="s">
        <v>653</v>
      </c>
      <c r="Z177" s="123"/>
      <c r="AA177" s="71"/>
      <c r="AB177" s="595">
        <v>0</v>
      </c>
      <c r="AC177" s="71">
        <v>1</v>
      </c>
      <c r="AD177" s="71"/>
      <c r="AE177" s="1730" t="s">
        <v>654</v>
      </c>
      <c r="AF177" s="151"/>
      <c r="AG177" s="151"/>
      <c r="AH177" s="151"/>
      <c r="AI177" s="151"/>
      <c r="AJ177" s="134"/>
      <c r="AK177" s="59"/>
    </row>
    <row r="178" spans="1:40" s="113" customFormat="1" ht="30.75" customHeight="1">
      <c r="A178" s="49"/>
      <c r="B178" s="49"/>
      <c r="C178" s="49"/>
      <c r="D178" s="49"/>
      <c r="E178" s="49"/>
      <c r="F178" s="49"/>
      <c r="G178" s="182" t="s">
        <v>325</v>
      </c>
      <c r="H178" s="80" t="s">
        <v>261</v>
      </c>
      <c r="I178" s="80"/>
      <c r="J178" s="80"/>
      <c r="K178" s="80"/>
      <c r="L178" s="80"/>
      <c r="M178" s="80"/>
      <c r="N178" s="80"/>
      <c r="O178" s="80"/>
      <c r="P178" s="80"/>
      <c r="Q178" s="80"/>
      <c r="R178" s="80"/>
      <c r="S178" s="80"/>
      <c r="T178" s="80"/>
      <c r="U178" s="49"/>
      <c r="V178" s="117"/>
      <c r="W178" s="117"/>
      <c r="X178" s="1731" t="s">
        <v>655</v>
      </c>
      <c r="Y178" s="594" t="s">
        <v>656</v>
      </c>
      <c r="Z178" s="625"/>
      <c r="AA178" s="595"/>
      <c r="AB178" s="595">
        <v>1</v>
      </c>
      <c r="AC178" s="595">
        <v>1</v>
      </c>
      <c r="AD178" s="595"/>
      <c r="AE178" s="1732" t="s">
        <v>654</v>
      </c>
      <c r="AF178" s="590"/>
      <c r="AG178" s="590"/>
      <c r="AH178" s="590"/>
      <c r="AI178" s="590"/>
      <c r="AJ178" s="646"/>
      <c r="AK178" s="59"/>
      <c r="AL178" s="108"/>
      <c r="AM178" s="49"/>
      <c r="AN178" s="49"/>
    </row>
    <row r="179" spans="1:40" s="113" customFormat="1" ht="87" customHeight="1">
      <c r="A179" s="765">
        <v>70</v>
      </c>
      <c r="B179" s="765" t="s">
        <v>657</v>
      </c>
      <c r="C179" s="765" t="s">
        <v>658</v>
      </c>
      <c r="D179" s="765" t="s">
        <v>617</v>
      </c>
      <c r="E179" s="765">
        <v>8</v>
      </c>
      <c r="F179" s="765" t="s">
        <v>260</v>
      </c>
      <c r="G179" s="624" t="s">
        <v>325</v>
      </c>
      <c r="H179" s="689" t="s">
        <v>261</v>
      </c>
      <c r="I179" s="689"/>
      <c r="J179" s="624"/>
      <c r="K179" s="624"/>
      <c r="L179" s="624"/>
      <c r="M179" s="624"/>
      <c r="N179" s="624"/>
      <c r="O179" s="624"/>
      <c r="P179" s="689" t="s">
        <v>325</v>
      </c>
      <c r="Q179" s="624"/>
      <c r="R179" s="624"/>
      <c r="S179" s="624"/>
      <c r="T179" s="624"/>
      <c r="U179" s="624"/>
      <c r="V179" s="765"/>
      <c r="W179" s="765"/>
      <c r="X179" s="691" t="s">
        <v>659</v>
      </c>
      <c r="Y179" s="765"/>
      <c r="Z179" s="765"/>
      <c r="AA179" s="765"/>
      <c r="AB179" s="689">
        <f>Z179*8+AA179</f>
        <v>0</v>
      </c>
      <c r="AC179" s="765"/>
      <c r="AD179" s="765"/>
      <c r="AE179" s="1733" t="s">
        <v>660</v>
      </c>
      <c r="AF179" s="765"/>
      <c r="AG179" s="765"/>
      <c r="AH179" s="765"/>
      <c r="AI179" s="765"/>
      <c r="AJ179" s="765"/>
      <c r="AK179" s="212"/>
      <c r="AL179" s="364" t="s">
        <v>661</v>
      </c>
    </row>
    <row r="180" spans="1:40" ht="45.75" customHeight="1">
      <c r="A180" s="366"/>
      <c r="B180" s="366"/>
      <c r="C180" s="366"/>
      <c r="D180" s="366"/>
      <c r="E180" s="366"/>
      <c r="F180" s="366"/>
      <c r="G180" s="366" t="s">
        <v>325</v>
      </c>
      <c r="H180" s="366" t="s">
        <v>261</v>
      </c>
      <c r="I180" s="366"/>
      <c r="J180" s="366"/>
      <c r="K180" s="366"/>
      <c r="L180" s="366"/>
      <c r="M180" s="366"/>
      <c r="N180" s="366"/>
      <c r="O180" s="366"/>
      <c r="P180" s="366"/>
      <c r="Q180" s="366"/>
      <c r="R180" s="366"/>
      <c r="S180" s="366"/>
      <c r="T180" s="366"/>
      <c r="U180" s="366" t="s">
        <v>662</v>
      </c>
      <c r="V180" s="366"/>
      <c r="W180" s="366"/>
      <c r="X180" s="1734" t="s">
        <v>663</v>
      </c>
      <c r="Y180" s="752" t="s">
        <v>664</v>
      </c>
      <c r="Z180" s="719" t="s">
        <v>398</v>
      </c>
      <c r="AA180" s="719" t="s">
        <v>398</v>
      </c>
      <c r="AB180" s="719">
        <v>0</v>
      </c>
      <c r="AC180" s="719">
        <v>8</v>
      </c>
      <c r="AD180" s="719" t="s">
        <v>286</v>
      </c>
      <c r="AE180" s="1735" t="s">
        <v>665</v>
      </c>
      <c r="AF180" s="719">
        <v>1</v>
      </c>
      <c r="AG180" s="719">
        <v>0</v>
      </c>
      <c r="AH180" s="719" t="s">
        <v>398</v>
      </c>
      <c r="AI180" s="719" t="s">
        <v>398</v>
      </c>
      <c r="AJ180" s="719" t="s">
        <v>452</v>
      </c>
      <c r="AK180" s="371">
        <v>20250818</v>
      </c>
      <c r="AL180" s="366"/>
      <c r="AM180" s="113"/>
      <c r="AN180" s="113"/>
    </row>
    <row r="181" spans="1:40" ht="45.75" customHeight="1">
      <c r="A181" s="366"/>
      <c r="B181" s="366"/>
      <c r="C181" s="366"/>
      <c r="D181" s="366"/>
      <c r="E181" s="366"/>
      <c r="F181" s="366"/>
      <c r="G181" s="366" t="s">
        <v>325</v>
      </c>
      <c r="H181" s="366" t="s">
        <v>261</v>
      </c>
      <c r="I181" s="366"/>
      <c r="J181" s="366"/>
      <c r="K181" s="366"/>
      <c r="L181" s="366"/>
      <c r="M181" s="366"/>
      <c r="N181" s="366"/>
      <c r="O181" s="366"/>
      <c r="P181" s="366"/>
      <c r="Q181" s="366"/>
      <c r="R181" s="366"/>
      <c r="S181" s="366"/>
      <c r="T181" s="366"/>
      <c r="U181" s="366" t="s">
        <v>662</v>
      </c>
      <c r="V181" s="366"/>
      <c r="W181" s="366"/>
      <c r="X181" s="1736" t="s">
        <v>666</v>
      </c>
      <c r="Y181" s="370" t="s">
        <v>667</v>
      </c>
      <c r="Z181" s="414" t="s">
        <v>398</v>
      </c>
      <c r="AA181" s="414" t="s">
        <v>398</v>
      </c>
      <c r="AB181" s="414">
        <v>8</v>
      </c>
      <c r="AC181" s="414">
        <v>8</v>
      </c>
      <c r="AD181" s="414" t="s">
        <v>286</v>
      </c>
      <c r="AE181" s="1737" t="s">
        <v>668</v>
      </c>
      <c r="AF181" s="414">
        <v>1</v>
      </c>
      <c r="AG181" s="414">
        <v>0</v>
      </c>
      <c r="AH181" s="414" t="s">
        <v>398</v>
      </c>
      <c r="AI181" s="414" t="s">
        <v>398</v>
      </c>
      <c r="AJ181" s="414" t="s">
        <v>452</v>
      </c>
      <c r="AK181" s="371">
        <v>20250818</v>
      </c>
      <c r="AL181" s="366"/>
      <c r="AM181" s="366"/>
      <c r="AN181" s="366"/>
    </row>
    <row r="182" spans="1:40" ht="60.75" customHeight="1">
      <c r="A182" s="255"/>
      <c r="B182" s="255"/>
      <c r="C182" s="255"/>
      <c r="D182" s="255"/>
      <c r="E182" s="255"/>
      <c r="F182" s="255"/>
      <c r="G182" s="366" t="s">
        <v>325</v>
      </c>
      <c r="H182" s="366" t="s">
        <v>261</v>
      </c>
      <c r="I182" s="366"/>
      <c r="J182" s="366"/>
      <c r="K182" s="366"/>
      <c r="L182" s="366"/>
      <c r="M182" s="366"/>
      <c r="N182" s="366"/>
      <c r="O182" s="366"/>
      <c r="P182" s="366"/>
      <c r="Q182" s="366"/>
      <c r="R182" s="366"/>
      <c r="S182" s="366"/>
      <c r="T182" s="366"/>
      <c r="U182" s="366" t="s">
        <v>662</v>
      </c>
      <c r="V182" s="366"/>
      <c r="W182" s="366"/>
      <c r="X182" s="1738" t="s">
        <v>669</v>
      </c>
      <c r="Y182" s="370" t="s">
        <v>670</v>
      </c>
      <c r="Z182" s="414" t="s">
        <v>398</v>
      </c>
      <c r="AA182" s="414" t="s">
        <v>398</v>
      </c>
      <c r="AB182" s="414">
        <v>16</v>
      </c>
      <c r="AC182" s="414">
        <v>2</v>
      </c>
      <c r="AD182" s="414" t="s">
        <v>407</v>
      </c>
      <c r="AE182" s="1739" t="s">
        <v>671</v>
      </c>
      <c r="AF182" s="414" t="s">
        <v>398</v>
      </c>
      <c r="AG182" s="414" t="s">
        <v>398</v>
      </c>
      <c r="AH182" s="414" t="s">
        <v>398</v>
      </c>
      <c r="AI182" s="414" t="s">
        <v>398</v>
      </c>
      <c r="AJ182" s="414" t="s">
        <v>398</v>
      </c>
      <c r="AK182" s="371">
        <v>20250818</v>
      </c>
      <c r="AL182" s="366"/>
      <c r="AM182" s="366"/>
      <c r="AN182" s="366"/>
    </row>
    <row r="183" spans="1:40" ht="60.75" customHeight="1">
      <c r="A183" s="366"/>
      <c r="B183" s="366"/>
      <c r="C183" s="366"/>
      <c r="D183" s="366"/>
      <c r="E183" s="366"/>
      <c r="F183" s="366"/>
      <c r="G183" s="366" t="s">
        <v>325</v>
      </c>
      <c r="H183" s="366" t="s">
        <v>261</v>
      </c>
      <c r="I183" s="366"/>
      <c r="J183" s="366"/>
      <c r="K183" s="366"/>
      <c r="L183" s="366"/>
      <c r="M183" s="366"/>
      <c r="N183" s="366"/>
      <c r="O183" s="366"/>
      <c r="P183" s="366"/>
      <c r="Q183" s="366"/>
      <c r="R183" s="366"/>
      <c r="S183" s="366"/>
      <c r="T183" s="366"/>
      <c r="U183" s="366" t="s">
        <v>662</v>
      </c>
      <c r="V183" s="366"/>
      <c r="W183" s="366"/>
      <c r="X183" s="1740" t="s">
        <v>672</v>
      </c>
      <c r="Y183" s="370" t="s">
        <v>673</v>
      </c>
      <c r="Z183" s="414" t="s">
        <v>398</v>
      </c>
      <c r="AA183" s="414" t="s">
        <v>398</v>
      </c>
      <c r="AB183" s="414">
        <v>18</v>
      </c>
      <c r="AC183" s="414">
        <v>2</v>
      </c>
      <c r="AD183" s="414" t="s">
        <v>407</v>
      </c>
      <c r="AE183" s="1741" t="s">
        <v>671</v>
      </c>
      <c r="AF183" s="414" t="s">
        <v>398</v>
      </c>
      <c r="AG183" s="414" t="s">
        <v>398</v>
      </c>
      <c r="AH183" s="414" t="s">
        <v>398</v>
      </c>
      <c r="AI183" s="414" t="s">
        <v>398</v>
      </c>
      <c r="AJ183" s="414" t="s">
        <v>398</v>
      </c>
      <c r="AK183" s="371">
        <v>20250818</v>
      </c>
      <c r="AL183" s="366"/>
      <c r="AM183" s="366"/>
      <c r="AN183" s="366"/>
    </row>
    <row r="184" spans="1:40" ht="45.75" customHeight="1">
      <c r="A184" s="366"/>
      <c r="B184" s="366"/>
      <c r="C184" s="366"/>
      <c r="D184" s="366"/>
      <c r="E184" s="366"/>
      <c r="F184" s="366"/>
      <c r="G184" s="366" t="s">
        <v>325</v>
      </c>
      <c r="H184" s="366" t="s">
        <v>261</v>
      </c>
      <c r="I184" s="366"/>
      <c r="J184" s="366"/>
      <c r="K184" s="366"/>
      <c r="L184" s="366"/>
      <c r="M184" s="366"/>
      <c r="N184" s="366"/>
      <c r="O184" s="366"/>
      <c r="P184" s="366"/>
      <c r="Q184" s="366"/>
      <c r="R184" s="366"/>
      <c r="S184" s="366"/>
      <c r="T184" s="366"/>
      <c r="U184" s="366" t="s">
        <v>662</v>
      </c>
      <c r="V184" s="366"/>
      <c r="W184" s="366"/>
      <c r="X184" s="1742" t="s">
        <v>674</v>
      </c>
      <c r="Y184" s="370" t="s">
        <v>675</v>
      </c>
      <c r="Z184" s="414" t="s">
        <v>398</v>
      </c>
      <c r="AA184" s="414" t="s">
        <v>398</v>
      </c>
      <c r="AB184" s="414">
        <v>20</v>
      </c>
      <c r="AC184" s="414">
        <v>2</v>
      </c>
      <c r="AD184" s="414" t="s">
        <v>398</v>
      </c>
      <c r="AE184" s="1743" t="s">
        <v>676</v>
      </c>
      <c r="AF184" s="414" t="s">
        <v>398</v>
      </c>
      <c r="AG184" s="414" t="s">
        <v>398</v>
      </c>
      <c r="AH184" s="414" t="s">
        <v>398</v>
      </c>
      <c r="AI184" s="414" t="s">
        <v>398</v>
      </c>
      <c r="AJ184" s="414" t="s">
        <v>398</v>
      </c>
      <c r="AK184" s="371">
        <v>20250818</v>
      </c>
      <c r="AL184" s="366"/>
      <c r="AM184" s="366"/>
      <c r="AN184" s="366"/>
    </row>
    <row r="185" spans="1:40" ht="60.75" customHeight="1">
      <c r="A185" s="366"/>
      <c r="B185" s="366"/>
      <c r="C185" s="366"/>
      <c r="D185" s="366"/>
      <c r="E185" s="366"/>
      <c r="F185" s="366"/>
      <c r="G185" s="366" t="s">
        <v>325</v>
      </c>
      <c r="H185" s="366" t="s">
        <v>261</v>
      </c>
      <c r="I185" s="366"/>
      <c r="J185" s="366"/>
      <c r="K185" s="366"/>
      <c r="L185" s="366"/>
      <c r="M185" s="366"/>
      <c r="N185" s="366"/>
      <c r="O185" s="366"/>
      <c r="P185" s="366"/>
      <c r="Q185" s="366"/>
      <c r="R185" s="366"/>
      <c r="S185" s="366"/>
      <c r="T185" s="366"/>
      <c r="U185" s="366" t="s">
        <v>662</v>
      </c>
      <c r="V185" s="366"/>
      <c r="W185" s="366"/>
      <c r="X185" s="1744" t="s">
        <v>677</v>
      </c>
      <c r="Y185" s="370" t="s">
        <v>678</v>
      </c>
      <c r="Z185" s="414" t="s">
        <v>398</v>
      </c>
      <c r="AA185" s="414" t="s">
        <v>398</v>
      </c>
      <c r="AB185" s="414">
        <v>22</v>
      </c>
      <c r="AC185" s="414">
        <v>2</v>
      </c>
      <c r="AD185" s="414" t="s">
        <v>398</v>
      </c>
      <c r="AE185" s="1745" t="s">
        <v>679</v>
      </c>
      <c r="AF185" s="414" t="s">
        <v>398</v>
      </c>
      <c r="AG185" s="414" t="s">
        <v>398</v>
      </c>
      <c r="AH185" s="414" t="s">
        <v>398</v>
      </c>
      <c r="AI185" s="414" t="s">
        <v>398</v>
      </c>
      <c r="AJ185" s="414" t="s">
        <v>398</v>
      </c>
      <c r="AK185" s="371">
        <v>20250818</v>
      </c>
      <c r="AL185" s="366"/>
      <c r="AM185" s="366"/>
      <c r="AN185" s="366"/>
    </row>
    <row r="186" spans="1:40" ht="45.75" customHeight="1">
      <c r="A186" s="366"/>
      <c r="B186" s="366"/>
      <c r="C186" s="366"/>
      <c r="D186" s="366"/>
      <c r="E186" s="366"/>
      <c r="F186" s="366"/>
      <c r="G186" s="366" t="s">
        <v>325</v>
      </c>
      <c r="H186" s="366" t="s">
        <v>261</v>
      </c>
      <c r="I186" s="366"/>
      <c r="J186" s="366"/>
      <c r="K186" s="366"/>
      <c r="L186" s="366"/>
      <c r="M186" s="366"/>
      <c r="N186" s="366"/>
      <c r="O186" s="366"/>
      <c r="P186" s="366"/>
      <c r="Q186" s="366"/>
      <c r="R186" s="366"/>
      <c r="S186" s="366"/>
      <c r="T186" s="366"/>
      <c r="U186" s="366" t="s">
        <v>662</v>
      </c>
      <c r="V186" s="366"/>
      <c r="W186" s="366"/>
      <c r="X186" s="369" t="s">
        <v>680</v>
      </c>
      <c r="Y186" s="370" t="s">
        <v>681</v>
      </c>
      <c r="Z186" s="414" t="s">
        <v>398</v>
      </c>
      <c r="AA186" s="414" t="s">
        <v>398</v>
      </c>
      <c r="AB186" s="414">
        <v>24</v>
      </c>
      <c r="AC186" s="414">
        <v>2</v>
      </c>
      <c r="AD186" s="414" t="s">
        <v>398</v>
      </c>
      <c r="AE186" s="1746" t="s">
        <v>682</v>
      </c>
      <c r="AF186" s="414" t="s">
        <v>398</v>
      </c>
      <c r="AG186" s="414" t="s">
        <v>398</v>
      </c>
      <c r="AH186" s="414" t="s">
        <v>398</v>
      </c>
      <c r="AI186" s="414" t="s">
        <v>398</v>
      </c>
      <c r="AJ186" s="414" t="s">
        <v>398</v>
      </c>
      <c r="AK186" s="371">
        <v>20250818</v>
      </c>
      <c r="AL186" s="366"/>
      <c r="AM186" s="366"/>
      <c r="AN186" s="366"/>
    </row>
    <row r="187" spans="1:40" ht="45.75" customHeight="1">
      <c r="A187" s="255"/>
      <c r="B187" s="255"/>
      <c r="C187" s="255"/>
      <c r="D187" s="255"/>
      <c r="E187" s="255"/>
      <c r="F187" s="255"/>
      <c r="G187" s="366"/>
      <c r="H187" s="366"/>
      <c r="I187" s="366"/>
      <c r="J187" s="366"/>
      <c r="K187" s="366"/>
      <c r="L187" s="366"/>
      <c r="M187" s="366"/>
      <c r="N187" s="366"/>
      <c r="O187" s="366"/>
      <c r="P187" s="366"/>
      <c r="Q187" s="366"/>
      <c r="R187" s="366"/>
      <c r="S187" s="366"/>
      <c r="T187" s="366"/>
      <c r="U187" s="366" t="s">
        <v>662</v>
      </c>
      <c r="V187" s="366"/>
      <c r="W187" s="366"/>
      <c r="X187" s="1747" t="s">
        <v>683</v>
      </c>
      <c r="Y187" s="370" t="s">
        <v>684</v>
      </c>
      <c r="Z187" s="372"/>
      <c r="AA187" s="372"/>
      <c r="AB187" s="368">
        <v>26</v>
      </c>
      <c r="AC187" s="368">
        <v>2</v>
      </c>
      <c r="AD187" s="372" t="s">
        <v>398</v>
      </c>
      <c r="AE187" s="1748" t="s">
        <v>682</v>
      </c>
      <c r="AF187" s="372" t="s">
        <v>398</v>
      </c>
      <c r="AG187" s="372" t="s">
        <v>398</v>
      </c>
      <c r="AH187" s="372" t="s">
        <v>398</v>
      </c>
      <c r="AI187" s="372" t="s">
        <v>398</v>
      </c>
      <c r="AJ187" s="372" t="s">
        <v>398</v>
      </c>
      <c r="AK187" s="371">
        <v>20250818</v>
      </c>
      <c r="AL187" s="366"/>
      <c r="AM187" s="366"/>
      <c r="AN187" s="366"/>
    </row>
    <row r="188" spans="1:40" ht="75.75" customHeight="1">
      <c r="A188" s="255"/>
      <c r="B188" s="255"/>
      <c r="C188" s="255"/>
      <c r="D188" s="255"/>
      <c r="E188" s="255"/>
      <c r="F188" s="255"/>
      <c r="G188" s="366"/>
      <c r="H188" s="366"/>
      <c r="I188" s="366"/>
      <c r="J188" s="366"/>
      <c r="K188" s="366"/>
      <c r="L188" s="366"/>
      <c r="M188" s="366"/>
      <c r="N188" s="366"/>
      <c r="O188" s="366"/>
      <c r="P188" s="366"/>
      <c r="Q188" s="366"/>
      <c r="R188" s="366"/>
      <c r="S188" s="366"/>
      <c r="T188" s="366"/>
      <c r="U188" s="366" t="s">
        <v>662</v>
      </c>
      <c r="V188" s="366"/>
      <c r="W188" s="366"/>
      <c r="X188" s="1749" t="s">
        <v>685</v>
      </c>
      <c r="Y188" s="370" t="s">
        <v>686</v>
      </c>
      <c r="Z188" s="372"/>
      <c r="AA188" s="372"/>
      <c r="AB188" s="368">
        <v>28</v>
      </c>
      <c r="AC188" s="368">
        <v>4</v>
      </c>
      <c r="AD188" s="372" t="s">
        <v>398</v>
      </c>
      <c r="AE188" s="1750" t="s">
        <v>687</v>
      </c>
      <c r="AF188" s="372" t="s">
        <v>398</v>
      </c>
      <c r="AG188" s="372" t="s">
        <v>398</v>
      </c>
      <c r="AH188" s="372" t="s">
        <v>398</v>
      </c>
      <c r="AI188" s="372" t="s">
        <v>398</v>
      </c>
      <c r="AJ188" s="372" t="s">
        <v>398</v>
      </c>
      <c r="AK188" s="371">
        <v>20251126</v>
      </c>
      <c r="AL188" s="366"/>
      <c r="AM188" s="366"/>
      <c r="AN188" s="366"/>
    </row>
    <row r="189" spans="1:40" ht="30.75" customHeight="1">
      <c r="A189" s="366"/>
      <c r="B189" s="366"/>
      <c r="C189" s="366"/>
      <c r="D189" s="366"/>
      <c r="E189" s="366"/>
      <c r="F189" s="366"/>
      <c r="G189" s="366" t="s">
        <v>325</v>
      </c>
      <c r="H189" s="366" t="s">
        <v>261</v>
      </c>
      <c r="I189" s="366"/>
      <c r="J189" s="366"/>
      <c r="K189" s="366"/>
      <c r="L189" s="366"/>
      <c r="M189" s="366"/>
      <c r="N189" s="366"/>
      <c r="O189" s="366"/>
      <c r="P189" s="366"/>
      <c r="Q189" s="366"/>
      <c r="R189" s="366"/>
      <c r="S189" s="366"/>
      <c r="T189" s="366"/>
      <c r="U189" s="366" t="s">
        <v>662</v>
      </c>
      <c r="V189" s="366"/>
      <c r="W189" s="366"/>
      <c r="X189" s="1751" t="s">
        <v>688</v>
      </c>
      <c r="Y189" s="370" t="s">
        <v>689</v>
      </c>
      <c r="Z189" s="414" t="s">
        <v>398</v>
      </c>
      <c r="AA189" s="414" t="s">
        <v>398</v>
      </c>
      <c r="AB189" s="414">
        <v>32</v>
      </c>
      <c r="AC189" s="414">
        <v>8</v>
      </c>
      <c r="AD189" s="414" t="s">
        <v>407</v>
      </c>
      <c r="AE189" s="414" t="s">
        <v>690</v>
      </c>
      <c r="AF189" s="414">
        <v>0.1</v>
      </c>
      <c r="AG189" s="414">
        <v>0</v>
      </c>
      <c r="AH189" s="379" t="s">
        <v>691</v>
      </c>
      <c r="AI189" s="414">
        <v>100</v>
      </c>
      <c r="AJ189" s="414" t="s">
        <v>692</v>
      </c>
      <c r="AK189" s="371">
        <v>20250818</v>
      </c>
      <c r="AL189" s="434" t="s">
        <v>398</v>
      </c>
      <c r="AM189" s="366"/>
      <c r="AN189" s="366"/>
    </row>
    <row r="190" spans="1:40" ht="45.75" customHeight="1">
      <c r="A190" s="366"/>
      <c r="B190" s="366"/>
      <c r="C190" s="366"/>
      <c r="D190" s="366"/>
      <c r="E190" s="366"/>
      <c r="F190" s="366"/>
      <c r="G190" s="366" t="s">
        <v>325</v>
      </c>
      <c r="H190" s="366" t="s">
        <v>261</v>
      </c>
      <c r="I190" s="366"/>
      <c r="J190" s="366"/>
      <c r="K190" s="366"/>
      <c r="L190" s="366"/>
      <c r="M190" s="366"/>
      <c r="N190" s="366"/>
      <c r="O190" s="366"/>
      <c r="P190" s="366"/>
      <c r="Q190" s="366"/>
      <c r="R190" s="366"/>
      <c r="S190" s="366"/>
      <c r="T190" s="366"/>
      <c r="U190" s="366" t="s">
        <v>662</v>
      </c>
      <c r="V190" s="366"/>
      <c r="W190" s="366"/>
      <c r="X190" s="1752" t="s">
        <v>693</v>
      </c>
      <c r="Y190" s="370" t="s">
        <v>694</v>
      </c>
      <c r="Z190" s="414" t="s">
        <v>398</v>
      </c>
      <c r="AA190" s="414" t="s">
        <v>398</v>
      </c>
      <c r="AB190" s="414">
        <v>40</v>
      </c>
      <c r="AC190" s="414">
        <v>8</v>
      </c>
      <c r="AD190" s="414" t="s">
        <v>407</v>
      </c>
      <c r="AE190" s="414" t="s">
        <v>695</v>
      </c>
      <c r="AF190" s="414">
        <v>1</v>
      </c>
      <c r="AG190" s="414">
        <v>0</v>
      </c>
      <c r="AH190" s="414" t="s">
        <v>696</v>
      </c>
      <c r="AI190" s="414">
        <v>0</v>
      </c>
      <c r="AJ190" s="414" t="s">
        <v>409</v>
      </c>
      <c r="AK190" s="371">
        <v>20250818</v>
      </c>
      <c r="AL190" s="366"/>
      <c r="AM190" s="366"/>
      <c r="AN190" s="366"/>
    </row>
    <row r="191" spans="1:40" ht="43.5" customHeight="1">
      <c r="A191" s="366"/>
      <c r="B191" s="366"/>
      <c r="C191" s="366"/>
      <c r="D191" s="366"/>
      <c r="E191" s="366"/>
      <c r="F191" s="366"/>
      <c r="G191" s="366" t="s">
        <v>325</v>
      </c>
      <c r="H191" s="366" t="s">
        <v>261</v>
      </c>
      <c r="I191" s="366"/>
      <c r="J191" s="366"/>
      <c r="K191" s="366"/>
      <c r="L191" s="366"/>
      <c r="M191" s="366"/>
      <c r="N191" s="366"/>
      <c r="O191" s="366"/>
      <c r="P191" s="366"/>
      <c r="Q191" s="366"/>
      <c r="R191" s="366"/>
      <c r="S191" s="366"/>
      <c r="T191" s="366"/>
      <c r="U191" s="366" t="s">
        <v>662</v>
      </c>
      <c r="V191" s="366"/>
      <c r="W191" s="366"/>
      <c r="X191" s="369" t="s">
        <v>697</v>
      </c>
      <c r="Y191" s="370" t="s">
        <v>698</v>
      </c>
      <c r="Z191" s="414" t="s">
        <v>398</v>
      </c>
      <c r="AA191" s="414" t="s">
        <v>398</v>
      </c>
      <c r="AB191" s="414">
        <v>48</v>
      </c>
      <c r="AC191" s="414">
        <v>2</v>
      </c>
      <c r="AD191" s="414" t="s">
        <v>398</v>
      </c>
      <c r="AE191" s="1753" t="s">
        <v>699</v>
      </c>
      <c r="AF191" s="414" t="s">
        <v>398</v>
      </c>
      <c r="AG191" s="414" t="s">
        <v>398</v>
      </c>
      <c r="AH191" s="414" t="s">
        <v>398</v>
      </c>
      <c r="AI191" s="414">
        <v>2</v>
      </c>
      <c r="AJ191" s="414" t="s">
        <v>398</v>
      </c>
      <c r="AK191" s="371">
        <v>20251208</v>
      </c>
      <c r="AL191" s="366"/>
      <c r="AM191" s="366"/>
      <c r="AN191" s="366"/>
    </row>
    <row r="192" spans="1:40" ht="43.5" customHeight="1">
      <c r="A192" s="613"/>
      <c r="B192" s="613"/>
      <c r="C192" s="613"/>
      <c r="D192" s="613"/>
      <c r="E192" s="613"/>
      <c r="F192" s="364"/>
      <c r="G192" s="364"/>
      <c r="H192" s="162"/>
      <c r="I192" s="162"/>
      <c r="J192" s="364"/>
      <c r="K192" s="364"/>
      <c r="L192" s="364"/>
      <c r="M192" s="364"/>
      <c r="N192" s="364"/>
      <c r="O192" s="364"/>
      <c r="P192" s="162"/>
      <c r="Q192" s="364"/>
      <c r="R192" s="364"/>
      <c r="S192" s="366"/>
      <c r="T192" s="366"/>
      <c r="U192" s="366"/>
      <c r="V192" s="615"/>
      <c r="W192" s="615"/>
      <c r="X192" s="1754" t="s">
        <v>700</v>
      </c>
      <c r="Y192" s="484" t="s">
        <v>701</v>
      </c>
      <c r="Z192" s="454"/>
      <c r="AA192" s="409"/>
      <c r="AB192" s="868">
        <v>50</v>
      </c>
      <c r="AC192" s="409">
        <v>2</v>
      </c>
      <c r="AD192" s="409"/>
      <c r="AE192" s="1755" t="s">
        <v>702</v>
      </c>
      <c r="AF192" s="866"/>
      <c r="AG192" s="866"/>
      <c r="AH192" s="866"/>
      <c r="AI192" s="866">
        <v>2</v>
      </c>
      <c r="AJ192" s="868"/>
      <c r="AK192" s="615"/>
      <c r="AL192" s="364"/>
      <c r="AM192" s="366"/>
      <c r="AN192" s="366"/>
    </row>
    <row r="193" spans="1:40" ht="43.5" customHeight="1">
      <c r="A193" s="1363"/>
      <c r="B193" s="1363"/>
      <c r="C193" s="1363"/>
      <c r="D193" s="1363"/>
      <c r="E193" s="1363"/>
      <c r="F193" s="1363"/>
      <c r="G193" s="1363"/>
      <c r="H193" s="1363"/>
      <c r="I193" s="1363"/>
      <c r="J193" s="1363"/>
      <c r="K193" s="1363"/>
      <c r="L193" s="1363"/>
      <c r="M193" s="1363"/>
      <c r="N193" s="1363"/>
      <c r="O193" s="1363"/>
      <c r="P193" s="1363"/>
      <c r="Q193" s="1363"/>
      <c r="R193" s="1363"/>
      <c r="S193" s="1363"/>
      <c r="T193" s="1363"/>
      <c r="U193" s="1363"/>
      <c r="V193" s="1363"/>
      <c r="W193" s="1363"/>
      <c r="X193" s="1756" t="s">
        <v>703</v>
      </c>
      <c r="Y193" s="1419" t="s">
        <v>704</v>
      </c>
      <c r="Z193" s="1373"/>
      <c r="AA193" s="1373"/>
      <c r="AB193" s="1373">
        <v>52</v>
      </c>
      <c r="AC193" s="1372">
        <v>2</v>
      </c>
      <c r="AD193" s="1372" t="s">
        <v>286</v>
      </c>
      <c r="AE193" s="1757" t="s">
        <v>705</v>
      </c>
      <c r="AF193" s="1375"/>
      <c r="AG193" s="1375"/>
      <c r="AH193" s="1375"/>
      <c r="AI193" s="1375">
        <v>2</v>
      </c>
      <c r="AJ193" s="1375"/>
      <c r="AK193" s="371"/>
      <c r="AL193" s="1363"/>
      <c r="AM193" s="1363"/>
      <c r="AN193" s="1363"/>
    </row>
    <row r="194" spans="1:40" ht="43.5" customHeight="1">
      <c r="A194" s="1363"/>
      <c r="B194" s="1363"/>
      <c r="C194" s="1363"/>
      <c r="D194" s="1363"/>
      <c r="E194" s="1363"/>
      <c r="F194" s="1363"/>
      <c r="G194" s="1363"/>
      <c r="H194" s="1363"/>
      <c r="I194" s="1363"/>
      <c r="J194" s="1363"/>
      <c r="K194" s="1363"/>
      <c r="L194" s="1363"/>
      <c r="M194" s="1363"/>
      <c r="N194" s="1363"/>
      <c r="O194" s="1363"/>
      <c r="P194" s="1363"/>
      <c r="Q194" s="1363"/>
      <c r="R194" s="1363"/>
      <c r="S194" s="1363"/>
      <c r="T194" s="1363"/>
      <c r="U194" s="1363"/>
      <c r="V194" s="1363"/>
      <c r="W194" s="1363"/>
      <c r="X194" s="1758" t="s">
        <v>706</v>
      </c>
      <c r="Y194" s="1419" t="s">
        <v>707</v>
      </c>
      <c r="Z194" s="1373"/>
      <c r="AA194" s="1373"/>
      <c r="AB194" s="1373">
        <v>54</v>
      </c>
      <c r="AC194" s="1372">
        <v>2</v>
      </c>
      <c r="AD194" s="1372" t="s">
        <v>286</v>
      </c>
      <c r="AE194" s="1759" t="s">
        <v>708</v>
      </c>
      <c r="AF194" s="1375"/>
      <c r="AG194" s="1375"/>
      <c r="AH194" s="1375"/>
      <c r="AI194" s="1375">
        <v>2</v>
      </c>
      <c r="AJ194" s="1375"/>
      <c r="AK194" s="371"/>
      <c r="AL194" s="1363"/>
      <c r="AM194" s="1363"/>
      <c r="AN194" s="1363"/>
    </row>
    <row r="195" spans="1:40" ht="35.25" customHeight="1" outlineLevel="1">
      <c r="A195" s="647">
        <v>29</v>
      </c>
      <c r="B195" s="647" t="s">
        <v>709</v>
      </c>
      <c r="C195" s="647" t="s">
        <v>710</v>
      </c>
      <c r="D195" s="647" t="s">
        <v>401</v>
      </c>
      <c r="E195" s="647">
        <v>8</v>
      </c>
      <c r="F195" s="647" t="s">
        <v>260</v>
      </c>
      <c r="G195" s="182" t="s">
        <v>261</v>
      </c>
      <c r="H195" s="648"/>
      <c r="I195" s="648"/>
      <c r="J195" s="648"/>
      <c r="K195" s="648"/>
      <c r="L195" s="648"/>
      <c r="M195" s="648"/>
      <c r="N195" s="648"/>
      <c r="O195" s="648"/>
      <c r="P195" s="648"/>
      <c r="Q195" s="648"/>
      <c r="R195" s="648"/>
      <c r="S195" s="648"/>
      <c r="T195" s="648"/>
      <c r="U195" s="648"/>
      <c r="V195" s="649"/>
      <c r="W195" s="649"/>
      <c r="X195" s="649" t="s">
        <v>711</v>
      </c>
      <c r="Y195" s="649"/>
      <c r="Z195" s="595"/>
      <c r="AA195" s="647"/>
      <c r="AB195" s="595"/>
      <c r="AC195" s="647"/>
      <c r="AD195" s="647"/>
      <c r="AE195" s="649" t="s">
        <v>711</v>
      </c>
      <c r="AF195" s="647"/>
      <c r="AG195" s="647"/>
      <c r="AH195" s="647"/>
      <c r="AI195" s="647"/>
      <c r="AJ195" s="647"/>
      <c r="AK195" s="152"/>
      <c r="AL195" s="108" t="s">
        <v>712</v>
      </c>
    </row>
    <row r="196" spans="1:40" ht="30.75" customHeight="1" outlineLevel="1">
      <c r="B196" s="129"/>
      <c r="C196" s="101"/>
      <c r="D196" s="101"/>
      <c r="E196" s="101"/>
      <c r="F196" s="106"/>
      <c r="G196" s="182" t="s">
        <v>261</v>
      </c>
      <c r="H196" s="94"/>
      <c r="I196" s="94"/>
      <c r="J196" s="94"/>
      <c r="K196" s="94"/>
      <c r="L196" s="94"/>
      <c r="M196" s="94"/>
      <c r="N196" s="94"/>
      <c r="O196" s="94"/>
      <c r="P196" s="94"/>
      <c r="Q196" s="94"/>
      <c r="R196" s="94"/>
      <c r="S196" s="94"/>
      <c r="T196" s="94"/>
      <c r="U196" s="97"/>
      <c r="V196" s="117"/>
      <c r="W196" s="117"/>
      <c r="X196" s="1760" t="s">
        <v>713</v>
      </c>
      <c r="Y196" s="120" t="s">
        <v>714</v>
      </c>
      <c r="Z196" s="123">
        <v>0</v>
      </c>
      <c r="AA196" s="71">
        <v>0</v>
      </c>
      <c r="AB196" s="595">
        <f t="shared" ref="AB196:AB202" si="1">Z196*8+AA196</f>
        <v>0</v>
      </c>
      <c r="AC196" s="71">
        <v>16</v>
      </c>
      <c r="AD196" s="71"/>
      <c r="AE196" s="70"/>
      <c r="AF196" s="70"/>
      <c r="AG196" s="70"/>
      <c r="AH196" s="70"/>
      <c r="AI196" s="70"/>
      <c r="AJ196" s="71"/>
      <c r="AK196" s="80"/>
    </row>
    <row r="197" spans="1:40" ht="30.75" customHeight="1" outlineLevel="1">
      <c r="B197" s="129"/>
      <c r="C197" s="101"/>
      <c r="D197" s="101"/>
      <c r="E197" s="101"/>
      <c r="F197" s="106"/>
      <c r="G197" s="182" t="s">
        <v>261</v>
      </c>
      <c r="H197" s="94"/>
      <c r="I197" s="94"/>
      <c r="J197" s="94"/>
      <c r="K197" s="94"/>
      <c r="L197" s="94"/>
      <c r="M197" s="94"/>
      <c r="N197" s="94"/>
      <c r="O197" s="94"/>
      <c r="P197" s="94"/>
      <c r="Q197" s="94"/>
      <c r="R197" s="94"/>
      <c r="S197" s="94"/>
      <c r="T197" s="94"/>
      <c r="U197" s="97"/>
      <c r="V197" s="117"/>
      <c r="W197" s="117"/>
      <c r="X197" s="1761" t="s">
        <v>715</v>
      </c>
      <c r="Y197" s="644" t="s">
        <v>716</v>
      </c>
      <c r="Z197" s="625">
        <v>2</v>
      </c>
      <c r="AA197" s="595">
        <v>0</v>
      </c>
      <c r="AB197" s="595">
        <f t="shared" si="1"/>
        <v>16</v>
      </c>
      <c r="AC197" s="595">
        <v>8</v>
      </c>
      <c r="AD197" s="595"/>
      <c r="AE197" s="599"/>
      <c r="AF197" s="599"/>
      <c r="AG197" s="599"/>
      <c r="AH197" s="599"/>
      <c r="AI197" s="599"/>
      <c r="AJ197" s="595" t="s">
        <v>536</v>
      </c>
      <c r="AK197" s="80"/>
    </row>
    <row r="198" spans="1:40" ht="45.75" customHeight="1" outlineLevel="1">
      <c r="B198" s="129"/>
      <c r="C198" s="101"/>
      <c r="D198" s="101"/>
      <c r="E198" s="101"/>
      <c r="F198" s="106"/>
      <c r="G198" s="182" t="s">
        <v>261</v>
      </c>
      <c r="H198" s="94"/>
      <c r="I198" s="94"/>
      <c r="J198" s="94"/>
      <c r="K198" s="94"/>
      <c r="L198" s="94"/>
      <c r="M198" s="94"/>
      <c r="N198" s="94"/>
      <c r="O198" s="94"/>
      <c r="P198" s="94"/>
      <c r="Q198" s="94"/>
      <c r="R198" s="94"/>
      <c r="S198" s="94"/>
      <c r="T198" s="94"/>
      <c r="U198" s="97"/>
      <c r="V198" s="117"/>
      <c r="W198" s="117"/>
      <c r="X198" s="1762" t="s">
        <v>717</v>
      </c>
      <c r="Y198" s="644" t="s">
        <v>718</v>
      </c>
      <c r="Z198" s="625">
        <v>3</v>
      </c>
      <c r="AA198" s="595">
        <v>0</v>
      </c>
      <c r="AB198" s="595">
        <f t="shared" si="1"/>
        <v>24</v>
      </c>
      <c r="AC198" s="595">
        <v>8</v>
      </c>
      <c r="AD198" s="595"/>
      <c r="AE198" s="599"/>
      <c r="AF198" s="599"/>
      <c r="AG198" s="599"/>
      <c r="AH198" s="599"/>
      <c r="AI198" s="599"/>
      <c r="AJ198" s="595" t="s">
        <v>539</v>
      </c>
      <c r="AK198" s="80"/>
    </row>
    <row r="199" spans="1:40" ht="30.75" customHeight="1" outlineLevel="1">
      <c r="B199" s="129"/>
      <c r="C199" s="101"/>
      <c r="D199" s="101"/>
      <c r="E199" s="101"/>
      <c r="F199" s="106"/>
      <c r="G199" s="182" t="s">
        <v>261</v>
      </c>
      <c r="H199" s="94"/>
      <c r="I199" s="94"/>
      <c r="J199" s="94"/>
      <c r="K199" s="94"/>
      <c r="L199" s="94"/>
      <c r="M199" s="94"/>
      <c r="N199" s="94"/>
      <c r="O199" s="94"/>
      <c r="P199" s="94"/>
      <c r="Q199" s="94"/>
      <c r="R199" s="94"/>
      <c r="S199" s="94"/>
      <c r="T199" s="94"/>
      <c r="U199" s="97"/>
      <c r="V199" s="117"/>
      <c r="W199" s="117"/>
      <c r="X199" s="1763" t="s">
        <v>719</v>
      </c>
      <c r="Y199" s="644" t="s">
        <v>720</v>
      </c>
      <c r="Z199" s="625">
        <v>4</v>
      </c>
      <c r="AA199" s="595">
        <v>0</v>
      </c>
      <c r="AB199" s="595">
        <f t="shared" si="1"/>
        <v>32</v>
      </c>
      <c r="AC199" s="595">
        <v>8</v>
      </c>
      <c r="AD199" s="595"/>
      <c r="AE199" s="599"/>
      <c r="AF199" s="599"/>
      <c r="AG199" s="599"/>
      <c r="AH199" s="599"/>
      <c r="AI199" s="599"/>
      <c r="AJ199" s="595" t="s">
        <v>542</v>
      </c>
      <c r="AK199" s="80"/>
    </row>
    <row r="200" spans="1:40" s="111" customFormat="1" ht="14.25" customHeight="1">
      <c r="A200" s="49"/>
      <c r="B200" s="129"/>
      <c r="C200" s="101"/>
      <c r="D200" s="101"/>
      <c r="E200" s="101"/>
      <c r="F200" s="106"/>
      <c r="G200" s="182" t="s">
        <v>261</v>
      </c>
      <c r="H200" s="94"/>
      <c r="I200" s="94"/>
      <c r="J200" s="94"/>
      <c r="K200" s="94"/>
      <c r="L200" s="94"/>
      <c r="M200" s="94"/>
      <c r="N200" s="94"/>
      <c r="O200" s="94"/>
      <c r="P200" s="94"/>
      <c r="Q200" s="94"/>
      <c r="R200" s="94"/>
      <c r="S200" s="94"/>
      <c r="T200" s="94"/>
      <c r="U200" s="97"/>
      <c r="V200" s="117"/>
      <c r="W200" s="117"/>
      <c r="X200" s="1764" t="s">
        <v>721</v>
      </c>
      <c r="Y200" s="644" t="s">
        <v>722</v>
      </c>
      <c r="Z200" s="625">
        <v>5</v>
      </c>
      <c r="AA200" s="595">
        <v>0</v>
      </c>
      <c r="AB200" s="595">
        <f t="shared" si="1"/>
        <v>40</v>
      </c>
      <c r="AC200" s="595">
        <v>24</v>
      </c>
      <c r="AD200" s="595"/>
      <c r="AE200" s="599"/>
      <c r="AF200" s="599"/>
      <c r="AG200" s="599"/>
      <c r="AH200" s="599"/>
      <c r="AI200" s="599"/>
      <c r="AJ200" s="595" t="s">
        <v>545</v>
      </c>
      <c r="AK200" s="80"/>
      <c r="AL200" s="108"/>
      <c r="AM200" s="49"/>
      <c r="AN200" s="49"/>
    </row>
    <row r="201" spans="1:40" ht="35.25" customHeight="1" outlineLevel="1">
      <c r="A201" s="647">
        <v>30</v>
      </c>
      <c r="B201" s="647" t="s">
        <v>723</v>
      </c>
      <c r="C201" s="647" t="s">
        <v>724</v>
      </c>
      <c r="D201" s="647" t="s">
        <v>401</v>
      </c>
      <c r="E201" s="647">
        <v>8</v>
      </c>
      <c r="F201" s="647" t="s">
        <v>260</v>
      </c>
      <c r="G201" s="182" t="s">
        <v>261</v>
      </c>
      <c r="H201" s="648"/>
      <c r="I201" s="648"/>
      <c r="J201" s="648"/>
      <c r="K201" s="648"/>
      <c r="L201" s="648"/>
      <c r="M201" s="648"/>
      <c r="N201" s="648"/>
      <c r="O201" s="648"/>
      <c r="P201" s="648"/>
      <c r="Q201" s="648"/>
      <c r="R201" s="648"/>
      <c r="S201" s="648"/>
      <c r="T201" s="648"/>
      <c r="U201" s="648"/>
      <c r="V201" s="649"/>
      <c r="W201" s="649"/>
      <c r="X201" s="649" t="s">
        <v>725</v>
      </c>
      <c r="Y201" s="649"/>
      <c r="Z201" s="647"/>
      <c r="AA201" s="647"/>
      <c r="AB201" s="595">
        <f t="shared" si="1"/>
        <v>0</v>
      </c>
      <c r="AC201" s="647"/>
      <c r="AD201" s="647"/>
      <c r="AE201" s="649" t="s">
        <v>725</v>
      </c>
      <c r="AF201" s="647"/>
      <c r="AG201" s="647"/>
      <c r="AH201" s="647"/>
      <c r="AI201" s="647"/>
      <c r="AJ201" s="647"/>
      <c r="AK201" s="152"/>
      <c r="AL201" s="108" t="s">
        <v>712</v>
      </c>
      <c r="AM201" s="111"/>
      <c r="AN201" s="111"/>
    </row>
    <row r="202" spans="1:40" ht="180.75" customHeight="1" outlineLevel="1">
      <c r="B202" s="129"/>
      <c r="C202" s="101"/>
      <c r="D202" s="101"/>
      <c r="E202" s="101"/>
      <c r="F202" s="106"/>
      <c r="G202" s="182" t="s">
        <v>261</v>
      </c>
      <c r="H202" s="94"/>
      <c r="I202" s="94"/>
      <c r="J202" s="94"/>
      <c r="K202" s="94"/>
      <c r="L202" s="94"/>
      <c r="M202" s="94"/>
      <c r="N202" s="94"/>
      <c r="O202" s="94"/>
      <c r="P202" s="94"/>
      <c r="Q202" s="94"/>
      <c r="R202" s="94"/>
      <c r="S202" s="94"/>
      <c r="T202" s="94"/>
      <c r="U202" s="97"/>
      <c r="V202" s="117"/>
      <c r="W202" s="117"/>
      <c r="X202" s="1765" t="s">
        <v>596</v>
      </c>
      <c r="Y202" s="70" t="s">
        <v>726</v>
      </c>
      <c r="Z202" s="595">
        <v>0</v>
      </c>
      <c r="AA202" s="595">
        <v>0</v>
      </c>
      <c r="AB202" s="595">
        <f t="shared" si="1"/>
        <v>0</v>
      </c>
      <c r="AC202" s="101">
        <v>8</v>
      </c>
      <c r="AD202" s="129"/>
      <c r="AE202" s="1766" t="s">
        <v>727</v>
      </c>
      <c r="AF202" s="99"/>
      <c r="AG202" s="99"/>
      <c r="AH202" s="99"/>
      <c r="AI202" s="99"/>
      <c r="AJ202" s="140"/>
      <c r="AK202" s="1767" t="s">
        <v>600</v>
      </c>
    </row>
    <row r="203" spans="1:40" ht="30.75" customHeight="1" outlineLevel="1">
      <c r="B203" s="80"/>
      <c r="C203" s="80"/>
      <c r="D203" s="80"/>
      <c r="E203" s="80"/>
      <c r="F203" s="80"/>
      <c r="G203" s="182"/>
      <c r="H203" s="94"/>
      <c r="I203" s="94"/>
      <c r="J203" s="94"/>
      <c r="K203" s="94"/>
      <c r="L203" s="94"/>
      <c r="M203" s="94"/>
      <c r="N203" s="94"/>
      <c r="O203" s="94"/>
      <c r="P203" s="94"/>
      <c r="Q203" s="94"/>
      <c r="R203" s="94"/>
      <c r="S203" s="94"/>
      <c r="T203" s="94"/>
      <c r="U203" s="97"/>
      <c r="V203" s="117"/>
      <c r="W203" s="117"/>
      <c r="X203" s="1768" t="s">
        <v>601</v>
      </c>
      <c r="Y203" s="70" t="s">
        <v>728</v>
      </c>
      <c r="Z203" s="595"/>
      <c r="AA203" s="595"/>
      <c r="AB203" s="595">
        <v>8</v>
      </c>
      <c r="AC203" s="80">
        <v>8</v>
      </c>
      <c r="AD203" s="80"/>
      <c r="AE203" s="117"/>
      <c r="AF203" s="117"/>
      <c r="AG203" s="117"/>
      <c r="AH203" s="117"/>
      <c r="AI203" s="117"/>
      <c r="AJ203" s="80"/>
      <c r="AK203" s="80"/>
    </row>
    <row r="204" spans="1:40" ht="30.75" customHeight="1" outlineLevel="1">
      <c r="B204" s="80"/>
      <c r="C204" s="80"/>
      <c r="D204" s="80"/>
      <c r="E204" s="80"/>
      <c r="F204" s="80"/>
      <c r="G204" s="182"/>
      <c r="H204" s="94"/>
      <c r="I204" s="94"/>
      <c r="J204" s="94"/>
      <c r="K204" s="94"/>
      <c r="L204" s="94"/>
      <c r="M204" s="94"/>
      <c r="N204" s="94"/>
      <c r="O204" s="94"/>
      <c r="P204" s="94"/>
      <c r="Q204" s="94"/>
      <c r="R204" s="94"/>
      <c r="S204" s="94"/>
      <c r="T204" s="94"/>
      <c r="U204" s="97"/>
      <c r="V204" s="117"/>
      <c r="W204" s="117"/>
      <c r="X204" s="1769" t="s">
        <v>729</v>
      </c>
      <c r="Y204" s="70" t="s">
        <v>730</v>
      </c>
      <c r="Z204" s="595"/>
      <c r="AA204" s="595"/>
      <c r="AB204" s="595">
        <v>16</v>
      </c>
      <c r="AC204" s="80">
        <v>8</v>
      </c>
      <c r="AD204" s="80"/>
      <c r="AE204" s="117"/>
      <c r="AF204" s="117"/>
      <c r="AG204" s="117"/>
      <c r="AH204" s="117"/>
      <c r="AI204" s="117"/>
      <c r="AJ204" s="80"/>
      <c r="AK204" s="80"/>
    </row>
    <row r="205" spans="1:40" ht="30.75" customHeight="1" outlineLevel="1">
      <c r="B205" s="80"/>
      <c r="C205" s="80"/>
      <c r="D205" s="80"/>
      <c r="E205" s="80"/>
      <c r="F205" s="80"/>
      <c r="G205" s="182"/>
      <c r="H205" s="94"/>
      <c r="I205" s="94"/>
      <c r="J205" s="94"/>
      <c r="K205" s="94"/>
      <c r="L205" s="94"/>
      <c r="M205" s="94"/>
      <c r="N205" s="94"/>
      <c r="O205" s="94"/>
      <c r="P205" s="94"/>
      <c r="Q205" s="94"/>
      <c r="R205" s="94"/>
      <c r="S205" s="94"/>
      <c r="T205" s="94"/>
      <c r="U205" s="97"/>
      <c r="V205" s="117"/>
      <c r="W205" s="117"/>
      <c r="X205" s="1770" t="s">
        <v>731</v>
      </c>
      <c r="Y205" s="70" t="s">
        <v>732</v>
      </c>
      <c r="Z205" s="595"/>
      <c r="AA205" s="595"/>
      <c r="AB205" s="595">
        <v>24</v>
      </c>
      <c r="AC205" s="80">
        <v>8</v>
      </c>
      <c r="AD205" s="80"/>
      <c r="AE205" s="117"/>
      <c r="AF205" s="117"/>
      <c r="AG205" s="117"/>
      <c r="AH205" s="117"/>
      <c r="AI205" s="117"/>
      <c r="AJ205" s="80"/>
      <c r="AK205" s="80"/>
    </row>
    <row r="206" spans="1:40" ht="30.75" customHeight="1" outlineLevel="1">
      <c r="B206" s="80"/>
      <c r="C206" s="80"/>
      <c r="D206" s="80"/>
      <c r="E206" s="80"/>
      <c r="F206" s="80"/>
      <c r="G206" s="182"/>
      <c r="H206" s="94"/>
      <c r="I206" s="94"/>
      <c r="J206" s="94"/>
      <c r="K206" s="94"/>
      <c r="L206" s="94"/>
      <c r="M206" s="94"/>
      <c r="N206" s="94"/>
      <c r="O206" s="94"/>
      <c r="P206" s="94"/>
      <c r="Q206" s="94"/>
      <c r="R206" s="94"/>
      <c r="S206" s="94"/>
      <c r="T206" s="94"/>
      <c r="U206" s="97"/>
      <c r="V206" s="117"/>
      <c r="W206" s="117"/>
      <c r="X206" s="1771" t="s">
        <v>733</v>
      </c>
      <c r="Y206" s="70" t="s">
        <v>734</v>
      </c>
      <c r="Z206" s="595"/>
      <c r="AA206" s="595"/>
      <c r="AB206" s="595">
        <v>32</v>
      </c>
      <c r="AC206" s="80">
        <v>8</v>
      </c>
      <c r="AD206" s="80"/>
      <c r="AE206" s="117"/>
      <c r="AF206" s="117"/>
      <c r="AG206" s="117"/>
      <c r="AH206" s="117"/>
      <c r="AI206" s="117"/>
      <c r="AJ206" s="80"/>
      <c r="AK206" s="80"/>
    </row>
    <row r="207" spans="1:40" ht="30.75" customHeight="1" outlineLevel="1">
      <c r="B207" s="80"/>
      <c r="C207" s="80"/>
      <c r="D207" s="80"/>
      <c r="E207" s="80"/>
      <c r="F207" s="80"/>
      <c r="G207" s="182"/>
      <c r="H207" s="94"/>
      <c r="I207" s="94"/>
      <c r="J207" s="94"/>
      <c r="K207" s="94"/>
      <c r="L207" s="94"/>
      <c r="M207" s="94"/>
      <c r="N207" s="94"/>
      <c r="O207" s="94"/>
      <c r="P207" s="94"/>
      <c r="Q207" s="94"/>
      <c r="R207" s="94"/>
      <c r="S207" s="94"/>
      <c r="T207" s="94"/>
      <c r="U207" s="97"/>
      <c r="V207" s="117"/>
      <c r="W207" s="117"/>
      <c r="X207" s="1772" t="s">
        <v>735</v>
      </c>
      <c r="Y207" s="70" t="s">
        <v>736</v>
      </c>
      <c r="Z207" s="595"/>
      <c r="AA207" s="595"/>
      <c r="AB207" s="595">
        <v>40</v>
      </c>
      <c r="AC207" s="80">
        <v>8</v>
      </c>
      <c r="AD207" s="80"/>
      <c r="AE207" s="117"/>
      <c r="AF207" s="117"/>
      <c r="AG207" s="117"/>
      <c r="AH207" s="117"/>
      <c r="AI207" s="117"/>
      <c r="AJ207" s="80"/>
      <c r="AK207" s="80"/>
    </row>
    <row r="208" spans="1:40" ht="30.75" customHeight="1" outlineLevel="1">
      <c r="B208" s="80"/>
      <c r="C208" s="80"/>
      <c r="D208" s="80"/>
      <c r="E208" s="80"/>
      <c r="F208" s="80"/>
      <c r="G208" s="182"/>
      <c r="H208" s="94"/>
      <c r="I208" s="94"/>
      <c r="J208" s="94"/>
      <c r="K208" s="94"/>
      <c r="L208" s="94"/>
      <c r="M208" s="94"/>
      <c r="N208" s="94"/>
      <c r="O208" s="94"/>
      <c r="P208" s="94"/>
      <c r="Q208" s="94"/>
      <c r="R208" s="94"/>
      <c r="S208" s="94"/>
      <c r="T208" s="94"/>
      <c r="U208" s="97"/>
      <c r="V208" s="117"/>
      <c r="W208" s="117"/>
      <c r="X208" s="1773" t="s">
        <v>737</v>
      </c>
      <c r="Y208" s="70" t="s">
        <v>738</v>
      </c>
      <c r="Z208" s="595"/>
      <c r="AA208" s="595"/>
      <c r="AB208" s="595">
        <v>48</v>
      </c>
      <c r="AC208" s="80">
        <v>8</v>
      </c>
      <c r="AD208" s="80"/>
      <c r="AE208" s="117"/>
      <c r="AF208" s="117"/>
      <c r="AG208" s="117"/>
      <c r="AH208" s="117"/>
      <c r="AI208" s="117"/>
      <c r="AJ208" s="80"/>
      <c r="AK208" s="80"/>
    </row>
    <row r="209" spans="1:38" ht="14.25" customHeight="1">
      <c r="B209" s="80"/>
      <c r="C209" s="80"/>
      <c r="D209" s="80"/>
      <c r="E209" s="80"/>
      <c r="F209" s="80"/>
      <c r="G209" s="182"/>
      <c r="H209" s="94"/>
      <c r="I209" s="94"/>
      <c r="J209" s="94"/>
      <c r="K209" s="94"/>
      <c r="L209" s="94"/>
      <c r="M209" s="94"/>
      <c r="N209" s="94"/>
      <c r="O209" s="94"/>
      <c r="P209" s="94"/>
      <c r="Q209" s="94"/>
      <c r="R209" s="94"/>
      <c r="S209" s="94"/>
      <c r="T209" s="94"/>
      <c r="U209" s="97"/>
      <c r="V209" s="117"/>
      <c r="W209" s="117"/>
      <c r="X209" s="1774" t="s">
        <v>739</v>
      </c>
      <c r="Y209" s="70" t="s">
        <v>740</v>
      </c>
      <c r="Z209" s="595"/>
      <c r="AA209" s="595"/>
      <c r="AB209" s="595">
        <v>56</v>
      </c>
      <c r="AC209" s="80">
        <v>8</v>
      </c>
      <c r="AD209" s="80"/>
      <c r="AE209" s="117"/>
      <c r="AF209" s="117"/>
      <c r="AG209" s="117"/>
      <c r="AH209" s="117"/>
      <c r="AI209" s="117"/>
      <c r="AJ209" s="80"/>
      <c r="AK209" s="80"/>
    </row>
    <row r="210" spans="1:38" ht="35.25" customHeight="1" outlineLevel="1">
      <c r="A210" s="647">
        <v>31</v>
      </c>
      <c r="B210" s="647" t="s">
        <v>741</v>
      </c>
      <c r="C210" s="647" t="s">
        <v>742</v>
      </c>
      <c r="D210" s="647" t="s">
        <v>259</v>
      </c>
      <c r="E210" s="647">
        <v>8</v>
      </c>
      <c r="F210" s="647" t="s">
        <v>260</v>
      </c>
      <c r="G210" s="182" t="s">
        <v>261</v>
      </c>
      <c r="H210" s="647"/>
      <c r="I210" s="647"/>
      <c r="J210" s="647"/>
      <c r="K210" s="647"/>
      <c r="L210" s="647"/>
      <c r="M210" s="647"/>
      <c r="N210" s="647"/>
      <c r="O210" s="647"/>
      <c r="P210" s="647"/>
      <c r="Q210" s="647"/>
      <c r="R210" s="647"/>
      <c r="S210" s="647"/>
      <c r="T210" s="647"/>
      <c r="U210" s="647"/>
      <c r="V210" s="649"/>
      <c r="W210" s="649"/>
      <c r="X210" s="649" t="s">
        <v>743</v>
      </c>
      <c r="Y210" s="649"/>
      <c r="Z210" s="647"/>
      <c r="AA210" s="647"/>
      <c r="AB210" s="595">
        <f t="shared" ref="AB210:AB215" si="2">Z210*8+AA210</f>
        <v>0</v>
      </c>
      <c r="AC210" s="647"/>
      <c r="AD210" s="647"/>
      <c r="AE210" s="649" t="s">
        <v>744</v>
      </c>
      <c r="AF210" s="647"/>
      <c r="AG210" s="647"/>
      <c r="AH210" s="647"/>
      <c r="AI210" s="647"/>
      <c r="AJ210" s="647"/>
      <c r="AK210" s="152"/>
      <c r="AL210" s="108" t="s">
        <v>745</v>
      </c>
    </row>
    <row r="211" spans="1:38" ht="30.75" customHeight="1" outlineLevel="1">
      <c r="G211" s="182" t="s">
        <v>261</v>
      </c>
      <c r="H211" s="80"/>
      <c r="I211" s="80"/>
      <c r="J211" s="80"/>
      <c r="K211" s="80"/>
      <c r="L211" s="80"/>
      <c r="M211" s="80"/>
      <c r="N211" s="80"/>
      <c r="O211" s="80"/>
      <c r="P211" s="80"/>
      <c r="Q211" s="80"/>
      <c r="R211" s="80"/>
      <c r="S211" s="80"/>
      <c r="T211" s="80"/>
      <c r="X211" s="1775" t="s">
        <v>746</v>
      </c>
      <c r="Y211" s="228" t="s">
        <v>747</v>
      </c>
      <c r="Z211" s="595">
        <v>0</v>
      </c>
      <c r="AA211" s="595">
        <v>0</v>
      </c>
      <c r="AB211" s="595">
        <f t="shared" si="2"/>
        <v>0</v>
      </c>
      <c r="AC211" s="595">
        <v>1</v>
      </c>
      <c r="AD211" s="595"/>
      <c r="AE211" s="1776" t="s">
        <v>748</v>
      </c>
      <c r="AF211" s="590"/>
      <c r="AG211" s="590"/>
      <c r="AH211" s="590"/>
      <c r="AI211" s="590"/>
      <c r="AJ211" s="646"/>
      <c r="AK211" s="59"/>
    </row>
    <row r="212" spans="1:38" ht="30.75" customHeight="1" outlineLevel="1">
      <c r="G212" s="182" t="s">
        <v>261</v>
      </c>
      <c r="H212" s="80"/>
      <c r="I212" s="80"/>
      <c r="J212" s="80"/>
      <c r="K212" s="80"/>
      <c r="L212" s="80"/>
      <c r="M212" s="80"/>
      <c r="N212" s="80"/>
      <c r="O212" s="80"/>
      <c r="P212" s="80"/>
      <c r="Q212" s="80"/>
      <c r="R212" s="80"/>
      <c r="S212" s="80"/>
      <c r="T212" s="80"/>
      <c r="V212" s="117"/>
      <c r="W212" s="117"/>
      <c r="X212" s="1777" t="s">
        <v>749</v>
      </c>
      <c r="Y212" s="228" t="s">
        <v>750</v>
      </c>
      <c r="Z212" s="595">
        <v>0</v>
      </c>
      <c r="AA212" s="595">
        <v>1</v>
      </c>
      <c r="AB212" s="595">
        <f t="shared" si="2"/>
        <v>1</v>
      </c>
      <c r="AC212" s="595">
        <v>1</v>
      </c>
      <c r="AD212" s="595"/>
      <c r="AE212" s="1778" t="s">
        <v>748</v>
      </c>
      <c r="AF212" s="590"/>
      <c r="AG212" s="590"/>
      <c r="AH212" s="590"/>
      <c r="AI212" s="590"/>
      <c r="AJ212" s="646"/>
      <c r="AK212" s="59"/>
    </row>
    <row r="213" spans="1:38" ht="30.75" customHeight="1" outlineLevel="1">
      <c r="G213" s="182" t="s">
        <v>261</v>
      </c>
      <c r="H213" s="80"/>
      <c r="I213" s="80"/>
      <c r="J213" s="80"/>
      <c r="K213" s="80"/>
      <c r="L213" s="80"/>
      <c r="M213" s="80"/>
      <c r="N213" s="80"/>
      <c r="O213" s="80"/>
      <c r="P213" s="80"/>
      <c r="Q213" s="80"/>
      <c r="S213" s="80"/>
      <c r="T213" s="80"/>
      <c r="V213" s="117"/>
      <c r="W213" s="117"/>
      <c r="X213" s="1779" t="s">
        <v>751</v>
      </c>
      <c r="Y213" s="228" t="s">
        <v>752</v>
      </c>
      <c r="Z213" s="595">
        <v>0</v>
      </c>
      <c r="AA213" s="595">
        <v>2</v>
      </c>
      <c r="AB213" s="595">
        <f t="shared" si="2"/>
        <v>2</v>
      </c>
      <c r="AC213" s="595">
        <v>1</v>
      </c>
      <c r="AD213" s="595"/>
      <c r="AE213" s="1780" t="s">
        <v>753</v>
      </c>
      <c r="AF213" s="590"/>
      <c r="AG213" s="590"/>
      <c r="AH213" s="590"/>
      <c r="AI213" s="590"/>
      <c r="AJ213" s="646"/>
      <c r="AK213" s="59"/>
    </row>
    <row r="214" spans="1:38" ht="30.75" customHeight="1" outlineLevel="1">
      <c r="G214" s="182" t="s">
        <v>261</v>
      </c>
      <c r="H214" s="80"/>
      <c r="I214" s="80"/>
      <c r="J214" s="80"/>
      <c r="K214" s="80"/>
      <c r="L214" s="80"/>
      <c r="M214" s="80"/>
      <c r="N214" s="80"/>
      <c r="O214" s="80"/>
      <c r="P214" s="80"/>
      <c r="Q214" s="80"/>
      <c r="S214" s="80"/>
      <c r="T214" s="80"/>
      <c r="V214" s="117"/>
      <c r="W214" s="117"/>
      <c r="X214" s="1781" t="s">
        <v>754</v>
      </c>
      <c r="Y214" s="228" t="s">
        <v>755</v>
      </c>
      <c r="Z214" s="595">
        <v>0</v>
      </c>
      <c r="AA214" s="595">
        <v>3</v>
      </c>
      <c r="AB214" s="595">
        <f t="shared" si="2"/>
        <v>3</v>
      </c>
      <c r="AC214" s="595">
        <v>1</v>
      </c>
      <c r="AD214" s="595"/>
      <c r="AE214" s="1782" t="s">
        <v>756</v>
      </c>
      <c r="AF214" s="590"/>
      <c r="AG214" s="590"/>
      <c r="AH214" s="590"/>
      <c r="AI214" s="590"/>
      <c r="AJ214" s="646"/>
      <c r="AK214" s="59"/>
    </row>
    <row r="215" spans="1:38" ht="14.25" customHeight="1">
      <c r="G215" s="182" t="s">
        <v>261</v>
      </c>
      <c r="H215" s="80"/>
      <c r="I215" s="80"/>
      <c r="J215" s="80"/>
      <c r="K215" s="80"/>
      <c r="L215" s="80"/>
      <c r="M215" s="80"/>
      <c r="N215" s="80"/>
      <c r="O215" s="80"/>
      <c r="P215" s="80"/>
      <c r="Q215" s="80"/>
      <c r="S215" s="80"/>
      <c r="T215" s="80"/>
      <c r="X215" s="1783" t="s">
        <v>757</v>
      </c>
      <c r="Y215" s="228" t="s">
        <v>758</v>
      </c>
      <c r="Z215" s="595">
        <v>0</v>
      </c>
      <c r="AA215" s="595">
        <v>4</v>
      </c>
      <c r="AB215" s="595">
        <f t="shared" si="2"/>
        <v>4</v>
      </c>
      <c r="AC215" s="595">
        <v>1</v>
      </c>
      <c r="AD215" s="595"/>
      <c r="AE215" s="1784" t="s">
        <v>756</v>
      </c>
      <c r="AF215" s="590"/>
      <c r="AG215" s="590"/>
      <c r="AH215" s="590"/>
      <c r="AI215" s="590"/>
      <c r="AJ215" s="646"/>
      <c r="AK215" s="59">
        <v>20250225</v>
      </c>
      <c r="AL215" s="108" t="s">
        <v>759</v>
      </c>
    </row>
    <row r="216" spans="1:38" ht="18" customHeight="1" outlineLevel="1">
      <c r="A216" s="631">
        <v>32</v>
      </c>
      <c r="B216" s="631" t="s">
        <v>760</v>
      </c>
      <c r="C216" s="631" t="s">
        <v>761</v>
      </c>
      <c r="D216" s="631" t="s">
        <v>259</v>
      </c>
      <c r="E216" s="631">
        <v>8</v>
      </c>
      <c r="F216" s="631" t="s">
        <v>260</v>
      </c>
      <c r="G216" s="632"/>
      <c r="H216" s="631" t="s">
        <v>261</v>
      </c>
      <c r="I216" s="631"/>
      <c r="J216" s="631"/>
      <c r="K216" s="631"/>
      <c r="L216" s="631"/>
      <c r="M216" s="631"/>
      <c r="N216" s="631"/>
      <c r="O216" s="631" t="s">
        <v>325</v>
      </c>
      <c r="P216" s="631"/>
      <c r="Q216" s="631"/>
      <c r="R216" s="631"/>
      <c r="S216" s="631"/>
      <c r="T216" s="631"/>
      <c r="U216" s="631"/>
      <c r="V216" s="633"/>
      <c r="W216" s="633"/>
      <c r="X216" s="633" t="s">
        <v>762</v>
      </c>
      <c r="Y216" s="633"/>
      <c r="Z216" s="631"/>
      <c r="AA216" s="631"/>
      <c r="AB216" s="634">
        <v>0</v>
      </c>
      <c r="AC216" s="631"/>
      <c r="AD216" s="631"/>
      <c r="AE216" s="631"/>
      <c r="AF216" s="631"/>
      <c r="AG216" s="631"/>
      <c r="AH216" s="631"/>
      <c r="AI216" s="631"/>
      <c r="AJ216" s="631"/>
      <c r="AK216" s="128"/>
      <c r="AL216" s="108" t="s">
        <v>763</v>
      </c>
    </row>
    <row r="217" spans="1:38" ht="18" customHeight="1" outlineLevel="1">
      <c r="G217" s="360" t="s">
        <v>325</v>
      </c>
      <c r="H217" s="147" t="s">
        <v>261</v>
      </c>
      <c r="I217" s="147"/>
      <c r="J217" s="147"/>
      <c r="K217" s="147"/>
      <c r="L217" s="147"/>
      <c r="M217" s="147"/>
      <c r="N217" s="147"/>
      <c r="O217" s="147" t="s">
        <v>325</v>
      </c>
      <c r="P217" s="147"/>
      <c r="Q217" s="147"/>
      <c r="R217" s="147"/>
      <c r="S217" s="147"/>
      <c r="T217" s="147"/>
      <c r="V217" s="117"/>
      <c r="W217" s="117"/>
      <c r="X217" s="599" t="s">
        <v>764</v>
      </c>
      <c r="Y217" s="49" t="s">
        <v>765</v>
      </c>
      <c r="Z217" s="595">
        <v>0</v>
      </c>
      <c r="AA217" s="595">
        <v>0</v>
      </c>
      <c r="AB217" s="595">
        <v>0</v>
      </c>
      <c r="AC217" s="595">
        <v>8</v>
      </c>
      <c r="AD217" s="595"/>
      <c r="AE217" s="599" t="s">
        <v>766</v>
      </c>
      <c r="AF217" s="595">
        <v>1</v>
      </c>
      <c r="AG217" s="595">
        <v>0</v>
      </c>
      <c r="AH217" s="595" t="s">
        <v>767</v>
      </c>
      <c r="AI217" s="595"/>
      <c r="AJ217" s="650" t="s">
        <v>768</v>
      </c>
      <c r="AK217" s="127"/>
    </row>
    <row r="218" spans="1:38" ht="90.75" customHeight="1" outlineLevel="1">
      <c r="G218" s="360" t="s">
        <v>325</v>
      </c>
      <c r="H218" s="147" t="s">
        <v>261</v>
      </c>
      <c r="I218" s="147"/>
      <c r="J218" s="147"/>
      <c r="K218" s="147"/>
      <c r="L218" s="147"/>
      <c r="M218" s="147"/>
      <c r="N218" s="147"/>
      <c r="O218" s="147" t="s">
        <v>325</v>
      </c>
      <c r="P218" s="147"/>
      <c r="Q218" s="147"/>
      <c r="R218" s="147"/>
      <c r="S218" s="147"/>
      <c r="T218" s="147"/>
      <c r="V218" s="117"/>
      <c r="W218" s="117"/>
      <c r="X218" s="599" t="s">
        <v>769</v>
      </c>
      <c r="Y218" s="611" t="s">
        <v>770</v>
      </c>
      <c r="Z218" s="625">
        <v>1</v>
      </c>
      <c r="AA218" s="595">
        <v>0</v>
      </c>
      <c r="AB218" s="595">
        <v>8</v>
      </c>
      <c r="AC218" s="595">
        <v>4</v>
      </c>
      <c r="AD218" s="595"/>
      <c r="AE218" s="1785" t="s">
        <v>771</v>
      </c>
      <c r="AF218" s="595">
        <v>1</v>
      </c>
      <c r="AG218" s="595">
        <v>0</v>
      </c>
      <c r="AH218" s="595" t="s">
        <v>772</v>
      </c>
      <c r="AI218" s="595"/>
      <c r="AJ218" s="598"/>
      <c r="AK218" s="127"/>
    </row>
    <row r="219" spans="1:38" ht="105.75" customHeight="1" outlineLevel="1">
      <c r="G219" s="360" t="s">
        <v>325</v>
      </c>
      <c r="H219" s="147" t="s">
        <v>261</v>
      </c>
      <c r="I219" s="147"/>
      <c r="J219" s="147"/>
      <c r="K219" s="147"/>
      <c r="L219" s="147"/>
      <c r="M219" s="147"/>
      <c r="N219" s="147"/>
      <c r="O219" s="147" t="s">
        <v>325</v>
      </c>
      <c r="P219" s="147"/>
      <c r="Q219" s="147"/>
      <c r="R219" s="147"/>
      <c r="S219" s="147"/>
      <c r="T219" s="147"/>
      <c r="V219" s="117"/>
      <c r="W219" s="117"/>
      <c r="X219" s="599" t="s">
        <v>773</v>
      </c>
      <c r="Y219" s="611" t="s">
        <v>774</v>
      </c>
      <c r="Z219" s="625">
        <v>1</v>
      </c>
      <c r="AA219" s="595">
        <v>4</v>
      </c>
      <c r="AB219" s="595">
        <v>12</v>
      </c>
      <c r="AC219" s="595">
        <v>3</v>
      </c>
      <c r="AD219" s="595"/>
      <c r="AE219" s="1786" t="s">
        <v>775</v>
      </c>
      <c r="AF219" s="595">
        <v>1</v>
      </c>
      <c r="AG219" s="595">
        <v>0</v>
      </c>
      <c r="AH219" s="595" t="s">
        <v>776</v>
      </c>
      <c r="AI219" s="595"/>
      <c r="AJ219" s="598"/>
      <c r="AK219" s="127"/>
    </row>
    <row r="220" spans="1:38" ht="60.75" customHeight="1" outlineLevel="1">
      <c r="G220" s="360" t="s">
        <v>325</v>
      </c>
      <c r="H220" s="147" t="s">
        <v>261</v>
      </c>
      <c r="I220" s="147"/>
      <c r="J220" s="147"/>
      <c r="K220" s="147"/>
      <c r="L220" s="147"/>
      <c r="M220" s="147"/>
      <c r="N220" s="147"/>
      <c r="O220" s="147" t="s">
        <v>325</v>
      </c>
      <c r="P220" s="147"/>
      <c r="Q220" s="147"/>
      <c r="R220" s="147"/>
      <c r="S220" s="147"/>
      <c r="T220" s="147"/>
      <c r="V220" s="117"/>
      <c r="W220" s="117"/>
      <c r="X220" s="599" t="s">
        <v>777</v>
      </c>
      <c r="Y220" s="651" t="s">
        <v>778</v>
      </c>
      <c r="Z220" s="625">
        <v>2</v>
      </c>
      <c r="AA220" s="595">
        <v>0</v>
      </c>
      <c r="AB220" s="595">
        <v>16</v>
      </c>
      <c r="AC220" s="595">
        <v>2</v>
      </c>
      <c r="AD220" s="595"/>
      <c r="AE220" s="1787" t="s">
        <v>779</v>
      </c>
      <c r="AF220" s="595">
        <v>1</v>
      </c>
      <c r="AG220" s="595">
        <v>0</v>
      </c>
      <c r="AH220" s="595" t="s">
        <v>780</v>
      </c>
      <c r="AI220" s="595"/>
      <c r="AJ220" s="598"/>
      <c r="AK220" s="127"/>
      <c r="AL220" s="108" t="s">
        <v>781</v>
      </c>
    </row>
    <row r="221" spans="1:38" ht="14.25" customHeight="1" outlineLevel="1">
      <c r="G221" s="361" t="s">
        <v>325</v>
      </c>
      <c r="H221" s="148" t="s">
        <v>261</v>
      </c>
      <c r="I221" s="148"/>
      <c r="J221" s="148"/>
      <c r="K221" s="148"/>
      <c r="L221" s="148"/>
      <c r="M221" s="148"/>
      <c r="N221" s="148"/>
      <c r="O221" s="148" t="s">
        <v>325</v>
      </c>
      <c r="P221" s="148"/>
      <c r="Q221" s="148"/>
      <c r="R221" s="148"/>
      <c r="S221" s="148"/>
      <c r="T221" s="148"/>
      <c r="V221" s="117"/>
      <c r="W221" s="117"/>
      <c r="X221" s="599" t="s">
        <v>782</v>
      </c>
      <c r="Y221" s="644" t="s">
        <v>783</v>
      </c>
      <c r="Z221" s="625">
        <v>2</v>
      </c>
      <c r="AA221" s="595">
        <v>2</v>
      </c>
      <c r="AB221" s="595">
        <v>18</v>
      </c>
      <c r="AC221" s="595">
        <v>3</v>
      </c>
      <c r="AD221" s="595"/>
      <c r="AE221" s="1788" t="s">
        <v>784</v>
      </c>
      <c r="AF221" s="595"/>
      <c r="AG221" s="595"/>
      <c r="AH221" s="595"/>
      <c r="AI221" s="595"/>
      <c r="AJ221" s="598"/>
      <c r="AK221" s="127"/>
    </row>
    <row r="222" spans="1:38" ht="14.25" customHeight="1" outlineLevel="1">
      <c r="G222" s="652" t="s">
        <v>325</v>
      </c>
      <c r="H222" s="646" t="s">
        <v>261</v>
      </c>
      <c r="I222" s="646"/>
      <c r="J222" s="646"/>
      <c r="K222" s="646"/>
      <c r="L222" s="646"/>
      <c r="M222" s="646"/>
      <c r="N222" s="646"/>
      <c r="O222" s="646" t="s">
        <v>325</v>
      </c>
      <c r="P222" s="646"/>
      <c r="Q222" s="646"/>
      <c r="R222" s="646"/>
      <c r="S222" s="646"/>
      <c r="T222" s="646"/>
      <c r="U222" s="609"/>
      <c r="V222" s="599"/>
      <c r="W222" s="599"/>
      <c r="X222" s="599" t="s">
        <v>785</v>
      </c>
      <c r="Y222" s="651" t="s">
        <v>786</v>
      </c>
      <c r="Z222" s="595">
        <v>2</v>
      </c>
      <c r="AA222" s="595">
        <v>5</v>
      </c>
      <c r="AB222" s="595">
        <v>21</v>
      </c>
      <c r="AC222" s="595">
        <v>1</v>
      </c>
      <c r="AD222" s="595"/>
      <c r="AE222" s="599" t="s">
        <v>787</v>
      </c>
      <c r="AF222" s="595">
        <v>1</v>
      </c>
      <c r="AG222" s="595">
        <v>0</v>
      </c>
      <c r="AH222" s="595"/>
      <c r="AI222" s="595"/>
      <c r="AJ222" s="598"/>
      <c r="AK222" s="127"/>
    </row>
    <row r="223" spans="1:38" ht="18" customHeight="1" outlineLevel="1">
      <c r="G223" s="652" t="s">
        <v>325</v>
      </c>
      <c r="H223" s="646" t="s">
        <v>261</v>
      </c>
      <c r="I223" s="646"/>
      <c r="J223" s="646"/>
      <c r="K223" s="646"/>
      <c r="L223" s="646"/>
      <c r="M223" s="646"/>
      <c r="N223" s="646"/>
      <c r="O223" s="646" t="s">
        <v>325</v>
      </c>
      <c r="P223" s="646"/>
      <c r="Q223" s="646"/>
      <c r="R223" s="646"/>
      <c r="S223" s="646"/>
      <c r="T223" s="646"/>
      <c r="U223" s="609"/>
      <c r="V223" s="599"/>
      <c r="W223" s="599"/>
      <c r="X223" s="653" t="s">
        <v>788</v>
      </c>
      <c r="Y223" s="653" t="s">
        <v>789</v>
      </c>
      <c r="Z223" s="634">
        <v>2</v>
      </c>
      <c r="AA223" s="634">
        <v>6</v>
      </c>
      <c r="AB223" s="634">
        <v>22</v>
      </c>
      <c r="AC223" s="634">
        <v>1</v>
      </c>
      <c r="AD223" s="634"/>
      <c r="AE223" s="653" t="s">
        <v>790</v>
      </c>
      <c r="AF223" s="634">
        <v>1</v>
      </c>
      <c r="AG223" s="634">
        <v>0</v>
      </c>
      <c r="AH223" s="634"/>
      <c r="AI223" s="634"/>
      <c r="AJ223" s="654"/>
      <c r="AK223" s="127"/>
    </row>
    <row r="224" spans="1:38" ht="30.75" customHeight="1" outlineLevel="1">
      <c r="G224" s="652" t="s">
        <v>325</v>
      </c>
      <c r="H224" s="646" t="s">
        <v>261</v>
      </c>
      <c r="I224" s="646"/>
      <c r="J224" s="646"/>
      <c r="K224" s="646"/>
      <c r="L224" s="646"/>
      <c r="M224" s="646"/>
      <c r="N224" s="646"/>
      <c r="O224" s="646" t="s">
        <v>325</v>
      </c>
      <c r="P224" s="646"/>
      <c r="Q224" s="646"/>
      <c r="R224" s="646"/>
      <c r="S224" s="646"/>
      <c r="T224" s="646"/>
      <c r="U224" s="609"/>
      <c r="V224" s="599"/>
      <c r="W224" s="599"/>
      <c r="X224" s="1789" t="s">
        <v>791</v>
      </c>
      <c r="Y224" s="653" t="s">
        <v>792</v>
      </c>
      <c r="Z224" s="634">
        <v>2</v>
      </c>
      <c r="AA224" s="634">
        <v>7</v>
      </c>
      <c r="AB224" s="634">
        <v>23</v>
      </c>
      <c r="AC224" s="634">
        <v>1</v>
      </c>
      <c r="AD224" s="634"/>
      <c r="AE224" s="653" t="s">
        <v>793</v>
      </c>
      <c r="AF224" s="634">
        <v>1</v>
      </c>
      <c r="AG224" s="634">
        <v>0</v>
      </c>
      <c r="AH224" s="634"/>
      <c r="AI224" s="634"/>
      <c r="AJ224" s="654"/>
      <c r="AK224" s="127"/>
      <c r="AL224" s="108" t="s">
        <v>794</v>
      </c>
    </row>
    <row r="225" spans="1:40" ht="60.75" customHeight="1" outlineLevel="1">
      <c r="G225" s="435"/>
      <c r="H225" s="59"/>
      <c r="I225" s="59"/>
      <c r="J225" s="59"/>
      <c r="K225" s="59"/>
      <c r="L225" s="59"/>
      <c r="M225" s="59"/>
      <c r="N225" s="59"/>
      <c r="O225" s="59"/>
      <c r="P225" s="59"/>
      <c r="Q225" s="59"/>
      <c r="R225" s="59"/>
      <c r="S225" s="59"/>
      <c r="T225" s="59"/>
      <c r="V225" s="117"/>
      <c r="W225" s="117"/>
      <c r="X225" s="1790" t="s">
        <v>795</v>
      </c>
      <c r="Y225" s="436" t="s">
        <v>796</v>
      </c>
      <c r="Z225" s="139">
        <v>3</v>
      </c>
      <c r="AA225" s="139">
        <v>0</v>
      </c>
      <c r="AB225" s="139">
        <v>24</v>
      </c>
      <c r="AC225" s="139">
        <v>2</v>
      </c>
      <c r="AD225" s="139"/>
      <c r="AE225" s="1791" t="s">
        <v>779</v>
      </c>
      <c r="AF225" s="655">
        <v>1</v>
      </c>
      <c r="AG225" s="655">
        <v>0</v>
      </c>
      <c r="AH225" s="655" t="s">
        <v>780</v>
      </c>
      <c r="AI225" s="655"/>
      <c r="AJ225" s="656"/>
      <c r="AK225" s="136"/>
      <c r="AL225" s="113" t="s">
        <v>797</v>
      </c>
    </row>
    <row r="226" spans="1:40" s="254" customFormat="1" ht="14.25" customHeight="1" outlineLevel="1">
      <c r="A226" s="49"/>
      <c r="B226" s="49"/>
      <c r="C226" s="49"/>
      <c r="D226" s="49"/>
      <c r="E226" s="49"/>
      <c r="F226" s="49"/>
      <c r="G226" s="435"/>
      <c r="H226" s="59"/>
      <c r="I226" s="59"/>
      <c r="J226" s="59"/>
      <c r="K226" s="59"/>
      <c r="L226" s="59"/>
      <c r="M226" s="59"/>
      <c r="N226" s="59"/>
      <c r="O226" s="59"/>
      <c r="P226" s="59"/>
      <c r="Q226" s="59"/>
      <c r="R226" s="59"/>
      <c r="S226" s="59"/>
      <c r="T226" s="59"/>
      <c r="U226" s="49"/>
      <c r="V226" s="117"/>
      <c r="W226" s="117"/>
      <c r="X226" s="1792" t="s">
        <v>798</v>
      </c>
      <c r="Y226" s="436" t="s">
        <v>799</v>
      </c>
      <c r="Z226" s="139">
        <v>3</v>
      </c>
      <c r="AA226" s="139">
        <v>2</v>
      </c>
      <c r="AB226" s="139">
        <v>26</v>
      </c>
      <c r="AC226" s="139">
        <v>6</v>
      </c>
      <c r="AD226" s="139"/>
      <c r="AE226" s="437" t="s">
        <v>800</v>
      </c>
      <c r="AF226" s="437"/>
      <c r="AG226" s="437" t="s">
        <v>398</v>
      </c>
      <c r="AH226" s="437" t="s">
        <v>801</v>
      </c>
      <c r="AI226" s="438" t="s">
        <v>398</v>
      </c>
      <c r="AJ226" s="437" t="s">
        <v>409</v>
      </c>
      <c r="AK226" s="136"/>
      <c r="AL226" s="113"/>
      <c r="AM226" s="49"/>
      <c r="AN226" s="49"/>
    </row>
    <row r="227" spans="1:40" s="110" customFormat="1" ht="14.25" customHeight="1">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c r="AJ227" s="254"/>
      <c r="AK227" s="254"/>
      <c r="AL227" s="5"/>
      <c r="AM227" s="254"/>
      <c r="AN227" s="254"/>
    </row>
    <row r="228" spans="1:40" s="110" customFormat="1" ht="35.25" customHeight="1" outlineLevel="1">
      <c r="A228" s="657">
        <v>31</v>
      </c>
      <c r="B228" s="657" t="s">
        <v>802</v>
      </c>
      <c r="C228" s="657" t="s">
        <v>803</v>
      </c>
      <c r="D228" s="657" t="s">
        <v>259</v>
      </c>
      <c r="E228" s="657">
        <v>8</v>
      </c>
      <c r="F228" s="657" t="s">
        <v>260</v>
      </c>
      <c r="G228" s="658" t="s">
        <v>325</v>
      </c>
      <c r="H228" s="657"/>
      <c r="I228" s="657"/>
      <c r="J228" s="657"/>
      <c r="K228" s="657"/>
      <c r="L228" s="657"/>
      <c r="M228" s="657"/>
      <c r="N228" s="657"/>
      <c r="O228" s="657"/>
      <c r="P228" s="657"/>
      <c r="Q228" s="657"/>
      <c r="R228" s="657"/>
      <c r="S228" s="657"/>
      <c r="T228" s="657"/>
      <c r="U228" s="657"/>
      <c r="V228" s="659"/>
      <c r="W228" s="659"/>
      <c r="X228" s="659" t="s">
        <v>804</v>
      </c>
      <c r="Y228" s="659"/>
      <c r="Z228" s="657"/>
      <c r="AA228" s="657"/>
      <c r="AB228" s="595">
        <f>Z228*8+AA228</f>
        <v>0</v>
      </c>
      <c r="AC228" s="657"/>
      <c r="AD228" s="657"/>
      <c r="AE228" s="659" t="s">
        <v>805</v>
      </c>
      <c r="AF228" s="657"/>
      <c r="AG228" s="657"/>
      <c r="AH228" s="657"/>
      <c r="AI228" s="657"/>
      <c r="AJ228" s="657"/>
      <c r="AK228" s="153">
        <v>20250225</v>
      </c>
      <c r="AL228" s="341" t="s">
        <v>806</v>
      </c>
    </row>
    <row r="229" spans="1:40" s="110" customFormat="1" ht="30.75" customHeight="1" outlineLevel="1">
      <c r="G229" s="359" t="s">
        <v>325</v>
      </c>
      <c r="H229" s="88"/>
      <c r="I229" s="88"/>
      <c r="J229" s="88"/>
      <c r="K229" s="88"/>
      <c r="L229" s="88"/>
      <c r="M229" s="88"/>
      <c r="N229" s="88"/>
      <c r="O229" s="88"/>
      <c r="P229" s="88"/>
      <c r="Q229" s="88"/>
      <c r="R229" s="88"/>
      <c r="S229" s="88"/>
      <c r="T229" s="88"/>
      <c r="V229" s="149"/>
      <c r="W229" s="149"/>
      <c r="X229" s="1793" t="s">
        <v>757</v>
      </c>
      <c r="Y229" s="660"/>
      <c r="Z229" s="603">
        <v>0</v>
      </c>
      <c r="AA229" s="603">
        <v>0</v>
      </c>
      <c r="AB229" s="595">
        <f>Z229*8+AA229</f>
        <v>0</v>
      </c>
      <c r="AC229" s="603">
        <v>1</v>
      </c>
      <c r="AD229" s="603"/>
      <c r="AE229" s="1794" t="s">
        <v>807</v>
      </c>
      <c r="AF229" s="661"/>
      <c r="AG229" s="661"/>
      <c r="AH229" s="661"/>
      <c r="AI229" s="661"/>
      <c r="AJ229" s="662"/>
      <c r="AK229" s="154"/>
      <c r="AL229" s="341"/>
    </row>
    <row r="230" spans="1:40" s="110" customFormat="1" ht="30.75" customHeight="1" outlineLevel="1">
      <c r="G230" s="359" t="s">
        <v>325</v>
      </c>
      <c r="H230" s="88"/>
      <c r="I230" s="88"/>
      <c r="J230" s="88"/>
      <c r="K230" s="88"/>
      <c r="L230" s="88"/>
      <c r="M230" s="88"/>
      <c r="N230" s="88"/>
      <c r="O230" s="88"/>
      <c r="P230" s="88"/>
      <c r="Q230" s="88"/>
      <c r="R230" s="88"/>
      <c r="S230" s="88"/>
      <c r="T230" s="88"/>
      <c r="V230" s="118"/>
      <c r="W230" s="118"/>
      <c r="X230" s="537" t="s">
        <v>808</v>
      </c>
      <c r="Y230" s="537"/>
      <c r="Z230" s="603">
        <v>0</v>
      </c>
      <c r="AA230" s="603">
        <v>1</v>
      </c>
      <c r="AB230" s="595">
        <f>Z230*8+AA230</f>
        <v>1</v>
      </c>
      <c r="AC230" s="603">
        <v>1</v>
      </c>
      <c r="AD230" s="603"/>
      <c r="AE230" s="1795" t="s">
        <v>748</v>
      </c>
      <c r="AF230" s="661"/>
      <c r="AG230" s="661"/>
      <c r="AH230" s="661"/>
      <c r="AI230" s="661"/>
      <c r="AJ230" s="662"/>
      <c r="AK230" s="154"/>
      <c r="AL230" s="341"/>
    </row>
    <row r="231" spans="1:40" ht="14.25" customHeight="1">
      <c r="A231" s="110"/>
      <c r="B231" s="110"/>
      <c r="C231" s="110"/>
      <c r="D231" s="110"/>
      <c r="E231" s="110"/>
      <c r="F231" s="110"/>
      <c r="G231" s="359" t="s">
        <v>325</v>
      </c>
      <c r="H231" s="88"/>
      <c r="I231" s="88"/>
      <c r="J231" s="88"/>
      <c r="K231" s="88"/>
      <c r="L231" s="88"/>
      <c r="M231" s="88"/>
      <c r="N231" s="88"/>
      <c r="O231" s="88"/>
      <c r="P231" s="88"/>
      <c r="Q231" s="88"/>
      <c r="R231" s="110"/>
      <c r="S231" s="88"/>
      <c r="T231" s="88"/>
      <c r="U231" s="110"/>
      <c r="V231" s="118"/>
      <c r="W231" s="118"/>
      <c r="X231" s="537" t="s">
        <v>809</v>
      </c>
      <c r="Y231" s="537"/>
      <c r="Z231" s="603">
        <v>0</v>
      </c>
      <c r="AA231" s="603">
        <v>2</v>
      </c>
      <c r="AB231" s="595">
        <f>Z231*8+AA231</f>
        <v>2</v>
      </c>
      <c r="AC231" s="603">
        <v>1</v>
      </c>
      <c r="AD231" s="603"/>
      <c r="AE231" s="1796" t="s">
        <v>753</v>
      </c>
      <c r="AF231" s="661"/>
      <c r="AG231" s="661"/>
      <c r="AH231" s="661"/>
      <c r="AI231" s="661"/>
      <c r="AJ231" s="662"/>
      <c r="AK231" s="154"/>
      <c r="AL231" s="341"/>
      <c r="AM231" s="110"/>
      <c r="AN231" s="110"/>
    </row>
    <row r="232" spans="1:40" s="14" customFormat="1" ht="18" customHeight="1" outlineLevel="1">
      <c r="A232" s="622">
        <v>33</v>
      </c>
      <c r="B232" s="622" t="s">
        <v>810</v>
      </c>
      <c r="C232" s="622" t="s">
        <v>811</v>
      </c>
      <c r="D232" s="622" t="s">
        <v>259</v>
      </c>
      <c r="E232" s="622">
        <v>8</v>
      </c>
      <c r="F232" s="622" t="s">
        <v>260</v>
      </c>
      <c r="G232" s="623" t="s">
        <v>325</v>
      </c>
      <c r="H232" s="622" t="s">
        <v>261</v>
      </c>
      <c r="I232" s="622"/>
      <c r="J232" s="622"/>
      <c r="K232" s="622"/>
      <c r="L232" s="622"/>
      <c r="M232" s="622"/>
      <c r="N232" s="622"/>
      <c r="O232" s="622"/>
      <c r="P232" s="622" t="s">
        <v>325</v>
      </c>
      <c r="Q232" s="622"/>
      <c r="R232" s="622"/>
      <c r="S232" s="622"/>
      <c r="T232" s="622"/>
      <c r="U232" s="622"/>
      <c r="V232" s="597"/>
      <c r="W232" s="597"/>
      <c r="X232" s="597" t="s">
        <v>812</v>
      </c>
      <c r="Y232" s="597"/>
      <c r="Z232" s="622"/>
      <c r="AA232" s="663"/>
      <c r="AB232" s="664"/>
      <c r="AC232" s="665"/>
      <c r="AD232" s="597"/>
      <c r="AE232" s="597" t="s">
        <v>651</v>
      </c>
      <c r="AF232" s="597"/>
      <c r="AG232" s="597"/>
      <c r="AH232" s="597"/>
      <c r="AI232" s="622"/>
      <c r="AJ232" s="622"/>
      <c r="AK232" s="125">
        <v>20250818</v>
      </c>
      <c r="AL232" s="108"/>
      <c r="AM232" s="49"/>
      <c r="AN232" s="49"/>
    </row>
    <row r="233" spans="1:40" s="14" customFormat="1" ht="27.75" customHeight="1" outlineLevel="1">
      <c r="A233" s="49"/>
      <c r="B233" s="80"/>
      <c r="C233" s="80"/>
      <c r="D233" s="80"/>
      <c r="E233" s="80"/>
      <c r="F233" s="80"/>
      <c r="G233" s="182" t="s">
        <v>325</v>
      </c>
      <c r="H233" s="80" t="s">
        <v>261</v>
      </c>
      <c r="I233" s="80"/>
      <c r="J233" s="80"/>
      <c r="K233" s="80"/>
      <c r="L233" s="80"/>
      <c r="M233" s="80"/>
      <c r="N233" s="80"/>
      <c r="O233" s="80"/>
      <c r="P233" s="80" t="s">
        <v>325</v>
      </c>
      <c r="Q233" s="80"/>
      <c r="R233" s="80"/>
      <c r="S233" s="80"/>
      <c r="T233" s="80"/>
      <c r="U233" s="80"/>
      <c r="V233" s="130"/>
      <c r="W233" s="130"/>
      <c r="X233" s="1797" t="s">
        <v>813</v>
      </c>
      <c r="Y233" s="228" t="s">
        <v>814</v>
      </c>
      <c r="Z233" s="666"/>
      <c r="AA233" s="634"/>
      <c r="AB233" s="634">
        <v>0</v>
      </c>
      <c r="AC233" s="634">
        <v>1</v>
      </c>
      <c r="AD233" s="634"/>
      <c r="AE233" s="1798" t="s">
        <v>815</v>
      </c>
      <c r="AF233" s="595"/>
      <c r="AG233" s="595"/>
      <c r="AH233" s="595"/>
      <c r="AI233" s="595"/>
      <c r="AJ233" s="595"/>
      <c r="AK233" s="125">
        <v>20250818</v>
      </c>
      <c r="AL233" s="108"/>
    </row>
    <row r="234" spans="1:40" s="14" customFormat="1" ht="45.75" customHeight="1" outlineLevel="1">
      <c r="A234" s="49"/>
      <c r="B234" s="49"/>
      <c r="C234" s="49"/>
      <c r="D234" s="49"/>
      <c r="E234" s="49"/>
      <c r="F234" s="49"/>
      <c r="G234" s="182" t="s">
        <v>325</v>
      </c>
      <c r="H234" s="80" t="s">
        <v>261</v>
      </c>
      <c r="I234" s="80"/>
      <c r="J234" s="80"/>
      <c r="K234" s="80"/>
      <c r="L234" s="80"/>
      <c r="M234" s="80"/>
      <c r="N234" s="80"/>
      <c r="O234" s="80"/>
      <c r="P234" s="80" t="s">
        <v>325</v>
      </c>
      <c r="Q234" s="80"/>
      <c r="R234" s="80"/>
      <c r="S234" s="80"/>
      <c r="T234" s="80"/>
      <c r="U234" s="80"/>
      <c r="V234" s="117"/>
      <c r="W234" s="117"/>
      <c r="X234" s="1799" t="s">
        <v>816</v>
      </c>
      <c r="Y234" s="228" t="s">
        <v>817</v>
      </c>
      <c r="Z234" s="625"/>
      <c r="AA234" s="595"/>
      <c r="AB234" s="634">
        <v>1</v>
      </c>
      <c r="AC234" s="634">
        <v>1</v>
      </c>
      <c r="AD234" s="599"/>
      <c r="AE234" s="1800" t="s">
        <v>815</v>
      </c>
      <c r="AF234" s="595"/>
      <c r="AG234" s="595"/>
      <c r="AH234" s="595"/>
      <c r="AI234" s="598"/>
      <c r="AJ234" s="595"/>
      <c r="AK234" s="125">
        <v>20250818</v>
      </c>
      <c r="AL234" s="108"/>
    </row>
    <row r="235" spans="1:40" s="14" customFormat="1" ht="45.75" customHeight="1" outlineLevel="1">
      <c r="A235" s="49"/>
      <c r="B235" s="49"/>
      <c r="C235" s="49"/>
      <c r="D235" s="49"/>
      <c r="E235" s="49"/>
      <c r="F235" s="49"/>
      <c r="G235" s="182" t="s">
        <v>325</v>
      </c>
      <c r="H235" s="80" t="s">
        <v>261</v>
      </c>
      <c r="I235" s="80"/>
      <c r="J235" s="80"/>
      <c r="K235" s="80"/>
      <c r="L235" s="80"/>
      <c r="M235" s="80"/>
      <c r="N235" s="80"/>
      <c r="O235" s="80"/>
      <c r="P235" s="80" t="s">
        <v>325</v>
      </c>
      <c r="Q235" s="80"/>
      <c r="R235" s="80"/>
      <c r="S235" s="80"/>
      <c r="T235" s="80"/>
      <c r="U235" s="80"/>
      <c r="V235" s="117"/>
      <c r="W235" s="117"/>
      <c r="X235" s="1801" t="s">
        <v>818</v>
      </c>
      <c r="Y235" s="228" t="s">
        <v>819</v>
      </c>
      <c r="Z235" s="625"/>
      <c r="AA235" s="595"/>
      <c r="AB235" s="634">
        <v>2</v>
      </c>
      <c r="AC235" s="634">
        <v>1</v>
      </c>
      <c r="AD235" s="599"/>
      <c r="AE235" s="1802" t="s">
        <v>815</v>
      </c>
      <c r="AF235" s="595"/>
      <c r="AG235" s="595"/>
      <c r="AH235" s="595"/>
      <c r="AI235" s="598"/>
      <c r="AJ235" s="595"/>
      <c r="AK235" s="125">
        <v>20250818</v>
      </c>
      <c r="AL235" s="108"/>
    </row>
    <row r="236" spans="1:40" s="14" customFormat="1" ht="45.75" customHeight="1" outlineLevel="1">
      <c r="A236" s="49"/>
      <c r="B236" s="49"/>
      <c r="C236" s="49"/>
      <c r="D236" s="49"/>
      <c r="E236" s="49"/>
      <c r="F236" s="49"/>
      <c r="G236" s="182" t="s">
        <v>325</v>
      </c>
      <c r="H236" s="80" t="s">
        <v>261</v>
      </c>
      <c r="I236" s="80"/>
      <c r="J236" s="80"/>
      <c r="K236" s="80"/>
      <c r="L236" s="80"/>
      <c r="M236" s="80"/>
      <c r="N236" s="80"/>
      <c r="O236" s="80"/>
      <c r="P236" s="80" t="s">
        <v>325</v>
      </c>
      <c r="Q236" s="80"/>
      <c r="R236" s="80"/>
      <c r="S236" s="80"/>
      <c r="T236" s="80"/>
      <c r="U236" s="80"/>
      <c r="V236" s="117"/>
      <c r="W236" s="117"/>
      <c r="X236" s="1803" t="s">
        <v>820</v>
      </c>
      <c r="Y236" s="228" t="s">
        <v>821</v>
      </c>
      <c r="Z236" s="625"/>
      <c r="AA236" s="595"/>
      <c r="AB236" s="634">
        <v>3</v>
      </c>
      <c r="AC236" s="634">
        <v>1</v>
      </c>
      <c r="AD236" s="599"/>
      <c r="AE236" s="1804" t="s">
        <v>815</v>
      </c>
      <c r="AF236" s="595"/>
      <c r="AG236" s="595"/>
      <c r="AH236" s="595"/>
      <c r="AI236" s="598"/>
      <c r="AJ236" s="595"/>
      <c r="AK236" s="125">
        <v>20250818</v>
      </c>
      <c r="AL236" s="108"/>
    </row>
    <row r="237" spans="1:40" s="14" customFormat="1" ht="45.75" customHeight="1" outlineLevel="1">
      <c r="A237" s="49"/>
      <c r="B237" s="49"/>
      <c r="C237" s="49"/>
      <c r="D237" s="49"/>
      <c r="E237" s="49"/>
      <c r="F237" s="49"/>
      <c r="G237" s="182" t="s">
        <v>325</v>
      </c>
      <c r="H237" s="80" t="s">
        <v>261</v>
      </c>
      <c r="I237" s="80"/>
      <c r="J237" s="80"/>
      <c r="K237" s="80"/>
      <c r="L237" s="80"/>
      <c r="M237" s="80"/>
      <c r="N237" s="80"/>
      <c r="O237" s="80"/>
      <c r="P237" s="80" t="s">
        <v>325</v>
      </c>
      <c r="Q237" s="80"/>
      <c r="R237" s="80"/>
      <c r="S237" s="80"/>
      <c r="T237" s="80"/>
      <c r="U237" s="80"/>
      <c r="V237" s="117"/>
      <c r="W237" s="117"/>
      <c r="X237" s="1805" t="s">
        <v>822</v>
      </c>
      <c r="Y237" s="228" t="s">
        <v>823</v>
      </c>
      <c r="Z237" s="625"/>
      <c r="AA237" s="595"/>
      <c r="AB237" s="634">
        <v>4</v>
      </c>
      <c r="AC237" s="634">
        <v>1</v>
      </c>
      <c r="AD237" s="599"/>
      <c r="AE237" s="1806" t="s">
        <v>815</v>
      </c>
      <c r="AF237" s="595"/>
      <c r="AG237" s="595"/>
      <c r="AH237" s="595"/>
      <c r="AI237" s="598"/>
      <c r="AJ237" s="595"/>
      <c r="AK237" s="125">
        <v>20250818</v>
      </c>
      <c r="AL237" s="108"/>
    </row>
    <row r="238" spans="1:40" s="14" customFormat="1" ht="45.75" customHeight="1" outlineLevel="1">
      <c r="A238" s="49"/>
      <c r="B238" s="49"/>
      <c r="C238" s="49"/>
      <c r="D238" s="49"/>
      <c r="E238" s="49"/>
      <c r="F238" s="49"/>
      <c r="G238" s="182" t="s">
        <v>325</v>
      </c>
      <c r="H238" s="80" t="s">
        <v>261</v>
      </c>
      <c r="I238" s="80"/>
      <c r="J238" s="80"/>
      <c r="K238" s="80"/>
      <c r="L238" s="80"/>
      <c r="M238" s="80"/>
      <c r="N238" s="80"/>
      <c r="O238" s="80"/>
      <c r="P238" s="80" t="s">
        <v>325</v>
      </c>
      <c r="Q238" s="80"/>
      <c r="R238" s="80"/>
      <c r="S238" s="80"/>
      <c r="T238" s="80"/>
      <c r="U238" s="80"/>
      <c r="V238" s="117"/>
      <c r="W238" s="117"/>
      <c r="X238" s="1807" t="s">
        <v>824</v>
      </c>
      <c r="Y238" s="228" t="s">
        <v>825</v>
      </c>
      <c r="Z238" s="625"/>
      <c r="AA238" s="595"/>
      <c r="AB238" s="634">
        <v>5</v>
      </c>
      <c r="AC238" s="634">
        <v>1</v>
      </c>
      <c r="AD238" s="599"/>
      <c r="AE238" s="1808" t="s">
        <v>815</v>
      </c>
      <c r="AF238" s="595"/>
      <c r="AG238" s="595"/>
      <c r="AH238" s="595"/>
      <c r="AI238" s="598"/>
      <c r="AJ238" s="595"/>
      <c r="AK238" s="125">
        <v>20250818</v>
      </c>
      <c r="AL238" s="108"/>
    </row>
    <row r="239" spans="1:40" s="14" customFormat="1" ht="27.75" customHeight="1" outlineLevel="1">
      <c r="A239" s="49"/>
      <c r="B239" s="49"/>
      <c r="C239" s="49"/>
      <c r="D239" s="49"/>
      <c r="E239" s="49"/>
      <c r="F239" s="49"/>
      <c r="G239" s="182" t="s">
        <v>325</v>
      </c>
      <c r="H239" s="80" t="s">
        <v>261</v>
      </c>
      <c r="I239" s="80"/>
      <c r="J239" s="80"/>
      <c r="K239" s="80"/>
      <c r="L239" s="80"/>
      <c r="M239" s="80"/>
      <c r="N239" s="80"/>
      <c r="O239" s="80"/>
      <c r="P239" s="80" t="s">
        <v>325</v>
      </c>
      <c r="Q239" s="80"/>
      <c r="R239" s="80"/>
      <c r="S239" s="80"/>
      <c r="T239" s="80"/>
      <c r="U239" s="80"/>
      <c r="V239" s="117"/>
      <c r="W239" s="117"/>
      <c r="X239" s="587" t="s">
        <v>826</v>
      </c>
      <c r="Y239" s="228" t="s">
        <v>827</v>
      </c>
      <c r="Z239" s="625"/>
      <c r="AA239" s="595"/>
      <c r="AB239" s="634">
        <v>6</v>
      </c>
      <c r="AC239" s="634">
        <v>1</v>
      </c>
      <c r="AD239" s="599"/>
      <c r="AE239" s="1809" t="s">
        <v>815</v>
      </c>
      <c r="AF239" s="595"/>
      <c r="AG239" s="595"/>
      <c r="AH239" s="595"/>
      <c r="AI239" s="598"/>
      <c r="AJ239" s="595"/>
      <c r="AK239" s="125">
        <v>20250818</v>
      </c>
      <c r="AL239" s="108"/>
    </row>
    <row r="240" spans="1:40" s="14" customFormat="1" ht="45.75" customHeight="1" outlineLevel="1">
      <c r="G240" s="182" t="s">
        <v>325</v>
      </c>
      <c r="H240" s="80" t="s">
        <v>261</v>
      </c>
      <c r="I240" s="80"/>
      <c r="J240" s="80"/>
      <c r="K240" s="80"/>
      <c r="L240" s="80"/>
      <c r="M240" s="80"/>
      <c r="N240" s="80"/>
      <c r="O240" s="80"/>
      <c r="P240" s="80" t="s">
        <v>325</v>
      </c>
      <c r="Q240" s="80"/>
      <c r="R240" s="80"/>
      <c r="S240" s="80"/>
      <c r="T240" s="88"/>
      <c r="U240" s="80"/>
      <c r="V240" s="118"/>
      <c r="W240" s="118"/>
      <c r="X240" s="1810" t="s">
        <v>828</v>
      </c>
      <c r="Y240" s="228" t="s">
        <v>829</v>
      </c>
      <c r="Z240" s="626"/>
      <c r="AA240" s="603"/>
      <c r="AB240" s="634">
        <v>7</v>
      </c>
      <c r="AC240" s="634">
        <v>1</v>
      </c>
      <c r="AD240" s="602"/>
      <c r="AE240" s="1811" t="s">
        <v>815</v>
      </c>
      <c r="AF240" s="603"/>
      <c r="AG240" s="603"/>
      <c r="AH240" s="603"/>
      <c r="AI240" s="601"/>
      <c r="AJ240" s="603"/>
      <c r="AK240" s="125">
        <v>20250818</v>
      </c>
      <c r="AL240" s="341"/>
    </row>
    <row r="241" spans="1:40" s="14" customFormat="1" ht="45.75" customHeight="1" outlineLevel="1">
      <c r="A241" s="49"/>
      <c r="B241" s="49"/>
      <c r="C241" s="49"/>
      <c r="D241" s="49"/>
      <c r="E241" s="49"/>
      <c r="F241" s="49"/>
      <c r="G241" s="182" t="s">
        <v>325</v>
      </c>
      <c r="H241" s="80" t="s">
        <v>261</v>
      </c>
      <c r="I241" s="80"/>
      <c r="J241" s="80"/>
      <c r="K241" s="80"/>
      <c r="L241" s="80"/>
      <c r="M241" s="80"/>
      <c r="N241" s="80"/>
      <c r="O241" s="80"/>
      <c r="P241" s="80" t="s">
        <v>325</v>
      </c>
      <c r="Q241" s="80"/>
      <c r="R241" s="80"/>
      <c r="S241" s="80"/>
      <c r="T241" s="80"/>
      <c r="U241" s="80"/>
      <c r="V241" s="117"/>
      <c r="W241" s="117"/>
      <c r="X241" s="1812" t="s">
        <v>830</v>
      </c>
      <c r="Y241" s="228" t="s">
        <v>831</v>
      </c>
      <c r="Z241" s="625"/>
      <c r="AA241" s="595"/>
      <c r="AB241" s="634">
        <v>8</v>
      </c>
      <c r="AC241" s="634">
        <v>1</v>
      </c>
      <c r="AD241" s="599"/>
      <c r="AE241" s="1813" t="s">
        <v>815</v>
      </c>
      <c r="AF241" s="595"/>
      <c r="AG241" s="595"/>
      <c r="AH241" s="667"/>
      <c r="AI241" s="598"/>
      <c r="AJ241" s="595"/>
      <c r="AK241" s="125">
        <v>20250818</v>
      </c>
      <c r="AL241" s="108"/>
    </row>
    <row r="242" spans="1:40" s="14" customFormat="1" ht="60.75" customHeight="1" outlineLevel="1">
      <c r="A242" s="49"/>
      <c r="B242" s="49"/>
      <c r="C242" s="49"/>
      <c r="D242" s="49"/>
      <c r="E242" s="49"/>
      <c r="F242" s="49"/>
      <c r="G242" s="182" t="s">
        <v>325</v>
      </c>
      <c r="H242" s="80" t="s">
        <v>261</v>
      </c>
      <c r="I242" s="80"/>
      <c r="J242" s="80"/>
      <c r="K242" s="80"/>
      <c r="L242" s="80"/>
      <c r="M242" s="80"/>
      <c r="N242" s="80"/>
      <c r="O242" s="80"/>
      <c r="P242" s="80" t="s">
        <v>325</v>
      </c>
      <c r="Q242" s="80"/>
      <c r="R242" s="80"/>
      <c r="S242" s="80"/>
      <c r="T242" s="80"/>
      <c r="U242" s="80"/>
      <c r="V242" s="117"/>
      <c r="W242" s="117"/>
      <c r="X242" s="1814" t="s">
        <v>832</v>
      </c>
      <c r="Y242" s="228" t="s">
        <v>833</v>
      </c>
      <c r="Z242" s="625"/>
      <c r="AA242" s="595"/>
      <c r="AB242" s="634">
        <v>9</v>
      </c>
      <c r="AC242" s="634">
        <v>1</v>
      </c>
      <c r="AD242" s="599"/>
      <c r="AE242" s="1815" t="s">
        <v>815</v>
      </c>
      <c r="AF242" s="595"/>
      <c r="AG242" s="595"/>
      <c r="AH242" s="595"/>
      <c r="AI242" s="598"/>
      <c r="AJ242" s="595"/>
      <c r="AK242" s="125">
        <v>20250818</v>
      </c>
      <c r="AL242" s="108"/>
    </row>
    <row r="243" spans="1:40" s="14" customFormat="1" ht="30.75" customHeight="1" outlineLevel="1">
      <c r="A243" s="366"/>
      <c r="B243" s="366"/>
      <c r="C243" s="366"/>
      <c r="D243" s="366"/>
      <c r="E243" s="366"/>
      <c r="F243" s="366"/>
      <c r="G243" s="356" t="s">
        <v>325</v>
      </c>
      <c r="H243" s="356" t="s">
        <v>261</v>
      </c>
      <c r="I243" s="356"/>
      <c r="J243" s="356"/>
      <c r="K243" s="356"/>
      <c r="L243" s="356"/>
      <c r="M243" s="356"/>
      <c r="N243" s="356"/>
      <c r="O243" s="356"/>
      <c r="P243" s="356" t="s">
        <v>325</v>
      </c>
      <c r="Q243" s="356"/>
      <c r="R243" s="356"/>
      <c r="S243" s="356"/>
      <c r="T243" s="356"/>
      <c r="U243" s="356"/>
      <c r="V243" s="356"/>
      <c r="W243" s="356"/>
      <c r="X243" s="1816" t="s">
        <v>834</v>
      </c>
      <c r="Y243" s="228" t="s">
        <v>835</v>
      </c>
      <c r="Z243" s="629" t="s">
        <v>398</v>
      </c>
      <c r="AA243" s="629" t="s">
        <v>398</v>
      </c>
      <c r="AB243" s="629">
        <v>10</v>
      </c>
      <c r="AC243" s="629">
        <v>1</v>
      </c>
      <c r="AD243" s="629" t="s">
        <v>398</v>
      </c>
      <c r="AE243" s="1817" t="s">
        <v>815</v>
      </c>
      <c r="AF243" s="629" t="s">
        <v>398</v>
      </c>
      <c r="AG243" s="629" t="s">
        <v>398</v>
      </c>
      <c r="AH243" s="629" t="s">
        <v>398</v>
      </c>
      <c r="AI243" s="629" t="s">
        <v>398</v>
      </c>
      <c r="AJ243" s="629" t="s">
        <v>398</v>
      </c>
      <c r="AK243" s="371">
        <v>20251126</v>
      </c>
      <c r="AL243" s="366"/>
    </row>
    <row r="244" spans="1:40" s="14" customFormat="1" ht="41.25" customHeight="1" outlineLevel="1">
      <c r="A244" s="366"/>
      <c r="B244" s="366"/>
      <c r="C244" s="366"/>
      <c r="D244" s="366"/>
      <c r="E244" s="366"/>
      <c r="F244" s="366"/>
      <c r="G244" s="356" t="s">
        <v>325</v>
      </c>
      <c r="H244" s="356" t="s">
        <v>261</v>
      </c>
      <c r="I244" s="356"/>
      <c r="J244" s="356"/>
      <c r="K244" s="356"/>
      <c r="L244" s="356"/>
      <c r="M244" s="356"/>
      <c r="N244" s="356"/>
      <c r="O244" s="356"/>
      <c r="P244" s="356" t="s">
        <v>325</v>
      </c>
      <c r="Q244" s="356"/>
      <c r="R244" s="356"/>
      <c r="S244" s="356"/>
      <c r="T244" s="356"/>
      <c r="U244" s="356"/>
      <c r="V244" s="356"/>
      <c r="W244" s="356"/>
      <c r="X244" s="1818" t="s">
        <v>836</v>
      </c>
      <c r="Y244" s="228" t="s">
        <v>837</v>
      </c>
      <c r="Z244" s="367" t="s">
        <v>398</v>
      </c>
      <c r="AA244" s="367" t="s">
        <v>398</v>
      </c>
      <c r="AB244" s="367">
        <v>11</v>
      </c>
      <c r="AC244" s="367">
        <v>1</v>
      </c>
      <c r="AD244" s="367" t="s">
        <v>398</v>
      </c>
      <c r="AE244" s="1819" t="s">
        <v>838</v>
      </c>
      <c r="AF244" s="367" t="s">
        <v>398</v>
      </c>
      <c r="AG244" s="367" t="s">
        <v>398</v>
      </c>
      <c r="AH244" s="367" t="s">
        <v>398</v>
      </c>
      <c r="AI244" s="367" t="s">
        <v>398</v>
      </c>
      <c r="AJ244" s="367" t="s">
        <v>398</v>
      </c>
      <c r="AK244" s="371">
        <v>20251126</v>
      </c>
      <c r="AL244" s="366"/>
    </row>
    <row r="245" spans="1:40" s="255" customFormat="1" ht="41.25" customHeight="1" outlineLevel="1">
      <c r="A245" s="366"/>
      <c r="B245" s="366"/>
      <c r="C245" s="366"/>
      <c r="D245" s="366"/>
      <c r="E245" s="366"/>
      <c r="F245" s="366"/>
      <c r="G245" s="366" t="s">
        <v>325</v>
      </c>
      <c r="H245" s="366" t="s">
        <v>261</v>
      </c>
      <c r="I245" s="366"/>
      <c r="J245" s="366"/>
      <c r="K245" s="366"/>
      <c r="L245" s="366"/>
      <c r="M245" s="366"/>
      <c r="N245" s="366"/>
      <c r="O245" s="366"/>
      <c r="P245" s="366" t="s">
        <v>325</v>
      </c>
      <c r="Q245" s="366"/>
      <c r="R245" s="366"/>
      <c r="S245" s="366"/>
      <c r="T245" s="366"/>
      <c r="U245" s="366"/>
      <c r="V245" s="366"/>
      <c r="W245" s="366"/>
      <c r="X245" s="1820" t="s">
        <v>839</v>
      </c>
      <c r="Y245" s="254" t="s">
        <v>840</v>
      </c>
      <c r="Z245" s="414" t="s">
        <v>398</v>
      </c>
      <c r="AA245" s="414" t="s">
        <v>398</v>
      </c>
      <c r="AB245" s="414">
        <v>12</v>
      </c>
      <c r="AC245" s="414">
        <v>1</v>
      </c>
      <c r="AD245" s="414" t="s">
        <v>398</v>
      </c>
      <c r="AE245" s="1821" t="s">
        <v>841</v>
      </c>
      <c r="AF245" s="414" t="s">
        <v>398</v>
      </c>
      <c r="AG245" s="414" t="s">
        <v>398</v>
      </c>
      <c r="AH245" s="414" t="s">
        <v>398</v>
      </c>
      <c r="AI245" s="414" t="s">
        <v>398</v>
      </c>
      <c r="AJ245" s="414" t="s">
        <v>398</v>
      </c>
      <c r="AK245" s="371">
        <v>20251126</v>
      </c>
      <c r="AL245" s="366"/>
    </row>
    <row r="246" spans="1:40" ht="14.25" customHeight="1">
      <c r="G246" s="182"/>
      <c r="H246" s="80"/>
      <c r="I246" s="80"/>
      <c r="J246" s="80"/>
      <c r="K246" s="80"/>
      <c r="L246" s="80"/>
      <c r="M246" s="80"/>
      <c r="N246" s="80"/>
      <c r="O246" s="80"/>
      <c r="P246" s="80"/>
      <c r="Q246" s="80"/>
      <c r="R246" s="80"/>
      <c r="S246" s="80"/>
      <c r="T246" s="80"/>
      <c r="U246" s="80"/>
      <c r="V246" s="117"/>
      <c r="W246" s="117"/>
      <c r="X246" s="587"/>
      <c r="Y246" s="594"/>
      <c r="Z246" s="625"/>
      <c r="AA246" s="595"/>
      <c r="AB246" s="634"/>
      <c r="AC246" s="634"/>
      <c r="AD246" s="599"/>
      <c r="AE246" s="150"/>
      <c r="AF246" s="595"/>
      <c r="AG246" s="595"/>
      <c r="AH246" s="595"/>
      <c r="AI246" s="598"/>
      <c r="AJ246" s="595"/>
      <c r="AK246" s="125"/>
      <c r="AM246" s="14"/>
      <c r="AN246" s="14"/>
    </row>
    <row r="247" spans="1:40" ht="18" customHeight="1" outlineLevel="1">
      <c r="A247" s="622">
        <v>34</v>
      </c>
      <c r="B247" s="622" t="s">
        <v>842</v>
      </c>
      <c r="C247" s="622" t="s">
        <v>843</v>
      </c>
      <c r="D247" s="622" t="s">
        <v>844</v>
      </c>
      <c r="E247" s="622">
        <v>8</v>
      </c>
      <c r="F247" s="622" t="s">
        <v>260</v>
      </c>
      <c r="G247" s="623"/>
      <c r="H247" s="622" t="s">
        <v>261</v>
      </c>
      <c r="I247" s="622"/>
      <c r="J247" s="622"/>
      <c r="K247" s="622"/>
      <c r="L247" s="622"/>
      <c r="M247" s="622"/>
      <c r="N247" s="622"/>
      <c r="O247" s="622"/>
      <c r="P247" s="622" t="s">
        <v>325</v>
      </c>
      <c r="Q247" s="622"/>
      <c r="R247" s="622"/>
      <c r="S247" s="622"/>
      <c r="T247" s="622"/>
      <c r="U247" s="622"/>
      <c r="V247" s="597"/>
      <c r="W247" s="597"/>
      <c r="X247" s="597" t="s">
        <v>845</v>
      </c>
      <c r="Y247" s="597"/>
      <c r="Z247" s="622"/>
      <c r="AA247" s="622"/>
      <c r="AB247" s="595">
        <f t="shared" ref="AB247:AB271" si="3">Z247*8+AA247</f>
        <v>0</v>
      </c>
      <c r="AC247" s="622"/>
      <c r="AD247" s="622"/>
      <c r="AE247" s="645" t="s">
        <v>403</v>
      </c>
      <c r="AF247" s="622"/>
      <c r="AG247" s="622"/>
      <c r="AH247" s="622"/>
      <c r="AI247" s="622"/>
      <c r="AJ247" s="622"/>
      <c r="AK247" s="125"/>
    </row>
    <row r="248" spans="1:40" ht="30.75" customHeight="1" outlineLevel="1">
      <c r="G248" s="182"/>
      <c r="H248" s="80" t="s">
        <v>261</v>
      </c>
      <c r="I248" s="80"/>
      <c r="J248" s="80"/>
      <c r="K248" s="80"/>
      <c r="L248" s="80"/>
      <c r="M248" s="80"/>
      <c r="N248" s="80"/>
      <c r="O248" s="80"/>
      <c r="P248" s="80" t="s">
        <v>325</v>
      </c>
      <c r="Q248" s="80"/>
      <c r="R248" s="80"/>
      <c r="S248" s="80"/>
      <c r="T248" s="80"/>
      <c r="V248" s="117"/>
      <c r="W248" s="117"/>
      <c r="X248" s="1822" t="s">
        <v>532</v>
      </c>
      <c r="Y248" s="120" t="s">
        <v>588</v>
      </c>
      <c r="Z248" s="120">
        <v>0</v>
      </c>
      <c r="AA248" s="71">
        <v>0</v>
      </c>
      <c r="AB248" s="595">
        <f t="shared" si="3"/>
        <v>0</v>
      </c>
      <c r="AC248" s="71">
        <v>16</v>
      </c>
      <c r="AD248" s="71"/>
      <c r="AE248" s="70"/>
      <c r="AF248" s="70"/>
      <c r="AG248" s="70"/>
      <c r="AH248" s="70"/>
      <c r="AI248" s="70"/>
      <c r="AJ248" s="71"/>
      <c r="AK248" s="80"/>
    </row>
    <row r="249" spans="1:40" ht="30.75" customHeight="1" outlineLevel="1">
      <c r="G249" s="182"/>
      <c r="H249" s="80" t="s">
        <v>261</v>
      </c>
      <c r="I249" s="80"/>
      <c r="J249" s="80"/>
      <c r="K249" s="80"/>
      <c r="L249" s="80"/>
      <c r="M249" s="80"/>
      <c r="N249" s="80"/>
      <c r="O249" s="80"/>
      <c r="P249" s="80" t="s">
        <v>325</v>
      </c>
      <c r="Q249" s="80"/>
      <c r="R249" s="80"/>
      <c r="S249" s="80"/>
      <c r="T249" s="80"/>
      <c r="V249" s="117"/>
      <c r="W249" s="117"/>
      <c r="X249" s="1823" t="s">
        <v>534</v>
      </c>
      <c r="Y249" s="644" t="s">
        <v>589</v>
      </c>
      <c r="Z249" s="644">
        <v>2</v>
      </c>
      <c r="AA249" s="595">
        <v>0</v>
      </c>
      <c r="AB249" s="595">
        <f t="shared" si="3"/>
        <v>16</v>
      </c>
      <c r="AC249" s="595">
        <v>8</v>
      </c>
      <c r="AD249" s="595"/>
      <c r="AE249" s="599"/>
      <c r="AF249" s="599"/>
      <c r="AG249" s="599"/>
      <c r="AH249" s="599"/>
      <c r="AI249" s="599"/>
      <c r="AJ249" s="595"/>
      <c r="AK249" s="80"/>
    </row>
    <row r="250" spans="1:40" ht="30.75" customHeight="1" outlineLevel="1">
      <c r="G250" s="182"/>
      <c r="H250" s="80" t="s">
        <v>261</v>
      </c>
      <c r="I250" s="80"/>
      <c r="J250" s="80"/>
      <c r="K250" s="80"/>
      <c r="L250" s="80"/>
      <c r="M250" s="80"/>
      <c r="N250" s="80"/>
      <c r="O250" s="80"/>
      <c r="P250" s="80" t="s">
        <v>325</v>
      </c>
      <c r="Q250" s="80"/>
      <c r="R250" s="80"/>
      <c r="S250" s="80"/>
      <c r="T250" s="80"/>
      <c r="V250" s="117"/>
      <c r="W250" s="117"/>
      <c r="X250" s="1824" t="s">
        <v>537</v>
      </c>
      <c r="Y250" s="644" t="s">
        <v>590</v>
      </c>
      <c r="Z250" s="644">
        <v>3</v>
      </c>
      <c r="AA250" s="595">
        <v>0</v>
      </c>
      <c r="AB250" s="595">
        <f t="shared" si="3"/>
        <v>24</v>
      </c>
      <c r="AC250" s="595">
        <v>8</v>
      </c>
      <c r="AD250" s="595"/>
      <c r="AE250" s="599"/>
      <c r="AF250" s="599"/>
      <c r="AG250" s="599"/>
      <c r="AH250" s="599"/>
      <c r="AI250" s="599"/>
      <c r="AJ250" s="595"/>
      <c r="AK250" s="80"/>
    </row>
    <row r="251" spans="1:40" ht="30.75" customHeight="1" outlineLevel="1">
      <c r="G251" s="182"/>
      <c r="H251" s="80" t="s">
        <v>261</v>
      </c>
      <c r="I251" s="80"/>
      <c r="J251" s="80"/>
      <c r="K251" s="80"/>
      <c r="L251" s="80"/>
      <c r="M251" s="80"/>
      <c r="N251" s="80"/>
      <c r="O251" s="80"/>
      <c r="P251" s="80" t="s">
        <v>325</v>
      </c>
      <c r="Q251" s="80"/>
      <c r="R251" s="80"/>
      <c r="S251" s="80"/>
      <c r="T251" s="80"/>
      <c r="V251" s="117"/>
      <c r="W251" s="117"/>
      <c r="X251" s="1825" t="s">
        <v>540</v>
      </c>
      <c r="Y251" s="644" t="s">
        <v>591</v>
      </c>
      <c r="Z251" s="644">
        <v>4</v>
      </c>
      <c r="AA251" s="595">
        <v>0</v>
      </c>
      <c r="AB251" s="595">
        <f t="shared" si="3"/>
        <v>32</v>
      </c>
      <c r="AC251" s="595">
        <v>8</v>
      </c>
      <c r="AD251" s="595"/>
      <c r="AE251" s="599"/>
      <c r="AF251" s="599"/>
      <c r="AG251" s="599"/>
      <c r="AH251" s="599"/>
      <c r="AI251" s="599"/>
      <c r="AJ251" s="595"/>
      <c r="AK251" s="80"/>
    </row>
    <row r="252" spans="1:40" ht="29.25" customHeight="1">
      <c r="G252" s="182"/>
      <c r="H252" s="80" t="s">
        <v>261</v>
      </c>
      <c r="I252" s="80"/>
      <c r="J252" s="80"/>
      <c r="K252" s="80"/>
      <c r="L252" s="80"/>
      <c r="M252" s="80"/>
      <c r="N252" s="80"/>
      <c r="O252" s="80"/>
      <c r="P252" s="80" t="s">
        <v>325</v>
      </c>
      <c r="Q252" s="80"/>
      <c r="R252" s="80"/>
      <c r="S252" s="80"/>
      <c r="T252" s="80"/>
      <c r="V252" s="117"/>
      <c r="W252" s="117"/>
      <c r="X252" s="1826" t="s">
        <v>543</v>
      </c>
      <c r="Y252" s="644" t="s">
        <v>592</v>
      </c>
      <c r="Z252" s="644">
        <v>5</v>
      </c>
      <c r="AA252" s="595">
        <v>0</v>
      </c>
      <c r="AB252" s="595">
        <f t="shared" si="3"/>
        <v>40</v>
      </c>
      <c r="AC252" s="595">
        <v>24</v>
      </c>
      <c r="AD252" s="595"/>
      <c r="AE252" s="599"/>
      <c r="AF252" s="599"/>
      <c r="AG252" s="599"/>
      <c r="AH252" s="599"/>
      <c r="AI252" s="599"/>
      <c r="AJ252" s="595"/>
      <c r="AK252" s="80"/>
    </row>
    <row r="253" spans="1:40" ht="18" customHeight="1" outlineLevel="1">
      <c r="A253" s="622">
        <v>35</v>
      </c>
      <c r="B253" s="622" t="s">
        <v>846</v>
      </c>
      <c r="C253" s="622" t="s">
        <v>847</v>
      </c>
      <c r="D253" s="622" t="s">
        <v>844</v>
      </c>
      <c r="E253" s="622">
        <v>8</v>
      </c>
      <c r="F253" s="622" t="s">
        <v>260</v>
      </c>
      <c r="G253" s="623"/>
      <c r="H253" s="622" t="s">
        <v>261</v>
      </c>
      <c r="I253" s="622"/>
      <c r="J253" s="622"/>
      <c r="K253" s="622"/>
      <c r="L253" s="622"/>
      <c r="M253" s="622"/>
      <c r="N253" s="622"/>
      <c r="O253" s="622"/>
      <c r="P253" s="622" t="s">
        <v>325</v>
      </c>
      <c r="Q253" s="622"/>
      <c r="R253" s="622"/>
      <c r="S253" s="622"/>
      <c r="T253" s="622"/>
      <c r="U253" s="622"/>
      <c r="V253" s="597"/>
      <c r="W253" s="597"/>
      <c r="X253" s="597" t="s">
        <v>848</v>
      </c>
      <c r="Y253" s="597"/>
      <c r="Z253" s="622"/>
      <c r="AA253" s="622"/>
      <c r="AB253" s="595">
        <f t="shared" si="3"/>
        <v>0</v>
      </c>
      <c r="AC253" s="622"/>
      <c r="AD253" s="622"/>
      <c r="AE253" s="645" t="s">
        <v>403</v>
      </c>
      <c r="AF253" s="622"/>
      <c r="AG253" s="622"/>
      <c r="AH253" s="622"/>
      <c r="AI253" s="622"/>
      <c r="AJ253" s="622"/>
      <c r="AK253" s="125"/>
    </row>
    <row r="254" spans="1:40" ht="45.75" customHeight="1" outlineLevel="1">
      <c r="G254" s="182"/>
      <c r="H254" s="80" t="s">
        <v>261</v>
      </c>
      <c r="I254" s="80"/>
      <c r="J254" s="80"/>
      <c r="K254" s="80"/>
      <c r="L254" s="80"/>
      <c r="M254" s="80"/>
      <c r="N254" s="80"/>
      <c r="O254" s="80"/>
      <c r="P254" s="80" t="s">
        <v>325</v>
      </c>
      <c r="Q254" s="80"/>
      <c r="R254" s="80"/>
      <c r="S254" s="80"/>
      <c r="T254" s="80"/>
      <c r="V254" s="117"/>
      <c r="W254" s="117"/>
      <c r="X254" s="1827" t="s">
        <v>549</v>
      </c>
      <c r="Y254" s="120" t="s">
        <v>849</v>
      </c>
      <c r="Z254" s="120">
        <v>0</v>
      </c>
      <c r="AA254" s="71">
        <v>0</v>
      </c>
      <c r="AB254" s="595">
        <f t="shared" si="3"/>
        <v>0</v>
      </c>
      <c r="AC254" s="71">
        <v>8</v>
      </c>
      <c r="AD254" s="133"/>
      <c r="AE254" s="70" t="s">
        <v>551</v>
      </c>
      <c r="AF254" s="134"/>
      <c r="AG254" s="134"/>
      <c r="AH254" s="134"/>
      <c r="AI254" s="134"/>
      <c r="AJ254" s="134"/>
      <c r="AK254" s="59"/>
    </row>
    <row r="255" spans="1:40" ht="75.75" customHeight="1" outlineLevel="1">
      <c r="G255" s="182"/>
      <c r="H255" s="80" t="s">
        <v>261</v>
      </c>
      <c r="I255" s="80"/>
      <c r="J255" s="80"/>
      <c r="K255" s="80"/>
      <c r="L255" s="80"/>
      <c r="M255" s="80"/>
      <c r="N255" s="80"/>
      <c r="O255" s="80"/>
      <c r="P255" s="80" t="s">
        <v>325</v>
      </c>
      <c r="Q255" s="80"/>
      <c r="R255" s="80"/>
      <c r="S255" s="80"/>
      <c r="T255" s="80"/>
      <c r="V255" s="117"/>
      <c r="W255" s="117"/>
      <c r="X255" s="1828" t="s">
        <v>552</v>
      </c>
      <c r="Y255" s="644" t="s">
        <v>850</v>
      </c>
      <c r="Z255" s="644">
        <v>1</v>
      </c>
      <c r="AA255" s="595">
        <v>0</v>
      </c>
      <c r="AB255" s="595">
        <f t="shared" si="3"/>
        <v>8</v>
      </c>
      <c r="AC255" s="595">
        <v>8</v>
      </c>
      <c r="AD255" s="609"/>
      <c r="AE255" s="599" t="s">
        <v>554</v>
      </c>
      <c r="AF255" s="646"/>
      <c r="AG255" s="646"/>
      <c r="AH255" s="646"/>
      <c r="AI255" s="646"/>
      <c r="AJ255" s="646"/>
      <c r="AK255" s="59"/>
    </row>
    <row r="256" spans="1:40" ht="75.75" customHeight="1" outlineLevel="1">
      <c r="G256" s="182"/>
      <c r="H256" s="80" t="s">
        <v>261</v>
      </c>
      <c r="I256" s="80"/>
      <c r="J256" s="80"/>
      <c r="K256" s="80"/>
      <c r="L256" s="80"/>
      <c r="M256" s="80"/>
      <c r="N256" s="80"/>
      <c r="O256" s="80"/>
      <c r="P256" s="80" t="s">
        <v>325</v>
      </c>
      <c r="Q256" s="80"/>
      <c r="R256" s="80"/>
      <c r="S256" s="80"/>
      <c r="T256" s="80"/>
      <c r="V256" s="117"/>
      <c r="W256" s="117"/>
      <c r="X256" s="1829" t="s">
        <v>555</v>
      </c>
      <c r="Y256" s="644" t="s">
        <v>851</v>
      </c>
      <c r="Z256" s="644">
        <v>2</v>
      </c>
      <c r="AA256" s="595">
        <v>0</v>
      </c>
      <c r="AB256" s="595">
        <f t="shared" si="3"/>
        <v>16</v>
      </c>
      <c r="AC256" s="595">
        <v>8</v>
      </c>
      <c r="AD256" s="609"/>
      <c r="AE256" s="599" t="s">
        <v>557</v>
      </c>
      <c r="AF256" s="646"/>
      <c r="AG256" s="646"/>
      <c r="AH256" s="646"/>
      <c r="AI256" s="646"/>
      <c r="AJ256" s="646"/>
      <c r="AK256" s="59"/>
    </row>
    <row r="257" spans="1:40" ht="75.75" customHeight="1" outlineLevel="1">
      <c r="G257" s="182"/>
      <c r="H257" s="80" t="s">
        <v>261</v>
      </c>
      <c r="I257" s="80"/>
      <c r="J257" s="80"/>
      <c r="K257" s="80"/>
      <c r="L257" s="80"/>
      <c r="M257" s="80"/>
      <c r="N257" s="80"/>
      <c r="O257" s="80"/>
      <c r="P257" s="80" t="s">
        <v>325</v>
      </c>
      <c r="Q257" s="80"/>
      <c r="R257" s="80"/>
      <c r="S257" s="80"/>
      <c r="T257" s="80"/>
      <c r="V257" s="117"/>
      <c r="W257" s="117"/>
      <c r="X257" s="1830" t="s">
        <v>558</v>
      </c>
      <c r="Y257" s="644" t="s">
        <v>852</v>
      </c>
      <c r="Z257" s="644">
        <v>3</v>
      </c>
      <c r="AA257" s="595">
        <v>0</v>
      </c>
      <c r="AB257" s="595">
        <f t="shared" si="3"/>
        <v>24</v>
      </c>
      <c r="AC257" s="595">
        <v>8</v>
      </c>
      <c r="AD257" s="609"/>
      <c r="AE257" s="599" t="s">
        <v>560</v>
      </c>
      <c r="AF257" s="646"/>
      <c r="AG257" s="646"/>
      <c r="AH257" s="646"/>
      <c r="AI257" s="646"/>
      <c r="AJ257" s="646"/>
      <c r="AK257" s="59"/>
    </row>
    <row r="258" spans="1:40" ht="45.75" customHeight="1" outlineLevel="1">
      <c r="G258" s="182"/>
      <c r="H258" s="80" t="s">
        <v>261</v>
      </c>
      <c r="I258" s="80"/>
      <c r="J258" s="80"/>
      <c r="K258" s="80"/>
      <c r="L258" s="80"/>
      <c r="M258" s="80"/>
      <c r="N258" s="80"/>
      <c r="O258" s="80"/>
      <c r="P258" s="80" t="s">
        <v>325</v>
      </c>
      <c r="Q258" s="80"/>
      <c r="R258" s="80"/>
      <c r="S258" s="80"/>
      <c r="T258" s="80"/>
      <c r="V258" s="117"/>
      <c r="W258" s="117"/>
      <c r="X258" s="1831" t="s">
        <v>561</v>
      </c>
      <c r="Y258" s="644" t="s">
        <v>853</v>
      </c>
      <c r="Z258" s="644">
        <v>4</v>
      </c>
      <c r="AA258" s="595">
        <v>0</v>
      </c>
      <c r="AB258" s="595">
        <f t="shared" si="3"/>
        <v>32</v>
      </c>
      <c r="AC258" s="595">
        <v>8</v>
      </c>
      <c r="AD258" s="609"/>
      <c r="AE258" s="599" t="s">
        <v>563</v>
      </c>
      <c r="AF258" s="646"/>
      <c r="AG258" s="646"/>
      <c r="AH258" s="646"/>
      <c r="AI258" s="646"/>
      <c r="AJ258" s="646"/>
      <c r="AK258" s="59"/>
    </row>
    <row r="259" spans="1:40" ht="75.75" customHeight="1" outlineLevel="1">
      <c r="G259" s="182"/>
      <c r="H259" s="80" t="s">
        <v>261</v>
      </c>
      <c r="I259" s="80"/>
      <c r="J259" s="80"/>
      <c r="K259" s="80"/>
      <c r="L259" s="80"/>
      <c r="M259" s="80"/>
      <c r="N259" s="80"/>
      <c r="O259" s="80"/>
      <c r="P259" s="80" t="s">
        <v>325</v>
      </c>
      <c r="Q259" s="80"/>
      <c r="R259" s="80"/>
      <c r="S259" s="80"/>
      <c r="T259" s="80"/>
      <c r="V259" s="117"/>
      <c r="W259" s="117"/>
      <c r="X259" s="1832" t="s">
        <v>564</v>
      </c>
      <c r="Y259" s="644" t="s">
        <v>854</v>
      </c>
      <c r="Z259" s="644">
        <v>5</v>
      </c>
      <c r="AA259" s="595">
        <v>0</v>
      </c>
      <c r="AB259" s="595">
        <f t="shared" si="3"/>
        <v>40</v>
      </c>
      <c r="AC259" s="595">
        <v>8</v>
      </c>
      <c r="AD259" s="609"/>
      <c r="AE259" s="599" t="s">
        <v>566</v>
      </c>
      <c r="AF259" s="646"/>
      <c r="AG259" s="646"/>
      <c r="AH259" s="646"/>
      <c r="AI259" s="646"/>
      <c r="AJ259" s="646"/>
      <c r="AK259" s="59"/>
    </row>
    <row r="260" spans="1:40" ht="75.75" customHeight="1" outlineLevel="1">
      <c r="G260" s="182"/>
      <c r="H260" s="80" t="s">
        <v>261</v>
      </c>
      <c r="I260" s="80"/>
      <c r="J260" s="80"/>
      <c r="K260" s="80"/>
      <c r="L260" s="80"/>
      <c r="M260" s="80"/>
      <c r="N260" s="80"/>
      <c r="O260" s="80"/>
      <c r="P260" s="80" t="s">
        <v>325</v>
      </c>
      <c r="Q260" s="80"/>
      <c r="R260" s="80"/>
      <c r="S260" s="80"/>
      <c r="T260" s="80"/>
      <c r="V260" s="117"/>
      <c r="W260" s="117"/>
      <c r="X260" s="1833" t="s">
        <v>567</v>
      </c>
      <c r="Y260" s="644" t="s">
        <v>855</v>
      </c>
      <c r="Z260" s="644">
        <v>6</v>
      </c>
      <c r="AA260" s="595">
        <v>0</v>
      </c>
      <c r="AB260" s="595">
        <f t="shared" si="3"/>
        <v>48</v>
      </c>
      <c r="AC260" s="595">
        <v>8</v>
      </c>
      <c r="AD260" s="609"/>
      <c r="AE260" s="599" t="s">
        <v>569</v>
      </c>
      <c r="AF260" s="646"/>
      <c r="AG260" s="646"/>
      <c r="AH260" s="646"/>
      <c r="AI260" s="646"/>
      <c r="AJ260" s="646"/>
      <c r="AK260" s="59"/>
    </row>
    <row r="261" spans="1:40" ht="75.75" customHeight="1">
      <c r="G261" s="182"/>
      <c r="H261" s="80" t="s">
        <v>261</v>
      </c>
      <c r="I261" s="80"/>
      <c r="J261" s="80"/>
      <c r="K261" s="80"/>
      <c r="L261" s="80"/>
      <c r="M261" s="80"/>
      <c r="N261" s="80"/>
      <c r="O261" s="80"/>
      <c r="P261" s="80" t="s">
        <v>325</v>
      </c>
      <c r="Q261" s="80"/>
      <c r="R261" s="80"/>
      <c r="S261" s="80"/>
      <c r="T261" s="80"/>
      <c r="V261" s="117"/>
      <c r="W261" s="117"/>
      <c r="X261" s="1834" t="s">
        <v>570</v>
      </c>
      <c r="Y261" s="644" t="s">
        <v>856</v>
      </c>
      <c r="Z261" s="644">
        <v>7</v>
      </c>
      <c r="AA261" s="595">
        <v>0</v>
      </c>
      <c r="AB261" s="595">
        <f t="shared" si="3"/>
        <v>56</v>
      </c>
      <c r="AC261" s="595">
        <v>8</v>
      </c>
      <c r="AD261" s="609"/>
      <c r="AE261" s="599" t="s">
        <v>572</v>
      </c>
      <c r="AF261" s="646"/>
      <c r="AG261" s="646"/>
      <c r="AH261" s="646"/>
      <c r="AI261" s="646"/>
      <c r="AJ261" s="646"/>
      <c r="AK261" s="59"/>
    </row>
    <row r="262" spans="1:40" ht="35.25" customHeight="1" outlineLevel="1">
      <c r="A262" s="622">
        <v>36</v>
      </c>
      <c r="B262" s="622" t="s">
        <v>857</v>
      </c>
      <c r="C262" s="622" t="s">
        <v>858</v>
      </c>
      <c r="D262" s="622" t="s">
        <v>844</v>
      </c>
      <c r="E262" s="622">
        <v>8</v>
      </c>
      <c r="F262" s="622" t="s">
        <v>260</v>
      </c>
      <c r="G262" s="623"/>
      <c r="H262" s="622" t="s">
        <v>261</v>
      </c>
      <c r="I262" s="622"/>
      <c r="J262" s="622"/>
      <c r="K262" s="622"/>
      <c r="L262" s="622"/>
      <c r="M262" s="622"/>
      <c r="N262" s="622"/>
      <c r="O262" s="622"/>
      <c r="P262" s="622" t="s">
        <v>325</v>
      </c>
      <c r="Q262" s="622"/>
      <c r="R262" s="622"/>
      <c r="S262" s="622"/>
      <c r="T262" s="622"/>
      <c r="U262" s="622"/>
      <c r="V262" s="597"/>
      <c r="W262" s="597"/>
      <c r="X262" s="597" t="s">
        <v>859</v>
      </c>
      <c r="Y262" s="597"/>
      <c r="Z262" s="622"/>
      <c r="AA262" s="622"/>
      <c r="AB262" s="595">
        <f t="shared" si="3"/>
        <v>0</v>
      </c>
      <c r="AC262" s="622"/>
      <c r="AD262" s="622"/>
      <c r="AE262" s="645" t="s">
        <v>403</v>
      </c>
      <c r="AF262" s="622"/>
      <c r="AG262" s="622"/>
      <c r="AH262" s="622"/>
      <c r="AI262" s="622"/>
      <c r="AJ262" s="622"/>
      <c r="AK262" s="125"/>
    </row>
    <row r="263" spans="1:40" ht="45.75" customHeight="1" outlineLevel="1">
      <c r="G263" s="182"/>
      <c r="H263" s="80" t="s">
        <v>261</v>
      </c>
      <c r="I263" s="80"/>
      <c r="J263" s="80"/>
      <c r="K263" s="80"/>
      <c r="L263" s="80"/>
      <c r="M263" s="80"/>
      <c r="N263" s="80"/>
      <c r="O263" s="80"/>
      <c r="P263" s="80" t="s">
        <v>325</v>
      </c>
      <c r="Q263" s="80"/>
      <c r="R263" s="80"/>
      <c r="S263" s="80"/>
      <c r="T263" s="80"/>
      <c r="V263" s="117"/>
      <c r="W263" s="117"/>
      <c r="X263" s="1835" t="s">
        <v>576</v>
      </c>
      <c r="Y263" s="644" t="s">
        <v>860</v>
      </c>
      <c r="Z263" s="120">
        <v>0</v>
      </c>
      <c r="AA263" s="71">
        <v>0</v>
      </c>
      <c r="AB263" s="595">
        <f t="shared" si="3"/>
        <v>0</v>
      </c>
      <c r="AC263" s="71">
        <v>8</v>
      </c>
      <c r="AD263" s="71"/>
      <c r="AE263" s="70" t="s">
        <v>578</v>
      </c>
      <c r="AF263" s="70"/>
      <c r="AG263" s="70"/>
      <c r="AH263" s="70"/>
      <c r="AI263" s="70"/>
      <c r="AJ263" s="71"/>
      <c r="AK263" s="80"/>
    </row>
    <row r="264" spans="1:40" ht="75.75" customHeight="1" outlineLevel="1">
      <c r="G264" s="182"/>
      <c r="H264" s="80" t="s">
        <v>261</v>
      </c>
      <c r="I264" s="80"/>
      <c r="J264" s="80"/>
      <c r="K264" s="80"/>
      <c r="L264" s="80"/>
      <c r="M264" s="80"/>
      <c r="N264" s="80"/>
      <c r="O264" s="80"/>
      <c r="P264" s="80" t="s">
        <v>325</v>
      </c>
      <c r="Q264" s="80"/>
      <c r="R264" s="80"/>
      <c r="S264" s="80"/>
      <c r="T264" s="80"/>
      <c r="V264" s="117"/>
      <c r="W264" s="117"/>
      <c r="X264" s="1836" t="s">
        <v>579</v>
      </c>
      <c r="Y264" s="644" t="s">
        <v>861</v>
      </c>
      <c r="Z264" s="644">
        <v>1</v>
      </c>
      <c r="AA264" s="595">
        <v>0</v>
      </c>
      <c r="AB264" s="595">
        <f t="shared" si="3"/>
        <v>8</v>
      </c>
      <c r="AC264" s="595">
        <v>8</v>
      </c>
      <c r="AD264" s="595"/>
      <c r="AE264" s="599" t="s">
        <v>554</v>
      </c>
      <c r="AF264" s="599"/>
      <c r="AG264" s="599"/>
      <c r="AH264" s="599"/>
      <c r="AI264" s="599"/>
      <c r="AJ264" s="595"/>
      <c r="AK264" s="80"/>
    </row>
    <row r="265" spans="1:40" ht="75.75" customHeight="1" outlineLevel="1">
      <c r="G265" s="182"/>
      <c r="H265" s="80" t="s">
        <v>261</v>
      </c>
      <c r="I265" s="80"/>
      <c r="J265" s="80"/>
      <c r="K265" s="80"/>
      <c r="L265" s="80"/>
      <c r="M265" s="80"/>
      <c r="N265" s="80"/>
      <c r="O265" s="80"/>
      <c r="P265" s="80" t="s">
        <v>325</v>
      </c>
      <c r="Q265" s="80"/>
      <c r="R265" s="80"/>
      <c r="S265" s="80"/>
      <c r="T265" s="80"/>
      <c r="V265" s="117"/>
      <c r="W265" s="117"/>
      <c r="X265" s="1837" t="s">
        <v>581</v>
      </c>
      <c r="Y265" s="644" t="s">
        <v>862</v>
      </c>
      <c r="Z265" s="644">
        <v>2</v>
      </c>
      <c r="AA265" s="595">
        <v>0</v>
      </c>
      <c r="AB265" s="595">
        <f t="shared" si="3"/>
        <v>16</v>
      </c>
      <c r="AC265" s="595">
        <v>8</v>
      </c>
      <c r="AD265" s="595"/>
      <c r="AE265" s="599" t="s">
        <v>557</v>
      </c>
      <c r="AF265" s="599"/>
      <c r="AG265" s="599"/>
      <c r="AH265" s="599"/>
      <c r="AI265" s="599"/>
      <c r="AJ265" s="595"/>
      <c r="AK265" s="80"/>
    </row>
    <row r="266" spans="1:40" ht="14.25" customHeight="1">
      <c r="G266" s="182"/>
      <c r="H266" s="80" t="s">
        <v>261</v>
      </c>
      <c r="I266" s="80"/>
      <c r="J266" s="80"/>
      <c r="K266" s="80"/>
      <c r="L266" s="80"/>
      <c r="M266" s="80"/>
      <c r="N266" s="80"/>
      <c r="O266" s="80"/>
      <c r="P266" s="80" t="s">
        <v>325</v>
      </c>
      <c r="Q266" s="80"/>
      <c r="R266" s="80"/>
      <c r="S266" s="80"/>
      <c r="T266" s="80"/>
      <c r="V266" s="117"/>
      <c r="W266" s="117"/>
      <c r="X266" s="1838" t="s">
        <v>583</v>
      </c>
      <c r="Y266" s="644" t="s">
        <v>863</v>
      </c>
      <c r="Z266" s="644">
        <v>3</v>
      </c>
      <c r="AA266" s="595">
        <v>0</v>
      </c>
      <c r="AB266" s="595">
        <f t="shared" si="3"/>
        <v>24</v>
      </c>
      <c r="AC266" s="595">
        <v>8</v>
      </c>
      <c r="AD266" s="595"/>
      <c r="AE266" s="599" t="s">
        <v>560</v>
      </c>
      <c r="AF266" s="599"/>
      <c r="AG266" s="599"/>
      <c r="AH266" s="599"/>
      <c r="AI266" s="599"/>
      <c r="AJ266" s="595"/>
      <c r="AK266" s="80"/>
    </row>
    <row r="267" spans="1:40" ht="18" customHeight="1" outlineLevel="1">
      <c r="A267" s="622">
        <v>37</v>
      </c>
      <c r="B267" s="622" t="s">
        <v>864</v>
      </c>
      <c r="C267" s="622" t="s">
        <v>865</v>
      </c>
      <c r="D267" s="622" t="s">
        <v>617</v>
      </c>
      <c r="E267" s="622">
        <v>8</v>
      </c>
      <c r="F267" s="622" t="s">
        <v>260</v>
      </c>
      <c r="G267" s="623"/>
      <c r="H267" s="622" t="s">
        <v>261</v>
      </c>
      <c r="I267" s="622"/>
      <c r="J267" s="622"/>
      <c r="K267" s="622"/>
      <c r="L267" s="622"/>
      <c r="M267" s="622"/>
      <c r="N267" s="622"/>
      <c r="O267" s="622"/>
      <c r="P267" s="622" t="s">
        <v>325</v>
      </c>
      <c r="Q267" s="622"/>
      <c r="R267" s="622"/>
      <c r="S267" s="622"/>
      <c r="T267" s="622"/>
      <c r="U267" s="622"/>
      <c r="V267" s="597"/>
      <c r="W267" s="597"/>
      <c r="X267" s="597" t="s">
        <v>866</v>
      </c>
      <c r="Y267" s="597"/>
      <c r="Z267" s="622"/>
      <c r="AA267" s="622"/>
      <c r="AB267" s="595">
        <f t="shared" si="3"/>
        <v>0</v>
      </c>
      <c r="AC267" s="622"/>
      <c r="AD267" s="622"/>
      <c r="AE267" s="622"/>
      <c r="AF267" s="622"/>
      <c r="AG267" s="622"/>
      <c r="AH267" s="622"/>
      <c r="AI267" s="622"/>
      <c r="AJ267" s="622"/>
      <c r="AK267" s="125"/>
    </row>
    <row r="268" spans="1:40" ht="14.25" customHeight="1">
      <c r="G268" s="182"/>
      <c r="H268" s="80" t="s">
        <v>261</v>
      </c>
      <c r="I268" s="80"/>
      <c r="J268" s="80"/>
      <c r="K268" s="80"/>
      <c r="L268" s="80"/>
      <c r="M268" s="80"/>
      <c r="N268" s="80"/>
      <c r="O268" s="80"/>
      <c r="P268" s="80" t="s">
        <v>325</v>
      </c>
      <c r="Q268" s="80"/>
      <c r="R268" s="80"/>
      <c r="S268" s="80"/>
      <c r="T268" s="80"/>
      <c r="X268" s="66" t="s">
        <v>619</v>
      </c>
      <c r="Y268" s="142"/>
      <c r="Z268" s="143"/>
      <c r="AA268" s="133"/>
      <c r="AB268" s="595">
        <f t="shared" si="3"/>
        <v>0</v>
      </c>
      <c r="AC268" s="133"/>
      <c r="AD268" s="133"/>
      <c r="AE268" s="133"/>
      <c r="AF268" s="133"/>
      <c r="AG268" s="133"/>
      <c r="AH268" s="133"/>
      <c r="AI268" s="133"/>
      <c r="AJ268" s="133"/>
    </row>
    <row r="269" spans="1:40" ht="18" customHeight="1" outlineLevel="1">
      <c r="A269" s="622">
        <v>38</v>
      </c>
      <c r="B269" s="622" t="s">
        <v>867</v>
      </c>
      <c r="C269" s="622" t="s">
        <v>868</v>
      </c>
      <c r="D269" s="622" t="s">
        <v>617</v>
      </c>
      <c r="E269" s="622">
        <v>8</v>
      </c>
      <c r="F269" s="622" t="s">
        <v>260</v>
      </c>
      <c r="G269" s="623"/>
      <c r="H269" s="622" t="s">
        <v>325</v>
      </c>
      <c r="I269" s="622"/>
      <c r="J269" s="622"/>
      <c r="K269" s="622"/>
      <c r="L269" s="622"/>
      <c r="M269" s="622"/>
      <c r="N269" s="622"/>
      <c r="O269" s="622"/>
      <c r="P269" s="622" t="s">
        <v>261</v>
      </c>
      <c r="Q269" s="622"/>
      <c r="R269" s="622"/>
      <c r="S269" s="622"/>
      <c r="T269" s="622"/>
      <c r="U269" s="622"/>
      <c r="V269" s="597"/>
      <c r="W269" s="597"/>
      <c r="X269" s="597" t="s">
        <v>869</v>
      </c>
      <c r="Y269" s="597"/>
      <c r="Z269" s="622"/>
      <c r="AA269" s="622"/>
      <c r="AB269" s="595">
        <f t="shared" si="3"/>
        <v>0</v>
      </c>
      <c r="AC269" s="622"/>
      <c r="AD269" s="622"/>
      <c r="AE269" s="622"/>
      <c r="AF269" s="622"/>
      <c r="AG269" s="622"/>
      <c r="AH269" s="622"/>
      <c r="AI269" s="622"/>
      <c r="AJ269" s="622"/>
      <c r="AK269" s="125"/>
    </row>
    <row r="270" spans="1:40" ht="14.25" customHeight="1">
      <c r="G270" s="182"/>
      <c r="H270" s="80" t="s">
        <v>325</v>
      </c>
      <c r="I270" s="80"/>
      <c r="J270" s="80"/>
      <c r="K270" s="80"/>
      <c r="L270" s="80"/>
      <c r="M270" s="80"/>
      <c r="N270" s="80"/>
      <c r="O270" s="80"/>
      <c r="P270" s="80" t="s">
        <v>261</v>
      </c>
      <c r="Q270" s="80"/>
      <c r="R270" s="80"/>
      <c r="S270" s="80"/>
      <c r="T270" s="80"/>
      <c r="X270" s="66" t="s">
        <v>619</v>
      </c>
      <c r="Y270" s="142"/>
      <c r="Z270" s="143"/>
      <c r="AA270" s="133"/>
      <c r="AB270" s="595">
        <f t="shared" si="3"/>
        <v>0</v>
      </c>
      <c r="AC270" s="133"/>
      <c r="AD270" s="133"/>
      <c r="AE270" s="133"/>
      <c r="AF270" s="133"/>
      <c r="AG270" s="133"/>
      <c r="AH270" s="133"/>
      <c r="AI270" s="133"/>
      <c r="AJ270" s="133"/>
    </row>
    <row r="271" spans="1:40" ht="14.25" customHeight="1">
      <c r="G271" s="182" t="s">
        <v>325</v>
      </c>
      <c r="I271" s="80" t="s">
        <v>261</v>
      </c>
      <c r="J271" s="80"/>
      <c r="K271" s="80"/>
      <c r="L271" s="80"/>
      <c r="M271" s="80"/>
      <c r="N271" s="80"/>
      <c r="O271" s="80"/>
      <c r="P271" s="80" t="s">
        <v>325</v>
      </c>
      <c r="Q271" s="80"/>
      <c r="R271" s="80"/>
      <c r="S271" s="80"/>
      <c r="T271" s="80"/>
      <c r="X271" s="538"/>
      <c r="AB271" s="595">
        <f t="shared" si="3"/>
        <v>0</v>
      </c>
    </row>
    <row r="272" spans="1:40" s="110" customFormat="1" ht="45.75" customHeight="1" outlineLevel="1">
      <c r="A272" s="672">
        <v>53</v>
      </c>
      <c r="B272" s="672" t="s">
        <v>870</v>
      </c>
      <c r="C272" s="672" t="s">
        <v>871</v>
      </c>
      <c r="D272" s="672" t="s">
        <v>259</v>
      </c>
      <c r="E272" s="672">
        <v>8</v>
      </c>
      <c r="F272" s="672" t="s">
        <v>260</v>
      </c>
      <c r="G272" s="673" t="s">
        <v>261</v>
      </c>
      <c r="H272" s="672" t="s">
        <v>325</v>
      </c>
      <c r="I272" s="672"/>
      <c r="J272" s="672"/>
      <c r="K272" s="492"/>
      <c r="L272" s="492"/>
      <c r="M272" s="211"/>
      <c r="N272" s="672"/>
      <c r="O272" s="672"/>
      <c r="P272" s="672"/>
      <c r="Q272" s="672"/>
      <c r="R272" s="672"/>
      <c r="S272" s="672"/>
      <c r="T272" s="674"/>
      <c r="U272" s="49"/>
      <c r="V272" s="56"/>
      <c r="W272" s="56"/>
      <c r="X272" s="674" t="s">
        <v>872</v>
      </c>
      <c r="Y272" s="674"/>
      <c r="Z272" s="672"/>
      <c r="AA272" s="672"/>
      <c r="AB272" s="675">
        <v>0</v>
      </c>
      <c r="AC272" s="672"/>
      <c r="AD272" s="672"/>
      <c r="AE272" s="672"/>
      <c r="AF272" s="672"/>
      <c r="AG272" s="672"/>
      <c r="AH272" s="672"/>
      <c r="AI272" s="672"/>
      <c r="AJ272" s="672"/>
      <c r="AK272" s="212"/>
      <c r="AL272" s="343"/>
      <c r="AM272" s="213" t="s">
        <v>873</v>
      </c>
      <c r="AN272" s="213"/>
    </row>
    <row r="273" spans="1:40" s="110" customFormat="1" ht="45.75" customHeight="1" outlineLevel="1">
      <c r="A273" s="214"/>
      <c r="B273" s="215"/>
      <c r="C273" s="215"/>
      <c r="D273" s="215"/>
      <c r="E273" s="215"/>
      <c r="F273" s="215"/>
      <c r="G273" s="356" t="s">
        <v>261</v>
      </c>
      <c r="H273" s="216" t="s">
        <v>325</v>
      </c>
      <c r="I273" s="215"/>
      <c r="J273" s="215"/>
      <c r="K273" s="215"/>
      <c r="L273" s="215"/>
      <c r="M273" s="214"/>
      <c r="N273" s="215"/>
      <c r="O273" s="215"/>
      <c r="P273" s="215"/>
      <c r="Q273" s="215"/>
      <c r="R273" s="215"/>
      <c r="S273" s="217"/>
      <c r="T273" s="218"/>
      <c r="X273" s="1839" t="s">
        <v>874</v>
      </c>
      <c r="Y273" s="219" t="s">
        <v>873</v>
      </c>
      <c r="Z273" s="677">
        <v>0</v>
      </c>
      <c r="AA273" s="677">
        <v>0</v>
      </c>
      <c r="AB273" s="678">
        <v>0</v>
      </c>
      <c r="AC273" s="678">
        <v>1</v>
      </c>
      <c r="AD273" s="679"/>
      <c r="AE273" s="679" t="s">
        <v>875</v>
      </c>
      <c r="AF273" s="678">
        <v>1</v>
      </c>
      <c r="AG273" s="678">
        <v>0</v>
      </c>
      <c r="AH273" s="678"/>
      <c r="AI273" s="677"/>
      <c r="AJ273" s="677"/>
      <c r="AK273" s="215"/>
      <c r="AL273" s="344"/>
      <c r="AM273" s="214" t="s">
        <v>876</v>
      </c>
      <c r="AN273" s="214"/>
    </row>
    <row r="274" spans="1:40" s="110" customFormat="1" ht="45.75" customHeight="1" outlineLevel="1">
      <c r="A274" s="214"/>
      <c r="B274" s="214"/>
      <c r="C274" s="214"/>
      <c r="D274" s="214"/>
      <c r="E274" s="214"/>
      <c r="F274" s="214"/>
      <c r="G274" s="356" t="s">
        <v>261</v>
      </c>
      <c r="H274" s="216" t="s">
        <v>325</v>
      </c>
      <c r="I274" s="215"/>
      <c r="J274" s="215"/>
      <c r="K274" s="215"/>
      <c r="L274" s="215"/>
      <c r="M274" s="214"/>
      <c r="N274" s="215"/>
      <c r="O274" s="215"/>
      <c r="P274" s="215"/>
      <c r="Q274" s="215"/>
      <c r="R274" s="215"/>
      <c r="S274" s="217"/>
      <c r="T274" s="218"/>
      <c r="X274" s="1840" t="s">
        <v>877</v>
      </c>
      <c r="Y274" s="219" t="s">
        <v>876</v>
      </c>
      <c r="Z274" s="677">
        <v>0</v>
      </c>
      <c r="AA274" s="677">
        <v>1</v>
      </c>
      <c r="AB274" s="678">
        <v>1</v>
      </c>
      <c r="AC274" s="678">
        <v>1</v>
      </c>
      <c r="AD274" s="679"/>
      <c r="AE274" s="679" t="s">
        <v>875</v>
      </c>
      <c r="AF274" s="678">
        <v>1</v>
      </c>
      <c r="AG274" s="678">
        <v>0</v>
      </c>
      <c r="AH274" s="678"/>
      <c r="AI274" s="677"/>
      <c r="AJ274" s="677"/>
      <c r="AK274" s="215"/>
      <c r="AL274" s="344"/>
      <c r="AM274" s="214" t="s">
        <v>878</v>
      </c>
      <c r="AN274" s="214"/>
    </row>
    <row r="275" spans="1:40" s="110" customFormat="1" ht="45.75" customHeight="1" outlineLevel="1">
      <c r="A275" s="214"/>
      <c r="B275" s="214"/>
      <c r="C275" s="214"/>
      <c r="D275" s="214"/>
      <c r="E275" s="214"/>
      <c r="F275" s="214"/>
      <c r="G275" s="356" t="s">
        <v>261</v>
      </c>
      <c r="H275" s="216" t="s">
        <v>325</v>
      </c>
      <c r="I275" s="215"/>
      <c r="J275" s="215"/>
      <c r="K275" s="215"/>
      <c r="L275" s="215"/>
      <c r="M275" s="214"/>
      <c r="N275" s="215"/>
      <c r="O275" s="215"/>
      <c r="P275" s="215"/>
      <c r="Q275" s="215"/>
      <c r="R275" s="215"/>
      <c r="S275" s="217"/>
      <c r="T275" s="218"/>
      <c r="X275" s="676" t="s">
        <v>879</v>
      </c>
      <c r="Y275" s="219" t="s">
        <v>878</v>
      </c>
      <c r="Z275" s="677">
        <v>0</v>
      </c>
      <c r="AA275" s="677">
        <v>2</v>
      </c>
      <c r="AB275" s="678">
        <v>2</v>
      </c>
      <c r="AC275" s="678">
        <v>1</v>
      </c>
      <c r="AD275" s="679"/>
      <c r="AE275" s="679" t="s">
        <v>880</v>
      </c>
      <c r="AF275" s="678">
        <v>1</v>
      </c>
      <c r="AG275" s="678">
        <v>0</v>
      </c>
      <c r="AH275" s="678"/>
      <c r="AI275" s="677"/>
      <c r="AJ275" s="677"/>
      <c r="AK275" s="215"/>
      <c r="AL275" s="344"/>
      <c r="AM275" s="214" t="s">
        <v>881</v>
      </c>
      <c r="AN275" s="214"/>
    </row>
    <row r="276" spans="1:40" s="110" customFormat="1" ht="45.75" customHeight="1" outlineLevel="1">
      <c r="A276" s="214"/>
      <c r="B276" s="214"/>
      <c r="C276" s="214"/>
      <c r="D276" s="214"/>
      <c r="E276" s="214"/>
      <c r="F276" s="214"/>
      <c r="G276" s="356" t="s">
        <v>261</v>
      </c>
      <c r="H276" s="216" t="s">
        <v>325</v>
      </c>
      <c r="I276" s="215"/>
      <c r="J276" s="215"/>
      <c r="K276" s="215"/>
      <c r="L276" s="215"/>
      <c r="M276" s="214"/>
      <c r="N276" s="215"/>
      <c r="O276" s="215"/>
      <c r="P276" s="215"/>
      <c r="Q276" s="215"/>
      <c r="R276" s="215"/>
      <c r="S276" s="217"/>
      <c r="T276" s="218"/>
      <c r="X276" s="676" t="s">
        <v>882</v>
      </c>
      <c r="Y276" s="219" t="s">
        <v>881</v>
      </c>
      <c r="Z276" s="677">
        <v>0</v>
      </c>
      <c r="AA276" s="677">
        <v>3</v>
      </c>
      <c r="AB276" s="678">
        <v>3</v>
      </c>
      <c r="AC276" s="678">
        <v>1</v>
      </c>
      <c r="AD276" s="679"/>
      <c r="AE276" s="679" t="s">
        <v>880</v>
      </c>
      <c r="AF276" s="678">
        <v>1</v>
      </c>
      <c r="AG276" s="678">
        <v>0</v>
      </c>
      <c r="AH276" s="678"/>
      <c r="AI276" s="677"/>
      <c r="AJ276" s="677"/>
      <c r="AK276" s="215"/>
      <c r="AL276" s="344"/>
      <c r="AM276" s="214" t="s">
        <v>883</v>
      </c>
      <c r="AN276" s="214"/>
    </row>
    <row r="277" spans="1:40" s="110" customFormat="1" ht="45.75" customHeight="1" outlineLevel="1">
      <c r="A277" s="214"/>
      <c r="B277" s="214"/>
      <c r="C277" s="214"/>
      <c r="D277" s="214"/>
      <c r="E277" s="214"/>
      <c r="F277" s="214"/>
      <c r="G277" s="362"/>
      <c r="H277" s="215"/>
      <c r="I277" s="215"/>
      <c r="J277" s="215"/>
      <c r="K277" s="215"/>
      <c r="L277" s="215"/>
      <c r="M277" s="214"/>
      <c r="N277" s="215"/>
      <c r="O277" s="215"/>
      <c r="P277" s="215"/>
      <c r="Q277" s="215"/>
      <c r="R277" s="215"/>
      <c r="S277" s="217"/>
      <c r="T277" s="218"/>
      <c r="X277" s="1841" t="s">
        <v>884</v>
      </c>
      <c r="Y277" s="219" t="s">
        <v>883</v>
      </c>
      <c r="Z277" s="677">
        <v>0</v>
      </c>
      <c r="AA277" s="677">
        <v>4</v>
      </c>
      <c r="AB277" s="678">
        <v>4</v>
      </c>
      <c r="AC277" s="678">
        <v>1</v>
      </c>
      <c r="AD277" s="679"/>
      <c r="AE277" s="679" t="s">
        <v>885</v>
      </c>
      <c r="AF277" s="678">
        <v>1</v>
      </c>
      <c r="AG277" s="678">
        <v>0</v>
      </c>
      <c r="AH277" s="678"/>
      <c r="AI277" s="677"/>
      <c r="AJ277" s="677"/>
      <c r="AK277" s="215"/>
      <c r="AL277" s="344"/>
      <c r="AM277" s="214" t="s">
        <v>886</v>
      </c>
      <c r="AN277" s="214"/>
    </row>
    <row r="278" spans="1:40" s="110" customFormat="1" ht="45.75" customHeight="1" outlineLevel="1">
      <c r="A278" s="214"/>
      <c r="B278" s="214"/>
      <c r="C278" s="214"/>
      <c r="D278" s="214"/>
      <c r="E278" s="214"/>
      <c r="F278" s="214"/>
      <c r="G278" s="362"/>
      <c r="H278" s="215"/>
      <c r="I278" s="215"/>
      <c r="J278" s="215"/>
      <c r="K278" s="215"/>
      <c r="L278" s="215"/>
      <c r="M278" s="214"/>
      <c r="N278" s="215"/>
      <c r="O278" s="215"/>
      <c r="P278" s="215"/>
      <c r="Q278" s="215"/>
      <c r="R278" s="215"/>
      <c r="S278" s="217"/>
      <c r="T278" s="218"/>
      <c r="X278" s="1842" t="s">
        <v>887</v>
      </c>
      <c r="Y278" s="219" t="s">
        <v>886</v>
      </c>
      <c r="Z278" s="677">
        <v>0</v>
      </c>
      <c r="AA278" s="677">
        <v>5</v>
      </c>
      <c r="AB278" s="678">
        <v>5</v>
      </c>
      <c r="AC278" s="678">
        <v>1</v>
      </c>
      <c r="AD278" s="679"/>
      <c r="AE278" s="679" t="s">
        <v>885</v>
      </c>
      <c r="AF278" s="678">
        <v>1</v>
      </c>
      <c r="AG278" s="678">
        <v>0</v>
      </c>
      <c r="AH278" s="678"/>
      <c r="AI278" s="677"/>
      <c r="AJ278" s="677"/>
      <c r="AK278" s="215"/>
      <c r="AL278" s="344"/>
      <c r="AM278" s="214" t="s">
        <v>888</v>
      </c>
      <c r="AN278" s="214"/>
    </row>
    <row r="279" spans="1:40" ht="45.75" customHeight="1" outlineLevel="1">
      <c r="A279" s="214"/>
      <c r="B279" s="214"/>
      <c r="C279" s="214"/>
      <c r="D279" s="214"/>
      <c r="E279" s="214"/>
      <c r="F279" s="214"/>
      <c r="G279" s="362"/>
      <c r="H279" s="215"/>
      <c r="I279" s="215"/>
      <c r="J279" s="215"/>
      <c r="K279" s="215"/>
      <c r="L279" s="215"/>
      <c r="M279" s="214"/>
      <c r="N279" s="215"/>
      <c r="O279" s="215"/>
      <c r="P279" s="215"/>
      <c r="Q279" s="215"/>
      <c r="R279" s="215"/>
      <c r="S279" s="217"/>
      <c r="T279" s="218"/>
      <c r="U279" s="110"/>
      <c r="V279" s="110"/>
      <c r="W279" s="110"/>
      <c r="X279" s="1843" t="s">
        <v>889</v>
      </c>
      <c r="Y279" s="219" t="s">
        <v>888</v>
      </c>
      <c r="Z279" s="680">
        <v>0</v>
      </c>
      <c r="AA279" s="677">
        <v>6</v>
      </c>
      <c r="AB279" s="678">
        <v>6</v>
      </c>
      <c r="AC279" s="678">
        <v>1</v>
      </c>
      <c r="AD279" s="679"/>
      <c r="AE279" s="679" t="s">
        <v>890</v>
      </c>
      <c r="AF279" s="678">
        <v>1</v>
      </c>
      <c r="AG279" s="678">
        <v>0</v>
      </c>
      <c r="AH279" s="678"/>
      <c r="AI279" s="677"/>
      <c r="AJ279" s="677"/>
      <c r="AK279" s="215"/>
      <c r="AL279" s="344"/>
      <c r="AM279" s="214" t="s">
        <v>891</v>
      </c>
      <c r="AN279" s="214"/>
    </row>
    <row r="280" spans="1:40" s="110" customFormat="1" ht="60.75" customHeight="1" outlineLevel="1">
      <c r="A280" s="220"/>
      <c r="B280" s="220"/>
      <c r="C280" s="220"/>
      <c r="D280" s="220"/>
      <c r="E280" s="220"/>
      <c r="F280" s="220"/>
      <c r="G280" s="363" t="s">
        <v>261</v>
      </c>
      <c r="H280" s="221" t="s">
        <v>325</v>
      </c>
      <c r="I280" s="221"/>
      <c r="J280" s="221"/>
      <c r="K280" s="221"/>
      <c r="L280" s="221"/>
      <c r="M280" s="213"/>
      <c r="N280" s="221"/>
      <c r="O280" s="221"/>
      <c r="P280" s="221"/>
      <c r="Q280" s="221"/>
      <c r="R280" s="221"/>
      <c r="S280" s="222"/>
      <c r="T280" s="223"/>
      <c r="U280" s="49"/>
      <c r="V280" s="56"/>
      <c r="W280" s="56"/>
      <c r="X280" s="1844" t="s">
        <v>892</v>
      </c>
      <c r="Y280" s="224" t="s">
        <v>893</v>
      </c>
      <c r="Z280" s="224">
        <v>0</v>
      </c>
      <c r="AA280" s="225">
        <v>0</v>
      </c>
      <c r="AB280" s="226">
        <v>7</v>
      </c>
      <c r="AC280" s="226">
        <v>1</v>
      </c>
      <c r="AD280" s="225"/>
      <c r="AE280" s="225" t="s">
        <v>894</v>
      </c>
      <c r="AF280" s="226"/>
      <c r="AG280" s="226"/>
      <c r="AH280" s="225"/>
      <c r="AI280" s="225"/>
      <c r="AJ280" s="226"/>
      <c r="AK280" s="221"/>
      <c r="AL280" s="343"/>
      <c r="AM280" s="213" t="s">
        <v>895</v>
      </c>
      <c r="AN280" s="213"/>
    </row>
    <row r="281" spans="1:40" s="110" customFormat="1" ht="45.75" customHeight="1" outlineLevel="1">
      <c r="A281" s="214"/>
      <c r="B281" s="214"/>
      <c r="C281" s="214"/>
      <c r="D281" s="214"/>
      <c r="E281" s="214"/>
      <c r="F281" s="214"/>
      <c r="G281" s="356" t="s">
        <v>261</v>
      </c>
      <c r="H281" s="216" t="s">
        <v>325</v>
      </c>
      <c r="I281" s="215"/>
      <c r="J281" s="215"/>
      <c r="K281" s="215"/>
      <c r="L281" s="215"/>
      <c r="M281" s="214"/>
      <c r="N281" s="215"/>
      <c r="O281" s="215"/>
      <c r="P281" s="215"/>
      <c r="Q281" s="215"/>
      <c r="R281" s="215"/>
      <c r="S281" s="217"/>
      <c r="T281" s="218"/>
      <c r="X281" s="1845" t="s">
        <v>896</v>
      </c>
      <c r="Y281" s="224" t="s">
        <v>897</v>
      </c>
      <c r="Z281" s="224">
        <v>1</v>
      </c>
      <c r="AA281" s="225">
        <v>1</v>
      </c>
      <c r="AB281" s="226">
        <v>8</v>
      </c>
      <c r="AC281" s="226">
        <v>1</v>
      </c>
      <c r="AD281" s="225"/>
      <c r="AE281" s="225" t="s">
        <v>894</v>
      </c>
      <c r="AF281" s="226"/>
      <c r="AG281" s="226"/>
      <c r="AH281" s="225"/>
      <c r="AI281" s="225"/>
      <c r="AJ281" s="226"/>
      <c r="AK281" s="215"/>
      <c r="AL281" s="344"/>
      <c r="AM281" s="214" t="s">
        <v>898</v>
      </c>
      <c r="AN281" s="214"/>
    </row>
    <row r="282" spans="1:40" ht="90.75" customHeight="1" outlineLevel="1">
      <c r="A282" s="220"/>
      <c r="B282" s="220"/>
      <c r="C282" s="220"/>
      <c r="D282" s="220"/>
      <c r="E282" s="220"/>
      <c r="F282" s="220"/>
      <c r="G282" s="363" t="s">
        <v>261</v>
      </c>
      <c r="H282" s="221" t="s">
        <v>325</v>
      </c>
      <c r="I282" s="221"/>
      <c r="J282" s="221"/>
      <c r="K282" s="221"/>
      <c r="L282" s="221"/>
      <c r="M282" s="214"/>
      <c r="N282" s="221"/>
      <c r="O282" s="221"/>
      <c r="P282" s="221"/>
      <c r="Q282" s="221"/>
      <c r="R282" s="221"/>
      <c r="S282" s="222"/>
      <c r="T282" s="223"/>
      <c r="U282" s="110"/>
      <c r="V282" s="110"/>
      <c r="W282" s="110"/>
      <c r="X282" s="1846" t="s">
        <v>899</v>
      </c>
      <c r="Y282" s="1103" t="s">
        <v>891</v>
      </c>
      <c r="Z282" s="229">
        <v>1</v>
      </c>
      <c r="AA282" s="1349">
        <v>4</v>
      </c>
      <c r="AB282" s="1349">
        <v>12</v>
      </c>
      <c r="AC282" s="1349">
        <v>3</v>
      </c>
      <c r="AD282" s="1349"/>
      <c r="AE282" s="1847" t="s">
        <v>900</v>
      </c>
      <c r="AF282" s="227">
        <v>1</v>
      </c>
      <c r="AG282" s="227">
        <v>0</v>
      </c>
      <c r="AH282" s="227"/>
      <c r="AI282" s="227"/>
      <c r="AJ282" s="227"/>
      <c r="AK282" s="221"/>
      <c r="AL282" s="343"/>
      <c r="AM282" s="214" t="s">
        <v>901</v>
      </c>
      <c r="AN282" s="214"/>
    </row>
    <row r="283" spans="1:40" s="110" customFormat="1" ht="75.75" customHeight="1" outlineLevel="1">
      <c r="A283" s="220"/>
      <c r="B283" s="220"/>
      <c r="C283" s="220"/>
      <c r="D283" s="220"/>
      <c r="E283" s="220"/>
      <c r="F283" s="220"/>
      <c r="G283" s="363" t="s">
        <v>261</v>
      </c>
      <c r="H283" s="221" t="s">
        <v>325</v>
      </c>
      <c r="I283" s="221"/>
      <c r="J283" s="221"/>
      <c r="K283" s="221"/>
      <c r="L283" s="221"/>
      <c r="M283" s="213"/>
      <c r="N283" s="221"/>
      <c r="O283" s="221"/>
      <c r="P283" s="221"/>
      <c r="Q283" s="221"/>
      <c r="R283" s="221"/>
      <c r="S283" s="222"/>
      <c r="T283" s="223"/>
      <c r="U283" s="49"/>
      <c r="V283" s="56"/>
      <c r="W283" s="117"/>
      <c r="X283" s="1848" t="s">
        <v>902</v>
      </c>
      <c r="Y283" s="679" t="s">
        <v>895</v>
      </c>
      <c r="Z283" s="679">
        <v>2</v>
      </c>
      <c r="AA283" s="679">
        <v>0</v>
      </c>
      <c r="AB283" s="1117">
        <v>16</v>
      </c>
      <c r="AC283" s="1117">
        <v>8</v>
      </c>
      <c r="AD283" s="679"/>
      <c r="AE283" s="679" t="s">
        <v>903</v>
      </c>
      <c r="AF283" s="1117">
        <v>1</v>
      </c>
      <c r="AG283" s="231">
        <v>0</v>
      </c>
      <c r="AH283" s="231"/>
      <c r="AI283" s="230"/>
      <c r="AJ283" s="230" t="s">
        <v>904</v>
      </c>
      <c r="AK283" s="221"/>
      <c r="AL283" s="343"/>
      <c r="AM283" s="213" t="s">
        <v>905</v>
      </c>
      <c r="AN283" s="213"/>
    </row>
    <row r="284" spans="1:40" s="110" customFormat="1" ht="45.75" customHeight="1" outlineLevel="1">
      <c r="A284" s="214"/>
      <c r="B284" s="214"/>
      <c r="C284" s="214"/>
      <c r="D284" s="214"/>
      <c r="E284" s="214"/>
      <c r="F284" s="214"/>
      <c r="G284" s="356" t="s">
        <v>261</v>
      </c>
      <c r="H284" s="216" t="s">
        <v>325</v>
      </c>
      <c r="I284" s="215"/>
      <c r="J284" s="215"/>
      <c r="K284" s="215"/>
      <c r="L284" s="215"/>
      <c r="M284" s="214"/>
      <c r="N284" s="215"/>
      <c r="O284" s="215"/>
      <c r="P284" s="215"/>
      <c r="Q284" s="215"/>
      <c r="R284" s="215"/>
      <c r="S284" s="217"/>
      <c r="T284" s="218"/>
      <c r="W284" s="381"/>
      <c r="X284" s="1849" t="s">
        <v>906</v>
      </c>
      <c r="Y284" s="1370" t="s">
        <v>907</v>
      </c>
      <c r="Z284" s="469">
        <v>3</v>
      </c>
      <c r="AA284" s="1376">
        <v>0</v>
      </c>
      <c r="AB284" s="1376">
        <v>24</v>
      </c>
      <c r="AC284" s="1376">
        <v>8</v>
      </c>
      <c r="AD284" s="1376"/>
      <c r="AE284" s="1369" t="s">
        <v>908</v>
      </c>
      <c r="AF284" s="1376">
        <v>1</v>
      </c>
      <c r="AG284" s="225">
        <v>-40</v>
      </c>
      <c r="AH284" s="225"/>
      <c r="AI284" s="225"/>
      <c r="AJ284" s="225" t="s">
        <v>508</v>
      </c>
      <c r="AK284" s="215"/>
      <c r="AL284" s="344"/>
      <c r="AM284" s="214" t="s">
        <v>909</v>
      </c>
      <c r="AN284" s="214"/>
    </row>
    <row r="285" spans="1:40" s="110" customFormat="1" ht="60.75" customHeight="1" outlineLevel="1">
      <c r="A285" s="214"/>
      <c r="B285" s="214"/>
      <c r="C285" s="214"/>
      <c r="D285" s="214"/>
      <c r="E285" s="214"/>
      <c r="F285" s="214"/>
      <c r="G285" s="356" t="s">
        <v>261</v>
      </c>
      <c r="H285" s="216" t="s">
        <v>325</v>
      </c>
      <c r="I285" s="215"/>
      <c r="J285" s="215"/>
      <c r="K285" s="215"/>
      <c r="L285" s="215"/>
      <c r="M285" s="214"/>
      <c r="N285" s="215"/>
      <c r="O285" s="215"/>
      <c r="P285" s="215"/>
      <c r="Q285" s="215"/>
      <c r="R285" s="215"/>
      <c r="S285" s="217"/>
      <c r="T285" s="218"/>
      <c r="W285" s="381"/>
      <c r="X285" s="1850" t="s">
        <v>910</v>
      </c>
      <c r="Y285" s="1103" t="s">
        <v>911</v>
      </c>
      <c r="Z285" s="1342">
        <v>4</v>
      </c>
      <c r="AA285" s="1373">
        <v>0</v>
      </c>
      <c r="AB285" s="1373">
        <v>32</v>
      </c>
      <c r="AC285" s="1373">
        <v>8</v>
      </c>
      <c r="AD285" s="1373"/>
      <c r="AE285" s="1373" t="s">
        <v>912</v>
      </c>
      <c r="AF285" s="1373">
        <v>1</v>
      </c>
      <c r="AG285" s="45">
        <v>-40</v>
      </c>
      <c r="AH285" s="45"/>
      <c r="AI285" s="45"/>
      <c r="AJ285" s="45" t="s">
        <v>508</v>
      </c>
      <c r="AK285" s="215"/>
      <c r="AL285" s="344"/>
      <c r="AM285" s="214" t="s">
        <v>893</v>
      </c>
      <c r="AN285" s="214"/>
    </row>
    <row r="286" spans="1:40" s="110" customFormat="1" ht="60.75" customHeight="1" outlineLevel="1">
      <c r="A286" s="214"/>
      <c r="B286" s="214"/>
      <c r="C286" s="214"/>
      <c r="D286" s="214"/>
      <c r="E286" s="214"/>
      <c r="F286" s="214"/>
      <c r="G286" s="362"/>
      <c r="H286" s="215"/>
      <c r="I286" s="215"/>
      <c r="J286" s="215"/>
      <c r="K286" s="215"/>
      <c r="L286" s="215"/>
      <c r="M286" s="214"/>
      <c r="N286" s="215"/>
      <c r="O286" s="215"/>
      <c r="P286" s="215"/>
      <c r="Q286" s="215"/>
      <c r="R286" s="215"/>
      <c r="S286" s="217"/>
      <c r="T286" s="218"/>
      <c r="W286" s="381"/>
      <c r="X286" s="1335" t="s">
        <v>913</v>
      </c>
      <c r="Y286" s="679" t="s">
        <v>905</v>
      </c>
      <c r="Z286" s="679">
        <v>5</v>
      </c>
      <c r="AA286" s="679">
        <v>0</v>
      </c>
      <c r="AB286" s="1117">
        <v>40</v>
      </c>
      <c r="AC286" s="1117">
        <v>8</v>
      </c>
      <c r="AD286" s="679"/>
      <c r="AE286" s="679" t="s">
        <v>914</v>
      </c>
      <c r="AF286" s="1117">
        <v>0.4</v>
      </c>
      <c r="AG286" s="231">
        <v>0</v>
      </c>
      <c r="AH286" s="230">
        <v>100</v>
      </c>
      <c r="AI286" s="230"/>
      <c r="AJ286" s="231" t="s">
        <v>904</v>
      </c>
      <c r="AK286" s="215"/>
      <c r="AL286" s="344"/>
      <c r="AM286" s="214" t="s">
        <v>897</v>
      </c>
      <c r="AN286" s="214"/>
    </row>
    <row r="287" spans="1:40" s="110" customFormat="1" ht="60.75" customHeight="1" outlineLevel="1">
      <c r="A287" s="214"/>
      <c r="B287" s="214"/>
      <c r="C287" s="214"/>
      <c r="D287" s="214"/>
      <c r="E287" s="214"/>
      <c r="F287" s="214"/>
      <c r="G287" s="362"/>
      <c r="H287" s="215"/>
      <c r="I287" s="215"/>
      <c r="J287" s="215"/>
      <c r="K287" s="215"/>
      <c r="L287" s="215"/>
      <c r="M287" s="214"/>
      <c r="N287" s="215"/>
      <c r="O287" s="215"/>
      <c r="P287" s="215"/>
      <c r="Q287" s="215"/>
      <c r="R287" s="215"/>
      <c r="S287" s="217"/>
      <c r="T287" s="218"/>
      <c r="W287" s="381"/>
      <c r="X287" s="1335" t="s">
        <v>915</v>
      </c>
      <c r="Y287" s="679" t="s">
        <v>909</v>
      </c>
      <c r="Z287" s="679">
        <v>6</v>
      </c>
      <c r="AA287" s="679">
        <v>0</v>
      </c>
      <c r="AB287" s="1117">
        <v>48</v>
      </c>
      <c r="AC287" s="1117">
        <v>8</v>
      </c>
      <c r="AD287" s="679"/>
      <c r="AE287" s="679" t="s">
        <v>916</v>
      </c>
      <c r="AF287" s="1117">
        <v>0.4</v>
      </c>
      <c r="AG287" s="231">
        <v>0</v>
      </c>
      <c r="AH287" s="230">
        <v>100</v>
      </c>
      <c r="AI287" s="230"/>
      <c r="AJ287" s="231" t="s">
        <v>904</v>
      </c>
      <c r="AK287" s="215"/>
      <c r="AL287" s="344"/>
      <c r="AM287" s="214"/>
      <c r="AN287" s="214"/>
    </row>
    <row r="288" spans="1:40" s="110" customFormat="1" ht="24.75" customHeight="1" outlineLevel="1">
      <c r="A288" s="214"/>
      <c r="B288" s="214"/>
      <c r="C288" s="214"/>
      <c r="D288" s="214"/>
      <c r="E288" s="214"/>
      <c r="F288" s="214"/>
      <c r="G288" s="362"/>
      <c r="H288" s="215"/>
      <c r="I288" s="215"/>
      <c r="J288" s="215"/>
      <c r="K288" s="215"/>
      <c r="L288" s="215"/>
      <c r="M288" s="214"/>
      <c r="N288" s="215"/>
      <c r="O288" s="215"/>
      <c r="P288" s="215"/>
      <c r="Q288" s="215"/>
      <c r="R288" s="215"/>
      <c r="S288" s="217"/>
      <c r="T288" s="218"/>
      <c r="W288" s="381"/>
      <c r="X288" s="1851" t="s">
        <v>917</v>
      </c>
      <c r="Y288" s="1370" t="s">
        <v>918</v>
      </c>
      <c r="Z288" s="469">
        <v>7</v>
      </c>
      <c r="AA288" s="1376">
        <v>0</v>
      </c>
      <c r="AB288" s="1376">
        <v>56</v>
      </c>
      <c r="AC288" s="1376">
        <v>8</v>
      </c>
      <c r="AD288" s="1376"/>
      <c r="AE288" s="1369" t="s">
        <v>919</v>
      </c>
      <c r="AF288" s="1376">
        <v>1</v>
      </c>
      <c r="AG288" s="225">
        <v>-40</v>
      </c>
      <c r="AH288" s="225"/>
      <c r="AI288" s="225"/>
      <c r="AJ288" s="225" t="s">
        <v>508</v>
      </c>
      <c r="AK288" s="215"/>
      <c r="AL288" s="344"/>
      <c r="AM288" s="214"/>
      <c r="AN288" s="214"/>
    </row>
    <row r="289" spans="1:40" ht="14.25" customHeight="1">
      <c r="A289" s="214"/>
      <c r="B289" s="214"/>
      <c r="C289" s="214"/>
      <c r="D289" s="214"/>
      <c r="E289" s="214"/>
      <c r="F289" s="214"/>
      <c r="G289" s="214"/>
      <c r="H289" s="215"/>
      <c r="I289" s="215"/>
      <c r="J289" s="215"/>
      <c r="K289" s="215"/>
      <c r="L289" s="215"/>
      <c r="M289" s="215"/>
      <c r="N289" s="215"/>
      <c r="O289" s="215"/>
      <c r="P289" s="215"/>
      <c r="Q289" s="215"/>
      <c r="R289" s="215"/>
      <c r="S289" s="217"/>
      <c r="T289" s="218"/>
      <c r="U289" s="110"/>
      <c r="V289" s="110"/>
      <c r="W289" s="110"/>
      <c r="X289" s="1377"/>
      <c r="Y289" s="682"/>
      <c r="Z289" s="682"/>
      <c r="AA289" s="843"/>
      <c r="AB289" s="1420"/>
      <c r="AC289" s="843"/>
      <c r="AD289" s="843"/>
      <c r="AE289" s="1377"/>
      <c r="AF289" s="681"/>
      <c r="AG289" s="681"/>
      <c r="AH289" s="681"/>
      <c r="AI289" s="681"/>
      <c r="AJ289" s="683"/>
      <c r="AK289" s="215"/>
      <c r="AL289" s="344"/>
      <c r="AM289" s="214"/>
      <c r="AN289" s="214"/>
    </row>
    <row r="290" spans="1:40" ht="18" customHeight="1" outlineLevel="1">
      <c r="A290" s="631">
        <v>54</v>
      </c>
      <c r="B290" s="631" t="s">
        <v>920</v>
      </c>
      <c r="C290" s="631" t="s">
        <v>921</v>
      </c>
      <c r="D290" s="631" t="s">
        <v>922</v>
      </c>
      <c r="E290" s="631">
        <v>8</v>
      </c>
      <c r="F290" s="631" t="s">
        <v>260</v>
      </c>
      <c r="G290" s="632" t="s">
        <v>325</v>
      </c>
      <c r="H290" s="631" t="s">
        <v>325</v>
      </c>
      <c r="I290" s="631"/>
      <c r="J290" s="631"/>
      <c r="K290" s="631"/>
      <c r="L290" s="631"/>
      <c r="M290" s="631"/>
      <c r="N290" s="631"/>
      <c r="O290" s="631" t="s">
        <v>261</v>
      </c>
      <c r="P290" s="631"/>
      <c r="Q290" s="631"/>
      <c r="R290" s="631"/>
      <c r="S290" s="631"/>
      <c r="T290" s="631"/>
      <c r="U290" s="631"/>
      <c r="V290" s="633"/>
      <c r="W290" s="633"/>
      <c r="X290" s="633" t="s">
        <v>923</v>
      </c>
      <c r="Y290" s="633"/>
      <c r="Z290" s="631"/>
      <c r="AA290" s="631"/>
      <c r="AB290" s="634">
        <v>0</v>
      </c>
      <c r="AC290" s="631"/>
      <c r="AD290" s="631"/>
      <c r="AE290" s="631"/>
      <c r="AF290" s="631"/>
      <c r="AG290" s="631"/>
      <c r="AH290" s="631"/>
      <c r="AI290" s="631"/>
      <c r="AJ290" s="631"/>
      <c r="AK290" s="160"/>
    </row>
    <row r="291" spans="1:40" ht="52.5" customHeight="1" outlineLevel="1">
      <c r="B291" s="80"/>
      <c r="C291" s="80"/>
      <c r="D291" s="80"/>
      <c r="E291" s="80"/>
      <c r="F291" s="80"/>
      <c r="G291" s="182" t="s">
        <v>325</v>
      </c>
      <c r="H291" s="80" t="s">
        <v>325</v>
      </c>
      <c r="I291" s="80"/>
      <c r="J291" s="80"/>
      <c r="K291" s="80"/>
      <c r="L291" s="80"/>
      <c r="M291" s="80"/>
      <c r="N291" s="80"/>
      <c r="O291" s="80" t="s">
        <v>261</v>
      </c>
      <c r="P291" s="80"/>
      <c r="Q291" s="80"/>
      <c r="R291" s="80"/>
      <c r="S291" s="80"/>
      <c r="T291" s="80"/>
      <c r="U291" s="59"/>
      <c r="V291" s="117"/>
      <c r="W291" s="117"/>
      <c r="X291" s="1852" t="s">
        <v>924</v>
      </c>
      <c r="Y291" s="158" t="s">
        <v>925</v>
      </c>
      <c r="Z291" s="159">
        <v>0</v>
      </c>
      <c r="AA291" s="134">
        <v>0</v>
      </c>
      <c r="AB291" s="595">
        <v>0</v>
      </c>
      <c r="AC291" s="134">
        <v>8</v>
      </c>
      <c r="AD291" s="134"/>
      <c r="AE291" s="134"/>
      <c r="AF291" s="134">
        <v>1</v>
      </c>
      <c r="AG291" s="599">
        <v>-40</v>
      </c>
      <c r="AH291" s="134"/>
      <c r="AI291" s="134"/>
      <c r="AJ291" s="134" t="s">
        <v>508</v>
      </c>
      <c r="AK291" s="88"/>
    </row>
    <row r="292" spans="1:40" ht="35.25" customHeight="1" outlineLevel="1">
      <c r="G292" s="182" t="s">
        <v>325</v>
      </c>
      <c r="H292" s="80" t="s">
        <v>325</v>
      </c>
      <c r="I292" s="80"/>
      <c r="J292" s="80"/>
      <c r="K292" s="80"/>
      <c r="L292" s="80"/>
      <c r="M292" s="80"/>
      <c r="N292" s="80"/>
      <c r="O292" s="80" t="s">
        <v>261</v>
      </c>
      <c r="P292" s="80"/>
      <c r="Q292" s="80"/>
      <c r="R292" s="80"/>
      <c r="S292" s="80"/>
      <c r="T292" s="80"/>
      <c r="U292" s="59"/>
      <c r="V292" s="117"/>
      <c r="W292" s="117"/>
      <c r="X292" s="151" t="s">
        <v>926</v>
      </c>
      <c r="Y292" s="158" t="s">
        <v>927</v>
      </c>
      <c r="Z292" s="159">
        <v>1</v>
      </c>
      <c r="AA292" s="134">
        <v>0</v>
      </c>
      <c r="AB292" s="595">
        <v>8</v>
      </c>
      <c r="AC292" s="134">
        <v>8</v>
      </c>
      <c r="AD292" s="134"/>
      <c r="AE292" s="134"/>
      <c r="AF292" s="134">
        <v>1</v>
      </c>
      <c r="AG292" s="599">
        <v>-40</v>
      </c>
      <c r="AH292" s="134"/>
      <c r="AI292" s="134"/>
      <c r="AJ292" s="134" t="s">
        <v>508</v>
      </c>
      <c r="AK292" s="88"/>
    </row>
    <row r="293" spans="1:40" ht="52.5" customHeight="1" outlineLevel="1">
      <c r="G293" s="182" t="s">
        <v>325</v>
      </c>
      <c r="H293" s="80" t="s">
        <v>325</v>
      </c>
      <c r="I293" s="80"/>
      <c r="J293" s="80"/>
      <c r="K293" s="80"/>
      <c r="L293" s="80"/>
      <c r="M293" s="80"/>
      <c r="N293" s="80"/>
      <c r="O293" s="80" t="s">
        <v>261</v>
      </c>
      <c r="P293" s="80"/>
      <c r="Q293" s="80"/>
      <c r="R293" s="80"/>
      <c r="S293" s="80"/>
      <c r="T293" s="80"/>
      <c r="U293" s="59"/>
      <c r="V293" s="117"/>
      <c r="W293" s="117"/>
      <c r="X293" s="1853" t="s">
        <v>928</v>
      </c>
      <c r="Y293" s="158" t="s">
        <v>929</v>
      </c>
      <c r="Z293" s="159">
        <v>2</v>
      </c>
      <c r="AA293" s="134">
        <v>0</v>
      </c>
      <c r="AB293" s="595">
        <v>16</v>
      </c>
      <c r="AC293" s="134">
        <v>8</v>
      </c>
      <c r="AD293" s="134"/>
      <c r="AE293" s="134"/>
      <c r="AF293" s="134">
        <v>1</v>
      </c>
      <c r="AG293" s="599">
        <v>-40</v>
      </c>
      <c r="AH293" s="134"/>
      <c r="AI293" s="134"/>
      <c r="AJ293" s="134" t="s">
        <v>508</v>
      </c>
      <c r="AK293" s="88"/>
    </row>
    <row r="294" spans="1:40" ht="45.75" customHeight="1" outlineLevel="1">
      <c r="G294" s="182" t="s">
        <v>325</v>
      </c>
      <c r="H294" s="80" t="s">
        <v>325</v>
      </c>
      <c r="I294" s="80"/>
      <c r="J294" s="80"/>
      <c r="K294" s="80"/>
      <c r="L294" s="80"/>
      <c r="M294" s="80"/>
      <c r="N294" s="80"/>
      <c r="O294" s="80" t="s">
        <v>261</v>
      </c>
      <c r="P294" s="80"/>
      <c r="Q294" s="80"/>
      <c r="R294" s="80"/>
      <c r="S294" s="80"/>
      <c r="T294" s="80"/>
      <c r="U294" s="59"/>
      <c r="V294" s="117"/>
      <c r="W294" s="117"/>
      <c r="X294" s="151" t="s">
        <v>930</v>
      </c>
      <c r="Y294" s="158" t="s">
        <v>931</v>
      </c>
      <c r="Z294" s="159">
        <v>3</v>
      </c>
      <c r="AA294" s="134">
        <v>0</v>
      </c>
      <c r="AB294" s="595">
        <v>24</v>
      </c>
      <c r="AC294" s="134">
        <v>8</v>
      </c>
      <c r="AD294" s="134"/>
      <c r="AE294" s="71"/>
      <c r="AF294" s="134">
        <v>1</v>
      </c>
      <c r="AG294" s="599">
        <v>-40</v>
      </c>
      <c r="AH294" s="134"/>
      <c r="AI294" s="134"/>
      <c r="AJ294" s="134" t="s">
        <v>508</v>
      </c>
      <c r="AK294" s="88"/>
    </row>
    <row r="295" spans="1:40" ht="45.75" customHeight="1" outlineLevel="1">
      <c r="G295" s="182" t="s">
        <v>325</v>
      </c>
      <c r="H295" s="80" t="s">
        <v>325</v>
      </c>
      <c r="I295" s="80"/>
      <c r="J295" s="80"/>
      <c r="K295" s="80"/>
      <c r="L295" s="80"/>
      <c r="M295" s="80"/>
      <c r="N295" s="80"/>
      <c r="O295" s="80" t="s">
        <v>261</v>
      </c>
      <c r="P295" s="80"/>
      <c r="Q295" s="80"/>
      <c r="R295" s="80"/>
      <c r="S295" s="80"/>
      <c r="T295" s="80"/>
      <c r="U295" s="59"/>
      <c r="V295" s="117"/>
      <c r="W295" s="117"/>
      <c r="X295" s="1270" t="s">
        <v>932</v>
      </c>
      <c r="Y295" s="158" t="s">
        <v>933</v>
      </c>
      <c r="Z295" s="123">
        <v>4</v>
      </c>
      <c r="AA295" s="134">
        <v>0</v>
      </c>
      <c r="AB295" s="595">
        <v>32</v>
      </c>
      <c r="AC295" s="134">
        <v>8</v>
      </c>
      <c r="AD295" s="71"/>
      <c r="AE295" s="71"/>
      <c r="AF295" s="134">
        <v>0.1</v>
      </c>
      <c r="AG295" s="599">
        <v>-40</v>
      </c>
      <c r="AH295" s="70"/>
      <c r="AI295" s="70"/>
      <c r="AJ295" s="134" t="s">
        <v>934</v>
      </c>
      <c r="AK295" s="88"/>
    </row>
    <row r="296" spans="1:40" ht="60.75" customHeight="1" outlineLevel="1">
      <c r="G296" s="182" t="s">
        <v>325</v>
      </c>
      <c r="H296" s="80" t="s">
        <v>325</v>
      </c>
      <c r="I296" s="80"/>
      <c r="J296" s="80"/>
      <c r="K296" s="80"/>
      <c r="L296" s="80"/>
      <c r="M296" s="80"/>
      <c r="N296" s="80"/>
      <c r="O296" s="80" t="s">
        <v>261</v>
      </c>
      <c r="P296" s="80"/>
      <c r="Q296" s="80"/>
      <c r="R296" s="80"/>
      <c r="S296" s="80"/>
      <c r="T296" s="80"/>
      <c r="U296" s="59"/>
      <c r="V296" s="117"/>
      <c r="W296" s="117"/>
      <c r="X296" s="1854" t="s">
        <v>935</v>
      </c>
      <c r="Y296" s="120" t="s">
        <v>936</v>
      </c>
      <c r="Z296" s="625">
        <v>5</v>
      </c>
      <c r="AA296" s="134">
        <v>0</v>
      </c>
      <c r="AB296" s="595">
        <v>40</v>
      </c>
      <c r="AC296" s="134">
        <v>8</v>
      </c>
      <c r="AD296" s="595"/>
      <c r="AE296" s="599"/>
      <c r="AF296" s="134">
        <v>1</v>
      </c>
      <c r="AG296" s="599">
        <v>-40</v>
      </c>
      <c r="AH296" s="599"/>
      <c r="AI296" s="599"/>
      <c r="AJ296" s="134" t="s">
        <v>508</v>
      </c>
      <c r="AK296" s="88"/>
    </row>
    <row r="297" spans="1:40" ht="14.25" customHeight="1" outlineLevel="1">
      <c r="G297" s="182" t="s">
        <v>325</v>
      </c>
      <c r="H297" s="80" t="s">
        <v>325</v>
      </c>
      <c r="I297" s="80"/>
      <c r="J297" s="80"/>
      <c r="K297" s="80"/>
      <c r="L297" s="80"/>
      <c r="M297" s="80"/>
      <c r="N297" s="80"/>
      <c r="O297" s="80" t="s">
        <v>261</v>
      </c>
      <c r="P297" s="80"/>
      <c r="Q297" s="80"/>
      <c r="R297" s="80"/>
      <c r="S297" s="80"/>
      <c r="T297" s="80"/>
      <c r="U297" s="59"/>
      <c r="V297" s="117"/>
      <c r="W297" s="117"/>
      <c r="X297" s="1855" t="s">
        <v>937</v>
      </c>
      <c r="Y297" s="644" t="s">
        <v>938</v>
      </c>
      <c r="Z297" s="625">
        <v>6</v>
      </c>
      <c r="AA297" s="134">
        <v>0</v>
      </c>
      <c r="AB297" s="595">
        <v>48</v>
      </c>
      <c r="AC297" s="134">
        <v>8</v>
      </c>
      <c r="AD297" s="595"/>
      <c r="AE297" s="599"/>
      <c r="AF297" s="599">
        <v>0.1</v>
      </c>
      <c r="AG297" s="599">
        <v>0</v>
      </c>
      <c r="AH297" s="599"/>
      <c r="AI297" s="599"/>
      <c r="AJ297" s="595" t="s">
        <v>934</v>
      </c>
      <c r="AK297" s="88"/>
    </row>
    <row r="298" spans="1:40" ht="14.25" customHeight="1" outlineLevel="1">
      <c r="A298" s="110"/>
      <c r="B298" s="110"/>
      <c r="C298" s="110"/>
      <c r="D298" s="110"/>
      <c r="E298" s="110"/>
      <c r="F298" s="110"/>
      <c r="G298" s="359"/>
      <c r="H298" s="88"/>
      <c r="I298" s="88"/>
      <c r="J298" s="88"/>
      <c r="K298" s="88"/>
      <c r="L298" s="88"/>
      <c r="M298" s="88"/>
      <c r="N298" s="88"/>
      <c r="O298" s="88"/>
      <c r="P298" s="88"/>
      <c r="Q298" s="88"/>
      <c r="R298" s="88"/>
      <c r="S298" s="88"/>
      <c r="T298" s="88"/>
      <c r="U298" s="154"/>
      <c r="V298" s="118"/>
      <c r="W298" s="118"/>
      <c r="X298" s="602"/>
      <c r="Y298" s="627"/>
      <c r="Z298" s="627"/>
      <c r="AA298" s="603"/>
      <c r="AB298" s="595"/>
      <c r="AC298" s="603"/>
      <c r="AD298" s="603"/>
      <c r="AE298" s="602"/>
      <c r="AF298" s="602"/>
      <c r="AG298" s="602"/>
      <c r="AH298" s="602"/>
      <c r="AI298" s="602"/>
      <c r="AJ298" s="603"/>
      <c r="AK298" s="88"/>
    </row>
    <row r="299" spans="1:40" ht="14.25" customHeight="1">
      <c r="A299" s="110"/>
      <c r="B299" s="110"/>
      <c r="C299" s="110"/>
      <c r="D299" s="110"/>
      <c r="E299" s="110"/>
      <c r="F299" s="110"/>
      <c r="G299" s="359"/>
      <c r="H299" s="88"/>
      <c r="I299" s="88"/>
      <c r="J299" s="88"/>
      <c r="K299" s="88"/>
      <c r="L299" s="88"/>
      <c r="M299" s="88"/>
      <c r="N299" s="88"/>
      <c r="O299" s="88"/>
      <c r="P299" s="88"/>
      <c r="Q299" s="88"/>
      <c r="R299" s="88"/>
      <c r="S299" s="88"/>
      <c r="T299" s="88"/>
      <c r="U299" s="154"/>
      <c r="V299" s="118"/>
      <c r="W299" s="118"/>
      <c r="X299" s="602"/>
      <c r="Y299" s="627"/>
      <c r="Z299" s="627"/>
      <c r="AA299" s="603"/>
      <c r="AB299" s="595"/>
      <c r="AC299" s="603"/>
      <c r="AD299" s="603"/>
      <c r="AE299" s="602"/>
      <c r="AF299" s="602"/>
      <c r="AG299" s="602"/>
      <c r="AH299" s="602"/>
      <c r="AI299" s="602"/>
      <c r="AJ299" s="603"/>
      <c r="AK299" s="88"/>
    </row>
    <row r="300" spans="1:40" ht="35.25" customHeight="1" outlineLevel="1">
      <c r="A300" s="631">
        <v>55</v>
      </c>
      <c r="B300" s="631" t="s">
        <v>939</v>
      </c>
      <c r="C300" s="631" t="s">
        <v>940</v>
      </c>
      <c r="D300" s="631" t="s">
        <v>259</v>
      </c>
      <c r="E300" s="631">
        <v>8</v>
      </c>
      <c r="F300" s="631" t="s">
        <v>260</v>
      </c>
      <c r="G300" s="632"/>
      <c r="H300" s="631"/>
      <c r="I300" s="631"/>
      <c r="J300" s="631"/>
      <c r="K300" s="631"/>
      <c r="L300" s="631"/>
      <c r="M300" s="631"/>
      <c r="N300" s="631"/>
      <c r="O300" s="631" t="s">
        <v>261</v>
      </c>
      <c r="P300" s="631"/>
      <c r="Q300" s="631"/>
      <c r="R300" s="631"/>
      <c r="S300" s="631" t="s">
        <v>325</v>
      </c>
      <c r="T300" s="631"/>
      <c r="U300" s="631"/>
      <c r="V300" s="633"/>
      <c r="W300" s="633"/>
      <c r="X300" s="633" t="s">
        <v>941</v>
      </c>
      <c r="Y300" s="633"/>
      <c r="Z300" s="631"/>
      <c r="AA300" s="631"/>
      <c r="AB300" s="634">
        <v>0</v>
      </c>
      <c r="AC300" s="631"/>
      <c r="AD300" s="631" t="s">
        <v>942</v>
      </c>
      <c r="AE300" s="631"/>
      <c r="AF300" s="631"/>
      <c r="AG300" s="631"/>
      <c r="AH300" s="631"/>
      <c r="AI300" s="631"/>
      <c r="AJ300" s="631"/>
      <c r="AK300" s="125"/>
    </row>
    <row r="301" spans="1:40" ht="30.75" customHeight="1" outlineLevel="1">
      <c r="B301" s="80"/>
      <c r="C301" s="80"/>
      <c r="D301" s="80"/>
      <c r="E301" s="80"/>
      <c r="F301" s="80"/>
      <c r="G301" s="182"/>
      <c r="H301" s="80"/>
      <c r="I301" s="80"/>
      <c r="J301" s="80"/>
      <c r="K301" s="80"/>
      <c r="L301" s="80"/>
      <c r="M301" s="80"/>
      <c r="N301" s="80"/>
      <c r="O301" s="80" t="s">
        <v>261</v>
      </c>
      <c r="P301" s="80"/>
      <c r="Q301" s="80"/>
      <c r="R301" s="80"/>
      <c r="S301" s="80" t="s">
        <v>325</v>
      </c>
      <c r="T301" s="80"/>
      <c r="U301" s="59"/>
      <c r="V301" s="117"/>
      <c r="W301" s="117"/>
      <c r="X301" s="70" t="s">
        <v>943</v>
      </c>
      <c r="Y301" s="120" t="s">
        <v>944</v>
      </c>
      <c r="Z301" s="120">
        <v>0</v>
      </c>
      <c r="AA301" s="71">
        <v>0</v>
      </c>
      <c r="AB301" s="595">
        <v>0</v>
      </c>
      <c r="AC301" s="71">
        <v>16</v>
      </c>
      <c r="AD301" s="71"/>
      <c r="AE301" s="70" t="s">
        <v>945</v>
      </c>
      <c r="AF301" s="70">
        <v>1</v>
      </c>
      <c r="AG301" s="70">
        <v>0</v>
      </c>
      <c r="AH301" s="70" t="s">
        <v>946</v>
      </c>
      <c r="AI301" s="70"/>
      <c r="AJ301" s="71" t="s">
        <v>947</v>
      </c>
      <c r="AK301" s="80"/>
    </row>
    <row r="302" spans="1:40" ht="30.75" customHeight="1" outlineLevel="1">
      <c r="B302" s="80"/>
      <c r="C302" s="80"/>
      <c r="D302" s="80"/>
      <c r="E302" s="80"/>
      <c r="F302" s="80"/>
      <c r="G302" s="182"/>
      <c r="H302" s="80"/>
      <c r="I302" s="80"/>
      <c r="J302" s="80"/>
      <c r="K302" s="80"/>
      <c r="L302" s="80"/>
      <c r="M302" s="80"/>
      <c r="N302" s="80"/>
      <c r="O302" s="80"/>
      <c r="P302" s="80"/>
      <c r="Q302" s="80"/>
      <c r="R302" s="80"/>
      <c r="S302" s="80"/>
      <c r="T302" s="80"/>
      <c r="U302" s="59"/>
      <c r="V302" s="117"/>
      <c r="W302" s="117"/>
      <c r="X302" s="45" t="s">
        <v>948</v>
      </c>
      <c r="Y302" s="196" t="s">
        <v>949</v>
      </c>
      <c r="Z302" s="196">
        <v>2</v>
      </c>
      <c r="AA302" s="45">
        <v>0</v>
      </c>
      <c r="AB302" s="45">
        <v>16</v>
      </c>
      <c r="AC302" s="45">
        <v>8</v>
      </c>
      <c r="AD302" s="80"/>
      <c r="AE302" s="45" t="s">
        <v>950</v>
      </c>
      <c r="AF302" s="45">
        <v>0.1</v>
      </c>
      <c r="AG302" s="45">
        <v>0</v>
      </c>
      <c r="AH302" s="45" t="s">
        <v>951</v>
      </c>
      <c r="AI302" s="45"/>
      <c r="AJ302" s="45" t="s">
        <v>952</v>
      </c>
      <c r="AK302" s="80"/>
    </row>
    <row r="303" spans="1:40" ht="35.25" customHeight="1" outlineLevel="1">
      <c r="O303" s="80" t="s">
        <v>261</v>
      </c>
      <c r="P303" s="80"/>
      <c r="Q303" s="80"/>
      <c r="R303" s="80"/>
      <c r="S303" s="80" t="s">
        <v>325</v>
      </c>
      <c r="T303" s="80"/>
      <c r="U303" s="59"/>
      <c r="V303" s="117"/>
      <c r="W303" s="117"/>
      <c r="X303" s="45" t="s">
        <v>953</v>
      </c>
      <c r="Y303" s="196" t="s">
        <v>954</v>
      </c>
      <c r="Z303" s="196">
        <v>3</v>
      </c>
      <c r="AA303" s="45">
        <v>0</v>
      </c>
      <c r="AB303" s="45">
        <v>24</v>
      </c>
      <c r="AC303" s="45">
        <v>1</v>
      </c>
      <c r="AD303" s="45"/>
      <c r="AE303" s="209" t="s">
        <v>955</v>
      </c>
      <c r="AF303" s="45">
        <v>1</v>
      </c>
      <c r="AG303" s="45">
        <v>0</v>
      </c>
      <c r="AH303" s="45" t="s">
        <v>112</v>
      </c>
      <c r="AI303" s="45"/>
      <c r="AJ303" s="45"/>
      <c r="AK303" s="80"/>
    </row>
    <row r="304" spans="1:40" ht="57.75" customHeight="1" outlineLevel="1">
      <c r="O304" s="80"/>
      <c r="P304" s="80"/>
      <c r="Q304" s="80"/>
      <c r="R304" s="80"/>
      <c r="S304" s="80"/>
      <c r="T304" s="80"/>
      <c r="U304" s="59"/>
      <c r="V304" s="117"/>
      <c r="W304" s="117"/>
      <c r="X304" s="1856" t="s">
        <v>956</v>
      </c>
      <c r="Y304" s="45" t="s">
        <v>957</v>
      </c>
      <c r="Z304" s="45">
        <v>3</v>
      </c>
      <c r="AA304" s="45">
        <v>1</v>
      </c>
      <c r="AB304" s="45">
        <v>25</v>
      </c>
      <c r="AC304" s="45">
        <v>2</v>
      </c>
      <c r="AD304" s="45"/>
      <c r="AE304" s="1857" t="s">
        <v>958</v>
      </c>
      <c r="AF304" s="45">
        <v>1</v>
      </c>
      <c r="AG304" s="45">
        <v>0</v>
      </c>
      <c r="AH304" s="45"/>
      <c r="AI304" s="45"/>
      <c r="AJ304" s="45"/>
      <c r="AK304" s="80"/>
    </row>
    <row r="305" spans="1:40" ht="30.75" customHeight="1" outlineLevel="1">
      <c r="O305" s="80"/>
      <c r="P305" s="80"/>
      <c r="Q305" s="80"/>
      <c r="R305" s="80"/>
      <c r="S305" s="80"/>
      <c r="T305" s="80"/>
      <c r="U305" s="59"/>
      <c r="V305" s="117"/>
      <c r="W305" s="117"/>
      <c r="X305" s="599" t="s">
        <v>959</v>
      </c>
      <c r="Y305" s="644" t="s">
        <v>960</v>
      </c>
      <c r="Z305" s="644">
        <v>3</v>
      </c>
      <c r="AA305" s="595">
        <v>3</v>
      </c>
      <c r="AB305" s="595">
        <v>27</v>
      </c>
      <c r="AC305" s="595">
        <v>1</v>
      </c>
      <c r="AD305" s="595"/>
      <c r="AE305" s="1858" t="s">
        <v>961</v>
      </c>
      <c r="AF305" s="599">
        <v>1</v>
      </c>
      <c r="AG305" s="599">
        <v>0</v>
      </c>
      <c r="AH305" s="599">
        <v>0</v>
      </c>
      <c r="AI305" s="599">
        <v>1</v>
      </c>
      <c r="AJ305" s="595"/>
      <c r="AK305" s="80"/>
    </row>
    <row r="306" spans="1:40" ht="14.25" customHeight="1" outlineLevel="1">
      <c r="O306" s="80"/>
      <c r="P306" s="80"/>
      <c r="Q306" s="80"/>
      <c r="R306" s="80"/>
      <c r="S306" s="80"/>
      <c r="T306" s="80"/>
      <c r="U306" s="59"/>
      <c r="V306" s="117"/>
      <c r="W306" s="117"/>
      <c r="X306" s="599"/>
      <c r="Y306" s="644"/>
      <c r="Z306" s="644"/>
      <c r="AA306" s="595"/>
      <c r="AB306" s="595"/>
      <c r="AC306" s="595"/>
      <c r="AD306" s="595"/>
      <c r="AE306" s="590"/>
      <c r="AF306" s="599"/>
      <c r="AG306" s="599"/>
      <c r="AH306" s="599"/>
      <c r="AI306" s="599"/>
      <c r="AJ306" s="595"/>
      <c r="AK306" s="80"/>
    </row>
    <row r="307" spans="1:40" ht="14.25" customHeight="1">
      <c r="O307" s="80"/>
      <c r="P307" s="80"/>
      <c r="Q307" s="80"/>
      <c r="R307" s="80"/>
      <c r="S307" s="80"/>
      <c r="T307" s="80"/>
      <c r="U307" s="59"/>
      <c r="V307" s="117"/>
      <c r="W307" s="117"/>
      <c r="X307" s="599"/>
      <c r="Y307" s="644"/>
      <c r="Z307" s="644"/>
      <c r="AA307" s="595"/>
      <c r="AB307" s="595"/>
      <c r="AC307" s="595"/>
      <c r="AD307" s="595"/>
      <c r="AE307" s="590"/>
      <c r="AF307" s="599"/>
      <c r="AG307" s="599"/>
      <c r="AH307" s="599"/>
      <c r="AI307" s="599"/>
      <c r="AJ307" s="595"/>
      <c r="AK307" s="80"/>
    </row>
    <row r="308" spans="1:40" ht="18" customHeight="1" outlineLevel="1">
      <c r="A308" s="536">
        <v>56</v>
      </c>
      <c r="B308" s="536" t="s">
        <v>962</v>
      </c>
      <c r="C308" s="536" t="s">
        <v>963</v>
      </c>
      <c r="D308" s="536" t="s">
        <v>844</v>
      </c>
      <c r="E308" s="536">
        <v>8</v>
      </c>
      <c r="F308" s="536" t="s">
        <v>260</v>
      </c>
      <c r="G308" s="1216"/>
      <c r="H308" s="536" t="s">
        <v>325</v>
      </c>
      <c r="I308" s="536"/>
      <c r="J308" s="536"/>
      <c r="K308" s="536"/>
      <c r="L308" s="536"/>
      <c r="M308" s="536"/>
      <c r="N308" s="536"/>
      <c r="O308" s="536" t="s">
        <v>261</v>
      </c>
      <c r="P308" s="536" t="s">
        <v>325</v>
      </c>
      <c r="Q308" s="536"/>
      <c r="R308" s="536"/>
      <c r="S308" s="536"/>
      <c r="T308" s="536"/>
      <c r="U308" s="536"/>
      <c r="V308" s="544"/>
      <c r="W308" s="544"/>
      <c r="X308" s="544" t="s">
        <v>964</v>
      </c>
      <c r="Y308" s="544"/>
      <c r="Z308" s="536"/>
      <c r="AA308" s="536"/>
      <c r="AB308" s="564">
        <f t="shared" ref="AB308:AB331" si="4">Z308*8+AA308</f>
        <v>0</v>
      </c>
      <c r="AC308" s="536"/>
      <c r="AD308" s="536"/>
      <c r="AE308" s="536"/>
      <c r="AF308" s="536"/>
      <c r="AG308" s="536"/>
      <c r="AH308" s="536"/>
      <c r="AI308" s="536"/>
      <c r="AJ308" s="536"/>
      <c r="AK308" s="212"/>
      <c r="AL308" s="364"/>
      <c r="AM308" s="1363"/>
      <c r="AN308" s="1363"/>
    </row>
    <row r="309" spans="1:40" s="1554" customFormat="1" ht="30.75" customHeight="1" outlineLevel="1">
      <c r="A309" s="1548"/>
      <c r="B309" s="1548"/>
      <c r="C309" s="1548"/>
      <c r="D309" s="1548"/>
      <c r="E309" s="1548"/>
      <c r="F309" s="1548"/>
      <c r="G309" s="1528"/>
      <c r="H309" s="1548" t="s">
        <v>325</v>
      </c>
      <c r="I309" s="1548"/>
      <c r="J309" s="1548"/>
      <c r="K309" s="1548"/>
      <c r="L309" s="1548"/>
      <c r="M309" s="1548"/>
      <c r="N309" s="1548"/>
      <c r="O309" s="1548" t="s">
        <v>261</v>
      </c>
      <c r="P309" s="1548" t="s">
        <v>325</v>
      </c>
      <c r="Q309" s="1548"/>
      <c r="R309" s="1548"/>
      <c r="S309" s="1548"/>
      <c r="T309" s="1548"/>
      <c r="U309" s="646"/>
      <c r="V309" s="1539"/>
      <c r="W309" s="1539"/>
      <c r="X309" s="1859" t="s">
        <v>532</v>
      </c>
      <c r="Y309" s="1539" t="s">
        <v>588</v>
      </c>
      <c r="Z309" s="1539">
        <v>0</v>
      </c>
      <c r="AA309" s="1548">
        <v>0</v>
      </c>
      <c r="AB309" s="1548">
        <f t="shared" si="4"/>
        <v>0</v>
      </c>
      <c r="AC309" s="1548">
        <v>16</v>
      </c>
      <c r="AD309" s="1548"/>
      <c r="AE309" s="1539"/>
      <c r="AF309" s="1539"/>
      <c r="AG309" s="1539"/>
      <c r="AH309" s="1539"/>
      <c r="AI309" s="1539"/>
      <c r="AJ309" s="1548"/>
      <c r="AK309" s="1548"/>
      <c r="AL309" s="1517"/>
      <c r="AM309" s="1528"/>
      <c r="AN309" s="1528"/>
    </row>
    <row r="310" spans="1:40" s="1554" customFormat="1" ht="30.75" customHeight="1" outlineLevel="1">
      <c r="A310" s="1548"/>
      <c r="B310" s="1548"/>
      <c r="C310" s="1548"/>
      <c r="D310" s="1548"/>
      <c r="E310" s="1548"/>
      <c r="F310" s="1548"/>
      <c r="G310" s="1528"/>
      <c r="H310" s="1548" t="s">
        <v>325</v>
      </c>
      <c r="I310" s="1548"/>
      <c r="J310" s="1548"/>
      <c r="K310" s="1548"/>
      <c r="L310" s="1548"/>
      <c r="M310" s="1548"/>
      <c r="N310" s="1548"/>
      <c r="O310" s="1548" t="s">
        <v>261</v>
      </c>
      <c r="P310" s="1548" t="s">
        <v>325</v>
      </c>
      <c r="Q310" s="1548"/>
      <c r="R310" s="1548"/>
      <c r="S310" s="1548"/>
      <c r="T310" s="1548"/>
      <c r="U310" s="646"/>
      <c r="V310" s="1539"/>
      <c r="W310" s="1539"/>
      <c r="X310" s="1860" t="s">
        <v>534</v>
      </c>
      <c r="Y310" s="1539" t="s">
        <v>589</v>
      </c>
      <c r="Z310" s="1539">
        <v>2</v>
      </c>
      <c r="AA310" s="1548">
        <v>0</v>
      </c>
      <c r="AB310" s="1548">
        <f t="shared" si="4"/>
        <v>16</v>
      </c>
      <c r="AC310" s="1548">
        <v>8</v>
      </c>
      <c r="AD310" s="1548"/>
      <c r="AE310" s="1539"/>
      <c r="AF310" s="1539"/>
      <c r="AG310" s="1539"/>
      <c r="AH310" s="1539"/>
      <c r="AI310" s="1539"/>
      <c r="AJ310" s="1548" t="s">
        <v>536</v>
      </c>
      <c r="AK310" s="1548"/>
      <c r="AL310" s="1517"/>
      <c r="AM310" s="1528"/>
      <c r="AN310" s="1528"/>
    </row>
    <row r="311" spans="1:40" s="1554" customFormat="1" ht="45.75" customHeight="1" outlineLevel="1">
      <c r="A311" s="1548"/>
      <c r="B311" s="1548"/>
      <c r="C311" s="1548"/>
      <c r="D311" s="1548"/>
      <c r="E311" s="1548"/>
      <c r="F311" s="1548"/>
      <c r="G311" s="1528"/>
      <c r="H311" s="1548" t="s">
        <v>325</v>
      </c>
      <c r="I311" s="1548"/>
      <c r="J311" s="1548"/>
      <c r="K311" s="1548"/>
      <c r="L311" s="1548"/>
      <c r="M311" s="1548"/>
      <c r="N311" s="1548"/>
      <c r="O311" s="1548" t="s">
        <v>261</v>
      </c>
      <c r="P311" s="1548" t="s">
        <v>325</v>
      </c>
      <c r="Q311" s="1548"/>
      <c r="R311" s="1548"/>
      <c r="S311" s="1548"/>
      <c r="T311" s="1548"/>
      <c r="U311" s="646"/>
      <c r="V311" s="1539"/>
      <c r="W311" s="1539"/>
      <c r="X311" s="1861" t="s">
        <v>537</v>
      </c>
      <c r="Y311" s="1539" t="s">
        <v>590</v>
      </c>
      <c r="Z311" s="1539">
        <v>3</v>
      </c>
      <c r="AA311" s="1548">
        <v>0</v>
      </c>
      <c r="AB311" s="1548">
        <f t="shared" si="4"/>
        <v>24</v>
      </c>
      <c r="AC311" s="1548">
        <v>8</v>
      </c>
      <c r="AD311" s="1548"/>
      <c r="AE311" s="1539"/>
      <c r="AF311" s="1539"/>
      <c r="AG311" s="1539"/>
      <c r="AH311" s="1539"/>
      <c r="AI311" s="1539"/>
      <c r="AJ311" s="1548" t="s">
        <v>539</v>
      </c>
      <c r="AK311" s="1548"/>
      <c r="AL311" s="1517"/>
      <c r="AM311" s="1528"/>
      <c r="AN311" s="1528"/>
    </row>
    <row r="312" spans="1:40" s="1554" customFormat="1" ht="30.75" customHeight="1" outlineLevel="1">
      <c r="A312" s="1548"/>
      <c r="B312" s="1548"/>
      <c r="C312" s="1548"/>
      <c r="D312" s="1548"/>
      <c r="E312" s="1548"/>
      <c r="F312" s="1548"/>
      <c r="G312" s="1528"/>
      <c r="H312" s="1548" t="s">
        <v>325</v>
      </c>
      <c r="I312" s="1548"/>
      <c r="J312" s="1548"/>
      <c r="K312" s="1548"/>
      <c r="L312" s="1548"/>
      <c r="M312" s="1548"/>
      <c r="N312" s="1548"/>
      <c r="O312" s="1548" t="s">
        <v>261</v>
      </c>
      <c r="P312" s="1548" t="s">
        <v>325</v>
      </c>
      <c r="Q312" s="1548"/>
      <c r="R312" s="1548"/>
      <c r="S312" s="1548"/>
      <c r="T312" s="1548"/>
      <c r="U312" s="646"/>
      <c r="V312" s="1539"/>
      <c r="W312" s="1539"/>
      <c r="X312" s="1862" t="s">
        <v>540</v>
      </c>
      <c r="Y312" s="1539" t="s">
        <v>591</v>
      </c>
      <c r="Z312" s="1539">
        <v>4</v>
      </c>
      <c r="AA312" s="1548">
        <v>0</v>
      </c>
      <c r="AB312" s="1548">
        <f t="shared" si="4"/>
        <v>32</v>
      </c>
      <c r="AC312" s="1548">
        <v>8</v>
      </c>
      <c r="AD312" s="1548"/>
      <c r="AE312" s="1539"/>
      <c r="AF312" s="1539"/>
      <c r="AG312" s="1539"/>
      <c r="AH312" s="1539"/>
      <c r="AI312" s="1539"/>
      <c r="AJ312" s="1548" t="s">
        <v>542</v>
      </c>
      <c r="AK312" s="1548"/>
      <c r="AL312" s="1517"/>
      <c r="AM312" s="1528"/>
      <c r="AN312" s="1528"/>
    </row>
    <row r="313" spans="1:40" s="1554" customFormat="1" ht="14.25" customHeight="1">
      <c r="A313" s="1548"/>
      <c r="B313" s="1548"/>
      <c r="C313" s="1548"/>
      <c r="D313" s="1548"/>
      <c r="E313" s="1548"/>
      <c r="F313" s="1548"/>
      <c r="G313" s="1528"/>
      <c r="H313" s="1548" t="s">
        <v>325</v>
      </c>
      <c r="I313" s="1548"/>
      <c r="J313" s="1548"/>
      <c r="K313" s="1548"/>
      <c r="L313" s="1548"/>
      <c r="M313" s="1548"/>
      <c r="N313" s="1548"/>
      <c r="O313" s="1548" t="s">
        <v>261</v>
      </c>
      <c r="P313" s="1548" t="s">
        <v>325</v>
      </c>
      <c r="Q313" s="1548"/>
      <c r="R313" s="1548"/>
      <c r="S313" s="1548"/>
      <c r="T313" s="1548"/>
      <c r="U313" s="646"/>
      <c r="V313" s="1539"/>
      <c r="W313" s="1539"/>
      <c r="X313" s="1863" t="s">
        <v>543</v>
      </c>
      <c r="Y313" s="1539" t="s">
        <v>592</v>
      </c>
      <c r="Z313" s="1539">
        <v>5</v>
      </c>
      <c r="AA313" s="1548">
        <v>0</v>
      </c>
      <c r="AB313" s="1548">
        <f t="shared" si="4"/>
        <v>40</v>
      </c>
      <c r="AC313" s="1548">
        <v>24</v>
      </c>
      <c r="AD313" s="1548"/>
      <c r="AE313" s="1539"/>
      <c r="AF313" s="1539"/>
      <c r="AG313" s="1539"/>
      <c r="AH313" s="1539"/>
      <c r="AI313" s="1539"/>
      <c r="AJ313" s="1548" t="s">
        <v>545</v>
      </c>
      <c r="AK313" s="1548"/>
      <c r="AL313" s="1517"/>
      <c r="AM313" s="1528"/>
      <c r="AN313" s="1528"/>
    </row>
    <row r="314" spans="1:40" s="1554" customFormat="1" ht="18" customHeight="1" outlineLevel="1">
      <c r="A314" s="765">
        <v>57</v>
      </c>
      <c r="B314" s="765" t="s">
        <v>962</v>
      </c>
      <c r="C314" s="765" t="s">
        <v>965</v>
      </c>
      <c r="D314" s="765" t="s">
        <v>844</v>
      </c>
      <c r="E314" s="765">
        <v>8</v>
      </c>
      <c r="F314" s="765" t="s">
        <v>260</v>
      </c>
      <c r="G314" s="816"/>
      <c r="H314" s="765" t="s">
        <v>325</v>
      </c>
      <c r="I314" s="765"/>
      <c r="J314" s="765"/>
      <c r="K314" s="765"/>
      <c r="L314" s="765"/>
      <c r="M314" s="765"/>
      <c r="N314" s="765"/>
      <c r="O314" s="765" t="s">
        <v>261</v>
      </c>
      <c r="P314" s="765" t="s">
        <v>325</v>
      </c>
      <c r="Q314" s="765"/>
      <c r="R314" s="765"/>
      <c r="S314" s="765"/>
      <c r="T314" s="765"/>
      <c r="U314" s="765"/>
      <c r="V314" s="821"/>
      <c r="W314" s="821"/>
      <c r="X314" s="821" t="s">
        <v>966</v>
      </c>
      <c r="Y314" s="821"/>
      <c r="Z314" s="765"/>
      <c r="AA314" s="765"/>
      <c r="AB314" s="1548">
        <f t="shared" si="4"/>
        <v>0</v>
      </c>
      <c r="AC314" s="765"/>
      <c r="AD314" s="765"/>
      <c r="AE314" s="765"/>
      <c r="AF314" s="765"/>
      <c r="AG314" s="765"/>
      <c r="AH314" s="765"/>
      <c r="AI314" s="765"/>
      <c r="AJ314" s="765"/>
      <c r="AK314" s="765"/>
      <c r="AL314" s="1517"/>
      <c r="AM314" s="1528"/>
      <c r="AN314" s="1528"/>
    </row>
    <row r="315" spans="1:40" ht="45.75" customHeight="1" outlineLevel="1">
      <c r="A315" s="1500"/>
      <c r="B315" s="1500"/>
      <c r="C315" s="1500"/>
      <c r="D315" s="1500"/>
      <c r="E315" s="1500"/>
      <c r="F315" s="1500"/>
      <c r="G315" s="1363"/>
      <c r="H315" s="1500" t="s">
        <v>325</v>
      </c>
      <c r="I315" s="1500"/>
      <c r="J315" s="1500"/>
      <c r="K315" s="1500"/>
      <c r="L315" s="1500"/>
      <c r="M315" s="1500"/>
      <c r="N315" s="1500"/>
      <c r="O315" s="1500" t="s">
        <v>261</v>
      </c>
      <c r="P315" s="1500" t="s">
        <v>325</v>
      </c>
      <c r="Q315" s="1500"/>
      <c r="R315" s="1500"/>
      <c r="S315" s="1500"/>
      <c r="T315" s="1500"/>
      <c r="U315" s="1389"/>
      <c r="V315" s="117"/>
      <c r="W315" s="117"/>
      <c r="X315" s="1864" t="s">
        <v>549</v>
      </c>
      <c r="Y315" s="484" t="s">
        <v>849</v>
      </c>
      <c r="Z315" s="484">
        <v>0</v>
      </c>
      <c r="AA315" s="1512">
        <v>0</v>
      </c>
      <c r="AB315" s="1512">
        <f t="shared" si="4"/>
        <v>0</v>
      </c>
      <c r="AC315" s="1512">
        <v>8</v>
      </c>
      <c r="AD315" s="1527"/>
      <c r="AE315" s="1538" t="s">
        <v>551</v>
      </c>
      <c r="AF315" s="134"/>
      <c r="AG315" s="134"/>
      <c r="AH315" s="134"/>
      <c r="AI315" s="134"/>
      <c r="AJ315" s="134"/>
      <c r="AK315" s="1389"/>
      <c r="AL315" s="364"/>
      <c r="AM315" s="1363"/>
      <c r="AN315" s="1363"/>
    </row>
    <row r="316" spans="1:40" ht="75.75" customHeight="1" outlineLevel="1">
      <c r="A316" s="80"/>
      <c r="B316" s="80"/>
      <c r="C316" s="80"/>
      <c r="D316" s="80"/>
      <c r="E316" s="80"/>
      <c r="F316" s="80"/>
      <c r="G316" s="182"/>
      <c r="H316" s="80" t="s">
        <v>325</v>
      </c>
      <c r="I316" s="80"/>
      <c r="J316" s="80"/>
      <c r="K316" s="80"/>
      <c r="L316" s="80"/>
      <c r="M316" s="80"/>
      <c r="N316" s="80"/>
      <c r="O316" s="80" t="s">
        <v>261</v>
      </c>
      <c r="P316" s="80" t="s">
        <v>325</v>
      </c>
      <c r="Q316" s="80"/>
      <c r="R316" s="80"/>
      <c r="S316" s="80"/>
      <c r="T316" s="80"/>
      <c r="U316" s="59"/>
      <c r="V316" s="117"/>
      <c r="W316" s="117"/>
      <c r="X316" s="1865" t="s">
        <v>552</v>
      </c>
      <c r="Y316" s="644" t="s">
        <v>850</v>
      </c>
      <c r="Z316" s="644">
        <v>1</v>
      </c>
      <c r="AA316" s="595">
        <v>0</v>
      </c>
      <c r="AB316" s="595">
        <f t="shared" si="4"/>
        <v>8</v>
      </c>
      <c r="AC316" s="595">
        <v>8</v>
      </c>
      <c r="AD316" s="609"/>
      <c r="AE316" s="599" t="s">
        <v>554</v>
      </c>
      <c r="AF316" s="646"/>
      <c r="AG316" s="646"/>
      <c r="AH316" s="646"/>
      <c r="AI316" s="646"/>
      <c r="AJ316" s="646"/>
      <c r="AK316" s="59"/>
    </row>
    <row r="317" spans="1:40" ht="75.75" customHeight="1" outlineLevel="1">
      <c r="A317" s="80"/>
      <c r="B317" s="80"/>
      <c r="C317" s="80"/>
      <c r="D317" s="80"/>
      <c r="E317" s="80"/>
      <c r="F317" s="80"/>
      <c r="G317" s="182"/>
      <c r="H317" s="80" t="s">
        <v>325</v>
      </c>
      <c r="I317" s="80"/>
      <c r="J317" s="80"/>
      <c r="K317" s="80"/>
      <c r="L317" s="80"/>
      <c r="M317" s="80"/>
      <c r="N317" s="80"/>
      <c r="O317" s="80" t="s">
        <v>261</v>
      </c>
      <c r="P317" s="80" t="s">
        <v>325</v>
      </c>
      <c r="Q317" s="80"/>
      <c r="R317" s="80"/>
      <c r="S317" s="80"/>
      <c r="T317" s="80"/>
      <c r="U317" s="59"/>
      <c r="V317" s="117"/>
      <c r="W317" s="117"/>
      <c r="X317" s="1866" t="s">
        <v>555</v>
      </c>
      <c r="Y317" s="644" t="s">
        <v>851</v>
      </c>
      <c r="Z317" s="644">
        <v>2</v>
      </c>
      <c r="AA317" s="595">
        <v>0</v>
      </c>
      <c r="AB317" s="595">
        <f t="shared" si="4"/>
        <v>16</v>
      </c>
      <c r="AC317" s="595">
        <v>8</v>
      </c>
      <c r="AD317" s="609"/>
      <c r="AE317" s="599" t="s">
        <v>557</v>
      </c>
      <c r="AF317" s="646"/>
      <c r="AG317" s="646"/>
      <c r="AH317" s="646"/>
      <c r="AI317" s="646"/>
      <c r="AJ317" s="646"/>
      <c r="AK317" s="59"/>
    </row>
    <row r="318" spans="1:40" ht="75.75" customHeight="1" outlineLevel="1">
      <c r="A318" s="80"/>
      <c r="B318" s="80"/>
      <c r="C318" s="80"/>
      <c r="D318" s="80"/>
      <c r="E318" s="80"/>
      <c r="F318" s="80"/>
      <c r="G318" s="182"/>
      <c r="H318" s="80" t="s">
        <v>325</v>
      </c>
      <c r="I318" s="80"/>
      <c r="J318" s="80"/>
      <c r="K318" s="80"/>
      <c r="L318" s="80"/>
      <c r="M318" s="80"/>
      <c r="N318" s="80"/>
      <c r="O318" s="80" t="s">
        <v>261</v>
      </c>
      <c r="P318" s="80" t="s">
        <v>325</v>
      </c>
      <c r="Q318" s="80"/>
      <c r="R318" s="80"/>
      <c r="S318" s="80"/>
      <c r="T318" s="80"/>
      <c r="U318" s="59"/>
      <c r="V318" s="117"/>
      <c r="W318" s="117"/>
      <c r="X318" s="1867" t="s">
        <v>558</v>
      </c>
      <c r="Y318" s="644" t="s">
        <v>852</v>
      </c>
      <c r="Z318" s="644">
        <v>3</v>
      </c>
      <c r="AA318" s="595">
        <v>0</v>
      </c>
      <c r="AB318" s="595">
        <f t="shared" si="4"/>
        <v>24</v>
      </c>
      <c r="AC318" s="595">
        <v>8</v>
      </c>
      <c r="AD318" s="609"/>
      <c r="AE318" s="599" t="s">
        <v>560</v>
      </c>
      <c r="AF318" s="646"/>
      <c r="AG318" s="646"/>
      <c r="AH318" s="646"/>
      <c r="AI318" s="646"/>
      <c r="AJ318" s="646"/>
      <c r="AK318" s="59"/>
    </row>
    <row r="319" spans="1:40" ht="45.75" customHeight="1" outlineLevel="1">
      <c r="A319" s="80"/>
      <c r="B319" s="80"/>
      <c r="C319" s="80"/>
      <c r="D319" s="80"/>
      <c r="E319" s="80"/>
      <c r="F319" s="80"/>
      <c r="G319" s="182"/>
      <c r="H319" s="80" t="s">
        <v>325</v>
      </c>
      <c r="I319" s="80"/>
      <c r="J319" s="80"/>
      <c r="K319" s="80"/>
      <c r="L319" s="80"/>
      <c r="M319" s="80"/>
      <c r="N319" s="80"/>
      <c r="O319" s="80" t="s">
        <v>261</v>
      </c>
      <c r="P319" s="80" t="s">
        <v>325</v>
      </c>
      <c r="Q319" s="80"/>
      <c r="R319" s="80"/>
      <c r="S319" s="80"/>
      <c r="T319" s="80"/>
      <c r="U319" s="59"/>
      <c r="V319" s="117"/>
      <c r="W319" s="117"/>
      <c r="X319" s="1868" t="s">
        <v>561</v>
      </c>
      <c r="Y319" s="644" t="s">
        <v>853</v>
      </c>
      <c r="Z319" s="644">
        <v>4</v>
      </c>
      <c r="AA319" s="595">
        <v>0</v>
      </c>
      <c r="AB319" s="595">
        <f t="shared" si="4"/>
        <v>32</v>
      </c>
      <c r="AC319" s="595">
        <v>8</v>
      </c>
      <c r="AD319" s="609"/>
      <c r="AE319" s="599" t="s">
        <v>563</v>
      </c>
      <c r="AF319" s="646"/>
      <c r="AG319" s="646"/>
      <c r="AH319" s="646"/>
      <c r="AI319" s="646"/>
      <c r="AJ319" s="646"/>
      <c r="AK319" s="59"/>
    </row>
    <row r="320" spans="1:40" ht="75.75" customHeight="1" outlineLevel="1">
      <c r="A320" s="80"/>
      <c r="B320" s="80"/>
      <c r="C320" s="80"/>
      <c r="D320" s="80"/>
      <c r="E320" s="80"/>
      <c r="F320" s="80"/>
      <c r="G320" s="182"/>
      <c r="H320" s="80" t="s">
        <v>325</v>
      </c>
      <c r="I320" s="80"/>
      <c r="J320" s="80"/>
      <c r="K320" s="80"/>
      <c r="L320" s="80"/>
      <c r="M320" s="80"/>
      <c r="N320" s="80"/>
      <c r="O320" s="80" t="s">
        <v>261</v>
      </c>
      <c r="P320" s="80" t="s">
        <v>325</v>
      </c>
      <c r="Q320" s="80"/>
      <c r="R320" s="80"/>
      <c r="S320" s="80"/>
      <c r="T320" s="80"/>
      <c r="U320" s="59"/>
      <c r="V320" s="117"/>
      <c r="W320" s="117"/>
      <c r="X320" s="1869" t="s">
        <v>564</v>
      </c>
      <c r="Y320" s="644" t="s">
        <v>854</v>
      </c>
      <c r="Z320" s="644">
        <v>5</v>
      </c>
      <c r="AA320" s="595">
        <v>0</v>
      </c>
      <c r="AB320" s="595">
        <f t="shared" si="4"/>
        <v>40</v>
      </c>
      <c r="AC320" s="595">
        <v>8</v>
      </c>
      <c r="AD320" s="609"/>
      <c r="AE320" s="599" t="s">
        <v>566</v>
      </c>
      <c r="AF320" s="646"/>
      <c r="AG320" s="646"/>
      <c r="AH320" s="646"/>
      <c r="AI320" s="646"/>
      <c r="AJ320" s="646"/>
      <c r="AK320" s="59"/>
    </row>
    <row r="321" spans="1:40" ht="75.75" customHeight="1" outlineLevel="1">
      <c r="A321" s="80"/>
      <c r="B321" s="80"/>
      <c r="C321" s="80"/>
      <c r="D321" s="80"/>
      <c r="E321" s="80"/>
      <c r="F321" s="80"/>
      <c r="G321" s="182"/>
      <c r="H321" s="80" t="s">
        <v>325</v>
      </c>
      <c r="I321" s="80"/>
      <c r="J321" s="80"/>
      <c r="K321" s="80"/>
      <c r="L321" s="80"/>
      <c r="M321" s="80"/>
      <c r="N321" s="80"/>
      <c r="O321" s="80" t="s">
        <v>261</v>
      </c>
      <c r="P321" s="80" t="s">
        <v>325</v>
      </c>
      <c r="Q321" s="80"/>
      <c r="R321" s="80"/>
      <c r="S321" s="80"/>
      <c r="T321" s="80"/>
      <c r="U321" s="59"/>
      <c r="V321" s="117"/>
      <c r="W321" s="117"/>
      <c r="X321" s="1870" t="s">
        <v>567</v>
      </c>
      <c r="Y321" s="644" t="s">
        <v>855</v>
      </c>
      <c r="Z321" s="644">
        <v>6</v>
      </c>
      <c r="AA321" s="595">
        <v>0</v>
      </c>
      <c r="AB321" s="595">
        <f t="shared" si="4"/>
        <v>48</v>
      </c>
      <c r="AC321" s="595">
        <v>8</v>
      </c>
      <c r="AD321" s="609"/>
      <c r="AE321" s="599" t="s">
        <v>569</v>
      </c>
      <c r="AF321" s="646"/>
      <c r="AG321" s="646"/>
      <c r="AH321" s="646"/>
      <c r="AI321" s="646"/>
      <c r="AJ321" s="646"/>
      <c r="AK321" s="59"/>
    </row>
    <row r="322" spans="1:40" ht="14.25" customHeight="1">
      <c r="A322" s="80"/>
      <c r="B322" s="80"/>
      <c r="C322" s="80"/>
      <c r="D322" s="80"/>
      <c r="E322" s="80"/>
      <c r="F322" s="80"/>
      <c r="G322" s="182"/>
      <c r="H322" s="80" t="s">
        <v>325</v>
      </c>
      <c r="I322" s="80"/>
      <c r="J322" s="80"/>
      <c r="K322" s="80"/>
      <c r="L322" s="80"/>
      <c r="M322" s="80"/>
      <c r="N322" s="80"/>
      <c r="O322" s="80" t="s">
        <v>261</v>
      </c>
      <c r="P322" s="80" t="s">
        <v>325</v>
      </c>
      <c r="Q322" s="80"/>
      <c r="R322" s="80"/>
      <c r="S322" s="80"/>
      <c r="T322" s="80"/>
      <c r="U322" s="59"/>
      <c r="V322" s="117"/>
      <c r="W322" s="117"/>
      <c r="X322" s="1871" t="s">
        <v>570</v>
      </c>
      <c r="Y322" s="644" t="s">
        <v>856</v>
      </c>
      <c r="Z322" s="644">
        <v>7</v>
      </c>
      <c r="AA322" s="595">
        <v>0</v>
      </c>
      <c r="AB322" s="595">
        <f t="shared" si="4"/>
        <v>56</v>
      </c>
      <c r="AC322" s="595">
        <v>8</v>
      </c>
      <c r="AD322" s="609"/>
      <c r="AE322" s="599" t="s">
        <v>572</v>
      </c>
      <c r="AF322" s="646"/>
      <c r="AG322" s="646"/>
      <c r="AH322" s="646"/>
      <c r="AI322" s="646"/>
      <c r="AJ322" s="646"/>
      <c r="AK322" s="59"/>
    </row>
    <row r="323" spans="1:40" ht="18" customHeight="1" outlineLevel="1">
      <c r="A323" s="622">
        <v>58</v>
      </c>
      <c r="B323" s="622" t="s">
        <v>962</v>
      </c>
      <c r="C323" s="622" t="s">
        <v>967</v>
      </c>
      <c r="D323" s="622" t="s">
        <v>844</v>
      </c>
      <c r="E323" s="622">
        <v>8</v>
      </c>
      <c r="F323" s="622" t="s">
        <v>260</v>
      </c>
      <c r="G323" s="623"/>
      <c r="H323" s="622" t="s">
        <v>325</v>
      </c>
      <c r="I323" s="622"/>
      <c r="J323" s="622"/>
      <c r="K323" s="622"/>
      <c r="L323" s="622"/>
      <c r="M323" s="622"/>
      <c r="N323" s="622"/>
      <c r="O323" s="622" t="s">
        <v>261</v>
      </c>
      <c r="P323" s="622" t="s">
        <v>325</v>
      </c>
      <c r="Q323" s="622"/>
      <c r="R323" s="622"/>
      <c r="S323" s="622"/>
      <c r="T323" s="622"/>
      <c r="U323" s="622"/>
      <c r="V323" s="597"/>
      <c r="W323" s="597"/>
      <c r="X323" s="597" t="s">
        <v>968</v>
      </c>
      <c r="Y323" s="597"/>
      <c r="Z323" s="622"/>
      <c r="AA323" s="622"/>
      <c r="AB323" s="595">
        <f t="shared" si="4"/>
        <v>0</v>
      </c>
      <c r="AC323" s="622"/>
      <c r="AD323" s="622"/>
      <c r="AE323" s="622"/>
      <c r="AF323" s="622"/>
      <c r="AG323" s="622"/>
      <c r="AH323" s="622"/>
      <c r="AI323" s="622"/>
      <c r="AJ323" s="622"/>
      <c r="AK323" s="125"/>
    </row>
    <row r="324" spans="1:40" ht="45.75" customHeight="1" outlineLevel="1">
      <c r="A324" s="80"/>
      <c r="B324" s="80"/>
      <c r="C324" s="80"/>
      <c r="D324" s="80"/>
      <c r="E324" s="80"/>
      <c r="F324" s="80"/>
      <c r="G324" s="182"/>
      <c r="H324" s="80" t="s">
        <v>325</v>
      </c>
      <c r="I324" s="80"/>
      <c r="J324" s="80"/>
      <c r="K324" s="80"/>
      <c r="L324" s="80"/>
      <c r="M324" s="80"/>
      <c r="N324" s="80"/>
      <c r="O324" s="80" t="s">
        <v>261</v>
      </c>
      <c r="P324" s="80" t="s">
        <v>325</v>
      </c>
      <c r="Q324" s="80"/>
      <c r="R324" s="80"/>
      <c r="S324" s="80"/>
      <c r="T324" s="80"/>
      <c r="U324" s="59"/>
      <c r="V324" s="117"/>
      <c r="W324" s="117"/>
      <c r="X324" s="1872" t="s">
        <v>576</v>
      </c>
      <c r="Y324" s="644" t="s">
        <v>969</v>
      </c>
      <c r="Z324" s="120">
        <v>0</v>
      </c>
      <c r="AA324" s="71">
        <v>0</v>
      </c>
      <c r="AB324" s="595">
        <f t="shared" si="4"/>
        <v>0</v>
      </c>
      <c r="AC324" s="71">
        <v>8</v>
      </c>
      <c r="AD324" s="71"/>
      <c r="AE324" s="70" t="s">
        <v>578</v>
      </c>
      <c r="AF324" s="70"/>
      <c r="AG324" s="70"/>
      <c r="AH324" s="70"/>
      <c r="AI324" s="70"/>
      <c r="AJ324" s="71"/>
      <c r="AK324" s="80"/>
    </row>
    <row r="325" spans="1:40" ht="75.75" customHeight="1" outlineLevel="1">
      <c r="A325" s="80"/>
      <c r="B325" s="80"/>
      <c r="C325" s="80"/>
      <c r="D325" s="80"/>
      <c r="E325" s="80"/>
      <c r="F325" s="80"/>
      <c r="G325" s="182"/>
      <c r="H325" s="80" t="s">
        <v>325</v>
      </c>
      <c r="I325" s="80"/>
      <c r="J325" s="80"/>
      <c r="K325" s="80"/>
      <c r="L325" s="80"/>
      <c r="M325" s="80"/>
      <c r="N325" s="80"/>
      <c r="O325" s="80" t="s">
        <v>261</v>
      </c>
      <c r="P325" s="80" t="s">
        <v>325</v>
      </c>
      <c r="Q325" s="80"/>
      <c r="R325" s="80"/>
      <c r="S325" s="80"/>
      <c r="T325" s="80"/>
      <c r="U325" s="59"/>
      <c r="V325" s="117"/>
      <c r="W325" s="117"/>
      <c r="X325" s="1873" t="s">
        <v>579</v>
      </c>
      <c r="Y325" s="644" t="s">
        <v>970</v>
      </c>
      <c r="Z325" s="644">
        <v>1</v>
      </c>
      <c r="AA325" s="595">
        <v>0</v>
      </c>
      <c r="AB325" s="595">
        <f t="shared" si="4"/>
        <v>8</v>
      </c>
      <c r="AC325" s="595">
        <v>8</v>
      </c>
      <c r="AD325" s="595"/>
      <c r="AE325" s="599" t="s">
        <v>554</v>
      </c>
      <c r="AF325" s="599"/>
      <c r="AG325" s="599"/>
      <c r="AH325" s="599"/>
      <c r="AI325" s="599"/>
      <c r="AJ325" s="595"/>
      <c r="AK325" s="80"/>
    </row>
    <row r="326" spans="1:40" ht="75.75" customHeight="1" outlineLevel="1">
      <c r="A326" s="80"/>
      <c r="B326" s="80"/>
      <c r="C326" s="80"/>
      <c r="D326" s="80"/>
      <c r="E326" s="80"/>
      <c r="F326" s="80"/>
      <c r="G326" s="182"/>
      <c r="H326" s="80" t="s">
        <v>325</v>
      </c>
      <c r="I326" s="80"/>
      <c r="J326" s="80"/>
      <c r="K326" s="80"/>
      <c r="L326" s="80"/>
      <c r="M326" s="80"/>
      <c r="N326" s="80"/>
      <c r="O326" s="80" t="s">
        <v>261</v>
      </c>
      <c r="P326" s="80" t="s">
        <v>325</v>
      </c>
      <c r="Q326" s="80"/>
      <c r="R326" s="80"/>
      <c r="S326" s="80"/>
      <c r="T326" s="80"/>
      <c r="U326" s="59"/>
      <c r="V326" s="117"/>
      <c r="W326" s="117"/>
      <c r="X326" s="1874" t="s">
        <v>581</v>
      </c>
      <c r="Y326" s="644" t="s">
        <v>971</v>
      </c>
      <c r="Z326" s="644">
        <v>2</v>
      </c>
      <c r="AA326" s="595">
        <v>0</v>
      </c>
      <c r="AB326" s="595">
        <f t="shared" si="4"/>
        <v>16</v>
      </c>
      <c r="AC326" s="595">
        <v>8</v>
      </c>
      <c r="AD326" s="595"/>
      <c r="AE326" s="599" t="s">
        <v>557</v>
      </c>
      <c r="AF326" s="599"/>
      <c r="AG326" s="599"/>
      <c r="AH326" s="599"/>
      <c r="AI326" s="599"/>
      <c r="AJ326" s="595"/>
      <c r="AK326" s="80"/>
    </row>
    <row r="327" spans="1:40" ht="14.25" customHeight="1">
      <c r="A327" s="80"/>
      <c r="B327" s="80"/>
      <c r="C327" s="80"/>
      <c r="D327" s="80"/>
      <c r="E327" s="80"/>
      <c r="F327" s="80"/>
      <c r="G327" s="182"/>
      <c r="H327" s="80" t="s">
        <v>325</v>
      </c>
      <c r="I327" s="80"/>
      <c r="J327" s="80"/>
      <c r="K327" s="80"/>
      <c r="L327" s="80"/>
      <c r="M327" s="80"/>
      <c r="N327" s="80"/>
      <c r="O327" s="80" t="s">
        <v>261</v>
      </c>
      <c r="P327" s="80" t="s">
        <v>325</v>
      </c>
      <c r="Q327" s="80"/>
      <c r="R327" s="80"/>
      <c r="S327" s="80"/>
      <c r="T327" s="80"/>
      <c r="U327" s="59"/>
      <c r="V327" s="117"/>
      <c r="W327" s="117"/>
      <c r="X327" s="1875" t="s">
        <v>583</v>
      </c>
      <c r="Y327" s="644" t="s">
        <v>972</v>
      </c>
      <c r="Z327" s="644">
        <v>3</v>
      </c>
      <c r="AA327" s="595">
        <v>0</v>
      </c>
      <c r="AB327" s="595">
        <f t="shared" si="4"/>
        <v>24</v>
      </c>
      <c r="AC327" s="595">
        <v>8</v>
      </c>
      <c r="AD327" s="595"/>
      <c r="AE327" s="599" t="s">
        <v>560</v>
      </c>
      <c r="AF327" s="599"/>
      <c r="AG327" s="599"/>
      <c r="AH327" s="599"/>
      <c r="AI327" s="599"/>
      <c r="AJ327" s="595"/>
      <c r="AK327" s="80"/>
    </row>
    <row r="328" spans="1:40" ht="18" customHeight="1" outlineLevel="1">
      <c r="A328" s="622">
        <v>59</v>
      </c>
      <c r="B328" s="622" t="s">
        <v>962</v>
      </c>
      <c r="C328" s="622" t="s">
        <v>973</v>
      </c>
      <c r="D328" s="622" t="s">
        <v>617</v>
      </c>
      <c r="E328" s="622">
        <v>8</v>
      </c>
      <c r="F328" s="622" t="s">
        <v>260</v>
      </c>
      <c r="G328" s="623"/>
      <c r="H328" s="622"/>
      <c r="I328" s="622"/>
      <c r="J328" s="622"/>
      <c r="K328" s="622"/>
      <c r="L328" s="622"/>
      <c r="M328" s="622"/>
      <c r="N328" s="622"/>
      <c r="O328" s="622" t="s">
        <v>261</v>
      </c>
      <c r="P328" s="622" t="s">
        <v>325</v>
      </c>
      <c r="Q328" s="622"/>
      <c r="R328" s="622"/>
      <c r="S328" s="622"/>
      <c r="T328" s="622"/>
      <c r="U328" s="622"/>
      <c r="V328" s="597"/>
      <c r="W328" s="597"/>
      <c r="X328" s="597" t="s">
        <v>974</v>
      </c>
      <c r="Y328" s="597"/>
      <c r="Z328" s="622"/>
      <c r="AA328" s="622"/>
      <c r="AB328" s="595">
        <f t="shared" si="4"/>
        <v>0</v>
      </c>
      <c r="AC328" s="622"/>
      <c r="AD328" s="622"/>
      <c r="AE328" s="622"/>
      <c r="AF328" s="622"/>
      <c r="AG328" s="622"/>
      <c r="AH328" s="622"/>
      <c r="AI328" s="622"/>
      <c r="AJ328" s="622"/>
      <c r="AK328" s="125"/>
    </row>
    <row r="329" spans="1:40" ht="14.25" customHeight="1">
      <c r="B329" s="80"/>
      <c r="C329" s="80"/>
      <c r="D329" s="80"/>
      <c r="E329" s="80"/>
      <c r="F329" s="80"/>
      <c r="G329" s="182"/>
      <c r="H329" s="80"/>
      <c r="I329" s="80"/>
      <c r="J329" s="80"/>
      <c r="K329" s="80"/>
      <c r="L329" s="80"/>
      <c r="M329" s="80"/>
      <c r="N329" s="80"/>
      <c r="O329" s="80" t="s">
        <v>261</v>
      </c>
      <c r="P329" s="80" t="s">
        <v>325</v>
      </c>
      <c r="Q329" s="80"/>
      <c r="R329" s="80"/>
      <c r="S329" s="80"/>
      <c r="T329" s="80"/>
      <c r="U329" s="59"/>
      <c r="X329" s="66" t="s">
        <v>619</v>
      </c>
      <c r="AB329" s="595">
        <f t="shared" si="4"/>
        <v>0</v>
      </c>
    </row>
    <row r="330" spans="1:40" ht="18" customHeight="1" outlineLevel="1">
      <c r="A330" s="622">
        <v>60</v>
      </c>
      <c r="B330" s="622" t="s">
        <v>962</v>
      </c>
      <c r="C330" s="622" t="s">
        <v>975</v>
      </c>
      <c r="D330" s="622" t="s">
        <v>617</v>
      </c>
      <c r="E330" s="622">
        <v>8</v>
      </c>
      <c r="F330" s="622" t="s">
        <v>260</v>
      </c>
      <c r="G330" s="623"/>
      <c r="H330" s="622"/>
      <c r="I330" s="622"/>
      <c r="J330" s="622"/>
      <c r="K330" s="622"/>
      <c r="L330" s="622"/>
      <c r="M330" s="622"/>
      <c r="N330" s="622"/>
      <c r="O330" s="622" t="s">
        <v>325</v>
      </c>
      <c r="P330" s="622" t="s">
        <v>261</v>
      </c>
      <c r="Q330" s="622"/>
      <c r="R330" s="622"/>
      <c r="S330" s="622"/>
      <c r="T330" s="622"/>
      <c r="U330" s="622"/>
      <c r="V330" s="597"/>
      <c r="W330" s="597"/>
      <c r="X330" s="597" t="s">
        <v>976</v>
      </c>
      <c r="Y330" s="597"/>
      <c r="Z330" s="622"/>
      <c r="AA330" s="622"/>
      <c r="AB330" s="595">
        <f t="shared" si="4"/>
        <v>0</v>
      </c>
      <c r="AC330" s="622"/>
      <c r="AD330" s="622"/>
      <c r="AE330" s="622"/>
      <c r="AF330" s="622"/>
      <c r="AG330" s="622"/>
      <c r="AH330" s="622"/>
      <c r="AI330" s="622"/>
      <c r="AJ330" s="622"/>
      <c r="AK330" s="125"/>
    </row>
    <row r="331" spans="1:40" ht="15.75" customHeight="1">
      <c r="B331" s="80"/>
      <c r="C331" s="80"/>
      <c r="D331" s="80"/>
      <c r="E331" s="80"/>
      <c r="F331" s="80"/>
      <c r="G331" s="182"/>
      <c r="H331" s="80"/>
      <c r="I331" s="80"/>
      <c r="J331" s="80"/>
      <c r="K331" s="80"/>
      <c r="L331" s="80"/>
      <c r="M331" s="80"/>
      <c r="N331" s="80"/>
      <c r="O331" s="80" t="s">
        <v>325</v>
      </c>
      <c r="P331" s="80" t="s">
        <v>261</v>
      </c>
      <c r="Q331" s="80"/>
      <c r="R331" s="80"/>
      <c r="S331" s="80"/>
      <c r="T331" s="80"/>
      <c r="U331" s="59"/>
      <c r="X331" s="66" t="s">
        <v>619</v>
      </c>
      <c r="AB331" s="595">
        <f t="shared" si="4"/>
        <v>0</v>
      </c>
    </row>
    <row r="332" spans="1:40" s="1259" customFormat="1" ht="35.25" customHeight="1" outlineLevel="1">
      <c r="A332" s="1255">
        <v>61</v>
      </c>
      <c r="B332" s="1255" t="s">
        <v>977</v>
      </c>
      <c r="C332" s="1255" t="s">
        <v>978</v>
      </c>
      <c r="D332" s="1255" t="s">
        <v>259</v>
      </c>
      <c r="E332" s="1255">
        <v>8</v>
      </c>
      <c r="F332" s="1255" t="s">
        <v>260</v>
      </c>
      <c r="G332" s="1444" t="s">
        <v>325</v>
      </c>
      <c r="H332" s="1255"/>
      <c r="I332" s="1255"/>
      <c r="J332" s="1255"/>
      <c r="K332" s="1255"/>
      <c r="L332" s="1255"/>
      <c r="M332" s="1255"/>
      <c r="N332" s="1255"/>
      <c r="O332" s="1255" t="s">
        <v>325</v>
      </c>
      <c r="P332" s="1255"/>
      <c r="Q332" s="1255"/>
      <c r="R332" s="1255"/>
      <c r="S332" s="1255" t="s">
        <v>261</v>
      </c>
      <c r="T332" s="1255"/>
      <c r="U332" s="1255"/>
      <c r="V332" s="1256"/>
      <c r="W332" s="1256"/>
      <c r="X332" s="1256" t="s">
        <v>979</v>
      </c>
      <c r="Y332" s="1256"/>
      <c r="Z332" s="1255"/>
      <c r="AA332" s="1255"/>
      <c r="AB332" s="1307">
        <v>0</v>
      </c>
      <c r="AC332" s="1255"/>
      <c r="AD332" s="1255" t="s">
        <v>942</v>
      </c>
      <c r="AE332" s="1255"/>
      <c r="AF332" s="1255"/>
      <c r="AG332" s="1255"/>
      <c r="AH332" s="1255"/>
      <c r="AI332" s="1255"/>
      <c r="AJ332" s="1255"/>
      <c r="AK332" s="160"/>
      <c r="AL332" s="344"/>
      <c r="AM332" s="381"/>
      <c r="AN332" s="381"/>
    </row>
    <row r="333" spans="1:40" s="1259" customFormat="1" ht="30.75" customHeight="1" outlineLevel="1">
      <c r="A333" s="381"/>
      <c r="B333" s="215"/>
      <c r="C333" s="215"/>
      <c r="D333" s="215"/>
      <c r="E333" s="215"/>
      <c r="F333" s="215"/>
      <c r="G333" s="381" t="s">
        <v>325</v>
      </c>
      <c r="H333" s="215"/>
      <c r="I333" s="215"/>
      <c r="J333" s="215"/>
      <c r="K333" s="215"/>
      <c r="L333" s="215"/>
      <c r="M333" s="215"/>
      <c r="N333" s="215"/>
      <c r="O333" s="215" t="s">
        <v>325</v>
      </c>
      <c r="P333" s="215"/>
      <c r="Q333" s="215"/>
      <c r="R333" s="215"/>
      <c r="S333" s="215" t="s">
        <v>261</v>
      </c>
      <c r="T333" s="215"/>
      <c r="U333" s="217"/>
      <c r="V333" s="218"/>
      <c r="W333" s="218"/>
      <c r="X333" s="1374" t="s">
        <v>943</v>
      </c>
      <c r="Y333" s="119" t="s">
        <v>980</v>
      </c>
      <c r="Z333" s="121">
        <v>0</v>
      </c>
      <c r="AA333" s="122">
        <v>0</v>
      </c>
      <c r="AB333" s="843">
        <v>0</v>
      </c>
      <c r="AC333" s="122">
        <v>16</v>
      </c>
      <c r="AD333" s="122"/>
      <c r="AE333" s="1374" t="s">
        <v>945</v>
      </c>
      <c r="AF333" s="1374">
        <v>1</v>
      </c>
      <c r="AG333" s="1374">
        <v>0</v>
      </c>
      <c r="AH333" s="1374" t="s">
        <v>946</v>
      </c>
      <c r="AI333" s="1374"/>
      <c r="AJ333" s="122" t="s">
        <v>947</v>
      </c>
      <c r="AK333" s="215"/>
      <c r="AL333" s="344"/>
      <c r="AM333" s="381"/>
      <c r="AN333" s="381"/>
    </row>
    <row r="334" spans="1:40" s="1259" customFormat="1" ht="30.75" customHeight="1" outlineLevel="1">
      <c r="A334" s="381"/>
      <c r="B334" s="381"/>
      <c r="C334" s="381"/>
      <c r="D334" s="381"/>
      <c r="E334" s="381"/>
      <c r="F334" s="381"/>
      <c r="G334" s="381" t="s">
        <v>325</v>
      </c>
      <c r="H334" s="215"/>
      <c r="I334" s="215"/>
      <c r="J334" s="215"/>
      <c r="K334" s="215"/>
      <c r="L334" s="215"/>
      <c r="M334" s="215"/>
      <c r="N334" s="215"/>
      <c r="O334" s="215" t="s">
        <v>325</v>
      </c>
      <c r="P334" s="215"/>
      <c r="Q334" s="215"/>
      <c r="R334" s="215"/>
      <c r="S334" s="215" t="s">
        <v>261</v>
      </c>
      <c r="T334" s="215"/>
      <c r="U334" s="381"/>
      <c r="V334" s="218"/>
      <c r="W334" s="218"/>
      <c r="X334" s="1377" t="s">
        <v>948</v>
      </c>
      <c r="Y334" s="682" t="s">
        <v>981</v>
      </c>
      <c r="Z334" s="626">
        <v>2</v>
      </c>
      <c r="AA334" s="843">
        <v>0</v>
      </c>
      <c r="AB334" s="843">
        <v>16</v>
      </c>
      <c r="AC334" s="843">
        <v>8</v>
      </c>
      <c r="AD334" s="843"/>
      <c r="AE334" s="1377" t="s">
        <v>950</v>
      </c>
      <c r="AF334" s="1377">
        <v>0.1</v>
      </c>
      <c r="AG334" s="1377">
        <v>0</v>
      </c>
      <c r="AH334" s="1377" t="s">
        <v>951</v>
      </c>
      <c r="AI334" s="1377"/>
      <c r="AJ334" s="843" t="s">
        <v>952</v>
      </c>
      <c r="AK334" s="215"/>
      <c r="AL334" s="344"/>
      <c r="AM334" s="381"/>
      <c r="AN334" s="381"/>
    </row>
    <row r="335" spans="1:40" s="1259" customFormat="1" ht="45.75" customHeight="1" outlineLevel="1">
      <c r="A335" s="381"/>
      <c r="B335" s="381"/>
      <c r="C335" s="381"/>
      <c r="D335" s="381"/>
      <c r="E335" s="381"/>
      <c r="F335" s="381"/>
      <c r="G335" s="381" t="s">
        <v>325</v>
      </c>
      <c r="H335" s="215"/>
      <c r="I335" s="215"/>
      <c r="J335" s="215"/>
      <c r="K335" s="215"/>
      <c r="L335" s="215"/>
      <c r="M335" s="215"/>
      <c r="N335" s="215"/>
      <c r="O335" s="215" t="s">
        <v>325</v>
      </c>
      <c r="P335" s="215"/>
      <c r="Q335" s="215"/>
      <c r="R335" s="215"/>
      <c r="S335" s="215" t="s">
        <v>261</v>
      </c>
      <c r="T335" s="215"/>
      <c r="U335" s="381"/>
      <c r="V335" s="218"/>
      <c r="W335" s="218"/>
      <c r="X335" s="1377" t="s">
        <v>953</v>
      </c>
      <c r="Y335" s="682" t="s">
        <v>982</v>
      </c>
      <c r="Z335" s="626">
        <v>3</v>
      </c>
      <c r="AA335" s="843">
        <v>0</v>
      </c>
      <c r="AB335" s="843">
        <v>24</v>
      </c>
      <c r="AC335" s="843">
        <v>2</v>
      </c>
      <c r="AD335" s="843"/>
      <c r="AE335" s="1876" t="s">
        <v>983</v>
      </c>
      <c r="AF335" s="1377">
        <v>1</v>
      </c>
      <c r="AG335" s="1377">
        <v>0</v>
      </c>
      <c r="AH335" s="1377" t="s">
        <v>112</v>
      </c>
      <c r="AI335" s="1377"/>
      <c r="AJ335" s="843"/>
      <c r="AK335" s="215"/>
      <c r="AL335" s="344"/>
      <c r="AM335" s="381"/>
      <c r="AN335" s="381"/>
    </row>
    <row r="336" spans="1:40" s="1259" customFormat="1" ht="45.75" customHeight="1" outlineLevel="1">
      <c r="A336" s="381"/>
      <c r="B336" s="381"/>
      <c r="C336" s="381"/>
      <c r="D336" s="381"/>
      <c r="E336" s="381"/>
      <c r="F336" s="381"/>
      <c r="G336" s="381" t="s">
        <v>325</v>
      </c>
      <c r="H336" s="215"/>
      <c r="I336" s="215"/>
      <c r="J336" s="215"/>
      <c r="K336" s="215"/>
      <c r="L336" s="215"/>
      <c r="M336" s="215"/>
      <c r="N336" s="215"/>
      <c r="O336" s="215" t="s">
        <v>325</v>
      </c>
      <c r="P336" s="215"/>
      <c r="Q336" s="215"/>
      <c r="R336" s="215"/>
      <c r="S336" s="215" t="s">
        <v>261</v>
      </c>
      <c r="T336" s="215"/>
      <c r="U336" s="381"/>
      <c r="V336" s="381"/>
      <c r="W336" s="381"/>
      <c r="X336" s="1877" t="s">
        <v>984</v>
      </c>
      <c r="Y336" s="1310" t="s">
        <v>985</v>
      </c>
      <c r="Z336" s="626">
        <v>4</v>
      </c>
      <c r="AA336" s="843">
        <v>0</v>
      </c>
      <c r="AB336" s="843">
        <v>32</v>
      </c>
      <c r="AC336" s="843">
        <v>1</v>
      </c>
      <c r="AD336" s="843"/>
      <c r="AE336" s="1329" t="s">
        <v>986</v>
      </c>
      <c r="AF336" s="1377"/>
      <c r="AG336" s="1377"/>
      <c r="AH336" s="1377"/>
      <c r="AI336" s="1377"/>
      <c r="AJ336" s="843"/>
      <c r="AK336" s="215"/>
      <c r="AL336" s="344"/>
      <c r="AM336" s="381"/>
      <c r="AN336" s="381"/>
    </row>
    <row r="337" spans="1:40" s="1259" customFormat="1" ht="45.75" customHeight="1" outlineLevel="1">
      <c r="A337" s="381"/>
      <c r="B337" s="381"/>
      <c r="C337" s="381"/>
      <c r="D337" s="381"/>
      <c r="E337" s="381"/>
      <c r="F337" s="381"/>
      <c r="G337" s="381" t="s">
        <v>325</v>
      </c>
      <c r="H337" s="215"/>
      <c r="I337" s="215"/>
      <c r="J337" s="215"/>
      <c r="K337" s="215"/>
      <c r="L337" s="215"/>
      <c r="M337" s="215"/>
      <c r="N337" s="215"/>
      <c r="O337" s="215" t="s">
        <v>325</v>
      </c>
      <c r="P337" s="215"/>
      <c r="Q337" s="215"/>
      <c r="R337" s="215"/>
      <c r="S337" s="215" t="s">
        <v>261</v>
      </c>
      <c r="T337" s="215"/>
      <c r="U337" s="381"/>
      <c r="V337" s="381"/>
      <c r="W337" s="381"/>
      <c r="X337" s="1878" t="s">
        <v>987</v>
      </c>
      <c r="Y337" s="1310" t="s">
        <v>988</v>
      </c>
      <c r="Z337" s="626">
        <v>4</v>
      </c>
      <c r="AA337" s="843">
        <v>1</v>
      </c>
      <c r="AB337" s="843">
        <v>33</v>
      </c>
      <c r="AC337" s="843">
        <v>1</v>
      </c>
      <c r="AD337" s="843"/>
      <c r="AE337" s="1329" t="s">
        <v>986</v>
      </c>
      <c r="AF337" s="1377"/>
      <c r="AG337" s="1377"/>
      <c r="AH337" s="1377"/>
      <c r="AI337" s="1377"/>
      <c r="AJ337" s="843"/>
      <c r="AK337" s="215"/>
      <c r="AL337" s="344"/>
      <c r="AM337" s="381"/>
      <c r="AN337" s="381"/>
    </row>
    <row r="338" spans="1:40" s="1259" customFormat="1" ht="45.75" customHeight="1" outlineLevel="1">
      <c r="A338" s="381"/>
      <c r="B338" s="381"/>
      <c r="C338" s="381"/>
      <c r="D338" s="381"/>
      <c r="E338" s="381"/>
      <c r="F338" s="381"/>
      <c r="G338" s="381" t="s">
        <v>325</v>
      </c>
      <c r="H338" s="215"/>
      <c r="I338" s="215"/>
      <c r="J338" s="215"/>
      <c r="K338" s="215"/>
      <c r="L338" s="215"/>
      <c r="M338" s="215"/>
      <c r="N338" s="215"/>
      <c r="O338" s="215" t="s">
        <v>325</v>
      </c>
      <c r="P338" s="215"/>
      <c r="Q338" s="215"/>
      <c r="R338" s="215"/>
      <c r="S338" s="215" t="s">
        <v>261</v>
      </c>
      <c r="T338" s="215"/>
      <c r="U338" s="381"/>
      <c r="V338" s="381"/>
      <c r="W338" s="381"/>
      <c r="X338" s="1879" t="s">
        <v>989</v>
      </c>
      <c r="Y338" s="1310" t="s">
        <v>990</v>
      </c>
      <c r="Z338" s="626">
        <v>4</v>
      </c>
      <c r="AA338" s="843">
        <v>2</v>
      </c>
      <c r="AB338" s="843">
        <v>34</v>
      </c>
      <c r="AC338" s="843">
        <v>1</v>
      </c>
      <c r="AD338" s="843"/>
      <c r="AE338" s="1329" t="s">
        <v>986</v>
      </c>
      <c r="AF338" s="1377"/>
      <c r="AG338" s="1377"/>
      <c r="AH338" s="1377"/>
      <c r="AI338" s="1377"/>
      <c r="AJ338" s="843"/>
      <c r="AK338" s="215"/>
      <c r="AL338" s="344"/>
      <c r="AM338" s="381"/>
      <c r="AN338" s="381"/>
    </row>
    <row r="339" spans="1:40" s="1259" customFormat="1" ht="60.75" customHeight="1" outlineLevel="1">
      <c r="A339" s="381"/>
      <c r="B339" s="381"/>
      <c r="C339" s="381"/>
      <c r="D339" s="381"/>
      <c r="E339" s="381"/>
      <c r="F339" s="381"/>
      <c r="G339" s="381" t="s">
        <v>325</v>
      </c>
      <c r="H339" s="215"/>
      <c r="I339" s="215"/>
      <c r="J339" s="215"/>
      <c r="K339" s="215"/>
      <c r="L339" s="215"/>
      <c r="M339" s="215"/>
      <c r="N339" s="215"/>
      <c r="O339" s="215" t="s">
        <v>325</v>
      </c>
      <c r="P339" s="215"/>
      <c r="Q339" s="215"/>
      <c r="R339" s="215"/>
      <c r="S339" s="215" t="s">
        <v>261</v>
      </c>
      <c r="T339" s="215"/>
      <c r="U339" s="381"/>
      <c r="V339" s="381"/>
      <c r="W339" s="381"/>
      <c r="X339" s="1880" t="s">
        <v>991</v>
      </c>
      <c r="Y339" s="1310" t="s">
        <v>992</v>
      </c>
      <c r="Z339" s="626">
        <v>4</v>
      </c>
      <c r="AA339" s="843">
        <v>3</v>
      </c>
      <c r="AB339" s="843">
        <v>35</v>
      </c>
      <c r="AC339" s="843">
        <v>1</v>
      </c>
      <c r="AD339" s="843"/>
      <c r="AE339" s="1329" t="s">
        <v>986</v>
      </c>
      <c r="AF339" s="1377"/>
      <c r="AG339" s="1377"/>
      <c r="AH339" s="1377"/>
      <c r="AI339" s="1377"/>
      <c r="AJ339" s="843"/>
      <c r="AK339" s="215"/>
      <c r="AL339" s="344"/>
      <c r="AM339" s="381"/>
      <c r="AN339" s="381"/>
    </row>
    <row r="340" spans="1:40" s="1259" customFormat="1" ht="60.75" customHeight="1" outlineLevel="1">
      <c r="A340" s="381"/>
      <c r="B340" s="381"/>
      <c r="C340" s="381"/>
      <c r="D340" s="381"/>
      <c r="E340" s="381"/>
      <c r="F340" s="381"/>
      <c r="G340" s="381" t="s">
        <v>325</v>
      </c>
      <c r="H340" s="215"/>
      <c r="I340" s="215"/>
      <c r="J340" s="215"/>
      <c r="K340" s="215"/>
      <c r="L340" s="215"/>
      <c r="M340" s="215"/>
      <c r="N340" s="215"/>
      <c r="O340" s="215" t="s">
        <v>325</v>
      </c>
      <c r="P340" s="215"/>
      <c r="Q340" s="215"/>
      <c r="R340" s="215"/>
      <c r="S340" s="215" t="s">
        <v>261</v>
      </c>
      <c r="T340" s="215"/>
      <c r="U340" s="381"/>
      <c r="V340" s="381"/>
      <c r="W340" s="381"/>
      <c r="X340" s="1881" t="s">
        <v>993</v>
      </c>
      <c r="Y340" s="1310" t="s">
        <v>994</v>
      </c>
      <c r="Z340" s="626">
        <v>4</v>
      </c>
      <c r="AA340" s="843">
        <v>4</v>
      </c>
      <c r="AB340" s="843">
        <v>36</v>
      </c>
      <c r="AC340" s="843">
        <v>1</v>
      </c>
      <c r="AD340" s="843"/>
      <c r="AE340" s="1329" t="s">
        <v>986</v>
      </c>
      <c r="AF340" s="1377"/>
      <c r="AG340" s="1377"/>
      <c r="AH340" s="1377"/>
      <c r="AI340" s="1377"/>
      <c r="AJ340" s="843"/>
      <c r="AK340" s="215"/>
      <c r="AL340" s="344"/>
      <c r="AM340" s="381"/>
      <c r="AN340" s="381"/>
    </row>
    <row r="341" spans="1:40" s="1259" customFormat="1" ht="60.75" customHeight="1" outlineLevel="1">
      <c r="A341" s="381"/>
      <c r="B341" s="381"/>
      <c r="C341" s="381"/>
      <c r="D341" s="381"/>
      <c r="E341" s="381"/>
      <c r="F341" s="381"/>
      <c r="G341" s="381" t="s">
        <v>325</v>
      </c>
      <c r="H341" s="215"/>
      <c r="I341" s="215"/>
      <c r="J341" s="215"/>
      <c r="K341" s="215"/>
      <c r="L341" s="215"/>
      <c r="M341" s="215"/>
      <c r="N341" s="215"/>
      <c r="O341" s="215" t="s">
        <v>325</v>
      </c>
      <c r="P341" s="215"/>
      <c r="Q341" s="215"/>
      <c r="R341" s="215"/>
      <c r="S341" s="215" t="s">
        <v>261</v>
      </c>
      <c r="T341" s="215"/>
      <c r="U341" s="381"/>
      <c r="V341" s="381"/>
      <c r="W341" s="381"/>
      <c r="X341" s="1882" t="s">
        <v>995</v>
      </c>
      <c r="Y341" s="1310" t="s">
        <v>996</v>
      </c>
      <c r="Z341" s="626">
        <v>4</v>
      </c>
      <c r="AA341" s="843">
        <v>5</v>
      </c>
      <c r="AB341" s="843">
        <v>37</v>
      </c>
      <c r="AC341" s="843">
        <v>1</v>
      </c>
      <c r="AD341" s="843"/>
      <c r="AE341" s="1329" t="s">
        <v>986</v>
      </c>
      <c r="AF341" s="1377"/>
      <c r="AG341" s="1377"/>
      <c r="AH341" s="1377"/>
      <c r="AI341" s="1377"/>
      <c r="AJ341" s="843"/>
      <c r="AK341" s="215"/>
      <c r="AL341" s="344"/>
      <c r="AM341" s="381"/>
      <c r="AN341" s="381"/>
    </row>
    <row r="342" spans="1:40" s="1259" customFormat="1" ht="60.75" customHeight="1" outlineLevel="1">
      <c r="A342" s="381"/>
      <c r="B342" s="381"/>
      <c r="C342" s="381"/>
      <c r="D342" s="381"/>
      <c r="E342" s="381"/>
      <c r="F342" s="381"/>
      <c r="G342" s="381" t="s">
        <v>325</v>
      </c>
      <c r="H342" s="215"/>
      <c r="I342" s="215"/>
      <c r="J342" s="215"/>
      <c r="K342" s="215"/>
      <c r="L342" s="215"/>
      <c r="M342" s="215"/>
      <c r="N342" s="215"/>
      <c r="O342" s="215" t="s">
        <v>325</v>
      </c>
      <c r="P342" s="215"/>
      <c r="Q342" s="215"/>
      <c r="R342" s="215"/>
      <c r="S342" s="215" t="s">
        <v>261</v>
      </c>
      <c r="T342" s="215"/>
      <c r="U342" s="381"/>
      <c r="V342" s="381"/>
      <c r="W342" s="381"/>
      <c r="X342" s="1883" t="s">
        <v>997</v>
      </c>
      <c r="Y342" s="1310" t="s">
        <v>998</v>
      </c>
      <c r="Z342" s="626">
        <v>4</v>
      </c>
      <c r="AA342" s="843">
        <v>6</v>
      </c>
      <c r="AB342" s="843">
        <v>38</v>
      </c>
      <c r="AC342" s="843">
        <v>1</v>
      </c>
      <c r="AD342" s="843"/>
      <c r="AE342" s="1329" t="s">
        <v>986</v>
      </c>
      <c r="AF342" s="1377"/>
      <c r="AG342" s="1377"/>
      <c r="AH342" s="1377"/>
      <c r="AI342" s="1377"/>
      <c r="AJ342" s="843"/>
      <c r="AK342" s="215"/>
      <c r="AL342" s="344"/>
      <c r="AM342" s="381"/>
      <c r="AN342" s="381"/>
    </row>
    <row r="343" spans="1:40" s="1259" customFormat="1" ht="30.75" customHeight="1" outlineLevel="1">
      <c r="A343" s="381"/>
      <c r="B343" s="381"/>
      <c r="C343" s="381"/>
      <c r="D343" s="381"/>
      <c r="E343" s="381"/>
      <c r="F343" s="381"/>
      <c r="G343" s="381" t="s">
        <v>325</v>
      </c>
      <c r="H343" s="215"/>
      <c r="I343" s="215"/>
      <c r="J343" s="215"/>
      <c r="K343" s="215"/>
      <c r="L343" s="215"/>
      <c r="M343" s="215"/>
      <c r="N343" s="215"/>
      <c r="O343" s="215" t="s">
        <v>325</v>
      </c>
      <c r="P343" s="215"/>
      <c r="Q343" s="215"/>
      <c r="R343" s="215"/>
      <c r="S343" s="215" t="s">
        <v>261</v>
      </c>
      <c r="T343" s="215"/>
      <c r="U343" s="381"/>
      <c r="V343" s="381"/>
      <c r="W343" s="381"/>
      <c r="X343" s="1884" t="s">
        <v>999</v>
      </c>
      <c r="Y343" s="1310" t="s">
        <v>1000</v>
      </c>
      <c r="Z343" s="626">
        <v>4</v>
      </c>
      <c r="AA343" s="843">
        <v>7</v>
      </c>
      <c r="AB343" s="843">
        <v>39</v>
      </c>
      <c r="AC343" s="843">
        <v>1</v>
      </c>
      <c r="AD343" s="843"/>
      <c r="AE343" s="1329" t="s">
        <v>986</v>
      </c>
      <c r="AF343" s="1377"/>
      <c r="AG343" s="1377"/>
      <c r="AH343" s="1377"/>
      <c r="AI343" s="1377"/>
      <c r="AJ343" s="843"/>
      <c r="AK343" s="215"/>
      <c r="AL343" s="344"/>
      <c r="AM343" s="381"/>
      <c r="AN343" s="381"/>
    </row>
    <row r="344" spans="1:40" s="1259" customFormat="1" ht="30.75" customHeight="1" outlineLevel="1">
      <c r="A344" s="381"/>
      <c r="B344" s="381"/>
      <c r="C344" s="381"/>
      <c r="D344" s="381"/>
      <c r="E344" s="381"/>
      <c r="F344" s="381"/>
      <c r="G344" s="381" t="s">
        <v>325</v>
      </c>
      <c r="H344" s="215"/>
      <c r="I344" s="215"/>
      <c r="J344" s="215"/>
      <c r="K344" s="215"/>
      <c r="L344" s="215"/>
      <c r="M344" s="215"/>
      <c r="N344" s="215"/>
      <c r="O344" s="215" t="s">
        <v>325</v>
      </c>
      <c r="P344" s="215"/>
      <c r="Q344" s="215"/>
      <c r="R344" s="215"/>
      <c r="S344" s="215" t="s">
        <v>261</v>
      </c>
      <c r="T344" s="215"/>
      <c r="U344" s="381"/>
      <c r="V344" s="218"/>
      <c r="W344" s="218"/>
      <c r="X344" s="1885" t="s">
        <v>1001</v>
      </c>
      <c r="Y344" s="682" t="s">
        <v>1002</v>
      </c>
      <c r="Z344" s="626">
        <v>5</v>
      </c>
      <c r="AA344" s="843">
        <v>0</v>
      </c>
      <c r="AB344" s="843">
        <v>40</v>
      </c>
      <c r="AC344" s="843">
        <v>8</v>
      </c>
      <c r="AD344" s="1329"/>
      <c r="AE344" s="1329"/>
      <c r="AF344" s="1377">
        <v>1</v>
      </c>
      <c r="AG344" s="1377">
        <v>-40</v>
      </c>
      <c r="AH344" s="1377"/>
      <c r="AI344" s="1377">
        <v>0</v>
      </c>
      <c r="AJ344" s="1377" t="s">
        <v>508</v>
      </c>
      <c r="AK344" s="218"/>
      <c r="AL344" s="344"/>
      <c r="AM344" s="381"/>
      <c r="AN344" s="381"/>
    </row>
    <row r="345" spans="1:40" s="1259" customFormat="1" ht="45.75" customHeight="1" outlineLevel="1">
      <c r="A345" s="381"/>
      <c r="B345" s="381"/>
      <c r="C345" s="381"/>
      <c r="D345" s="381"/>
      <c r="E345" s="381"/>
      <c r="F345" s="381"/>
      <c r="G345" s="381" t="s">
        <v>325</v>
      </c>
      <c r="H345" s="215"/>
      <c r="I345" s="215"/>
      <c r="J345" s="215"/>
      <c r="K345" s="215"/>
      <c r="L345" s="215"/>
      <c r="M345" s="215"/>
      <c r="N345" s="215"/>
      <c r="O345" s="215" t="s">
        <v>325</v>
      </c>
      <c r="P345" s="215"/>
      <c r="Q345" s="215"/>
      <c r="R345" s="215"/>
      <c r="S345" s="215" t="s">
        <v>261</v>
      </c>
      <c r="T345" s="215"/>
      <c r="U345" s="381"/>
      <c r="V345" s="218"/>
      <c r="W345" s="218"/>
      <c r="X345" s="1377" t="s">
        <v>1003</v>
      </c>
      <c r="Y345" s="682" t="s">
        <v>1004</v>
      </c>
      <c r="Z345" s="626">
        <v>6</v>
      </c>
      <c r="AA345" s="843">
        <v>0</v>
      </c>
      <c r="AB345" s="843">
        <v>48</v>
      </c>
      <c r="AC345" s="843">
        <v>8</v>
      </c>
      <c r="AD345" s="1329"/>
      <c r="AE345" s="1329"/>
      <c r="AF345" s="1377">
        <v>0.1</v>
      </c>
      <c r="AG345" s="1377">
        <v>0</v>
      </c>
      <c r="AH345" s="1377"/>
      <c r="AI345" s="1377"/>
      <c r="AJ345" s="1377" t="s">
        <v>98</v>
      </c>
      <c r="AK345" s="218"/>
      <c r="AL345" s="344"/>
      <c r="AM345" s="381"/>
      <c r="AN345" s="381"/>
    </row>
    <row r="346" spans="1:40" s="1259" customFormat="1" ht="14.25" customHeight="1" outlineLevel="1">
      <c r="A346" s="381"/>
      <c r="B346" s="381"/>
      <c r="C346" s="381"/>
      <c r="D346" s="381"/>
      <c r="E346" s="381"/>
      <c r="F346" s="381"/>
      <c r="G346" s="381" t="s">
        <v>325</v>
      </c>
      <c r="H346" s="215"/>
      <c r="I346" s="215"/>
      <c r="J346" s="215"/>
      <c r="K346" s="215"/>
      <c r="L346" s="215"/>
      <c r="M346" s="215"/>
      <c r="N346" s="215"/>
      <c r="O346" s="215" t="s">
        <v>325</v>
      </c>
      <c r="P346" s="215"/>
      <c r="Q346" s="215"/>
      <c r="R346" s="215"/>
      <c r="S346" s="215" t="s">
        <v>261</v>
      </c>
      <c r="T346" s="215"/>
      <c r="U346" s="381"/>
      <c r="V346" s="218"/>
      <c r="W346" s="218"/>
      <c r="X346" s="1377" t="s">
        <v>1005</v>
      </c>
      <c r="Y346" s="682" t="s">
        <v>1006</v>
      </c>
      <c r="Z346" s="626">
        <v>7</v>
      </c>
      <c r="AA346" s="843">
        <v>0</v>
      </c>
      <c r="AB346" s="843">
        <v>56</v>
      </c>
      <c r="AC346" s="843">
        <v>8</v>
      </c>
      <c r="AD346" s="1329"/>
      <c r="AE346" s="1329"/>
      <c r="AF346" s="1377">
        <v>4</v>
      </c>
      <c r="AG346" s="1377">
        <v>0</v>
      </c>
      <c r="AH346" s="1377"/>
      <c r="AI346" s="1377"/>
      <c r="AJ346" s="1377" t="s">
        <v>1007</v>
      </c>
      <c r="AK346" s="218"/>
      <c r="AL346" s="344"/>
      <c r="AM346" s="381"/>
      <c r="AN346" s="381"/>
    </row>
    <row r="347" spans="1:40" s="1259" customFormat="1" ht="14.25" customHeight="1">
      <c r="A347" s="381"/>
      <c r="B347" s="381"/>
      <c r="C347" s="381"/>
      <c r="D347" s="381"/>
      <c r="E347" s="381"/>
      <c r="F347" s="381"/>
      <c r="G347" s="381"/>
      <c r="H347" s="215"/>
      <c r="I347" s="215"/>
      <c r="J347" s="215"/>
      <c r="K347" s="215"/>
      <c r="L347" s="215"/>
      <c r="M347" s="215"/>
      <c r="N347" s="215"/>
      <c r="O347" s="215"/>
      <c r="P347" s="215"/>
      <c r="Q347" s="215"/>
      <c r="R347" s="215"/>
      <c r="S347" s="215"/>
      <c r="T347" s="215"/>
      <c r="U347" s="381"/>
      <c r="V347" s="218"/>
      <c r="W347" s="218"/>
      <c r="X347" s="1377"/>
      <c r="Y347" s="682"/>
      <c r="Z347" s="626"/>
      <c r="AA347" s="843"/>
      <c r="AB347" s="843"/>
      <c r="AC347" s="843"/>
      <c r="AD347" s="1329"/>
      <c r="AE347" s="1329"/>
      <c r="AF347" s="1377"/>
      <c r="AG347" s="1377"/>
      <c r="AH347" s="1377"/>
      <c r="AI347" s="1377"/>
      <c r="AJ347" s="1377"/>
      <c r="AK347" s="218"/>
      <c r="AL347" s="344"/>
      <c r="AM347" s="381"/>
      <c r="AN347" s="381"/>
    </row>
    <row r="348" spans="1:40" ht="52.5" customHeight="1">
      <c r="A348" s="1271">
        <v>13</v>
      </c>
      <c r="B348" s="1272" t="s">
        <v>1008</v>
      </c>
      <c r="C348" s="1272" t="s">
        <v>1009</v>
      </c>
      <c r="D348" s="1272" t="s">
        <v>259</v>
      </c>
      <c r="E348" s="1272">
        <v>8</v>
      </c>
      <c r="F348" s="1272" t="s">
        <v>260</v>
      </c>
      <c r="G348" s="1272" t="s">
        <v>325</v>
      </c>
      <c r="H348" s="1272"/>
      <c r="I348" s="1272"/>
      <c r="J348" s="1272"/>
      <c r="K348" s="1272"/>
      <c r="L348" s="1272"/>
      <c r="M348" s="1272"/>
      <c r="N348" s="1272"/>
      <c r="O348" s="1272" t="s">
        <v>325</v>
      </c>
      <c r="P348" s="1272"/>
      <c r="Q348" s="1272"/>
      <c r="R348" s="1272"/>
      <c r="S348" s="1272" t="s">
        <v>261</v>
      </c>
      <c r="T348" s="1272"/>
      <c r="U348" s="1272"/>
      <c r="V348" s="1272"/>
      <c r="W348" s="1273"/>
      <c r="X348" s="1273" t="s">
        <v>1010</v>
      </c>
      <c r="Y348" s="1273"/>
      <c r="Z348" s="1272"/>
      <c r="AA348" s="1272"/>
      <c r="AB348" s="1274">
        <v>0</v>
      </c>
      <c r="AC348" s="1272"/>
      <c r="AD348" s="1272" t="s">
        <v>942</v>
      </c>
      <c r="AE348" s="1272"/>
      <c r="AF348" s="1272"/>
      <c r="AG348" s="1272"/>
      <c r="AH348" s="1272"/>
      <c r="AI348" s="1272"/>
      <c r="AJ348" s="1272"/>
      <c r="AK348" s="1275"/>
      <c r="AL348" s="1276"/>
      <c r="AM348" s="1276"/>
    </row>
    <row r="349" spans="1:40" ht="52.5" customHeight="1" outlineLevel="1">
      <c r="A349" s="1277"/>
      <c r="B349" s="1277"/>
      <c r="C349" s="1277"/>
      <c r="D349" s="1277"/>
      <c r="E349" s="1277"/>
      <c r="F349" s="1277"/>
      <c r="G349" s="1278"/>
      <c r="H349" s="1278"/>
      <c r="I349" s="1278"/>
      <c r="J349" s="1278"/>
      <c r="K349" s="1278"/>
      <c r="L349" s="1278"/>
      <c r="M349" s="1278"/>
      <c r="N349" s="1278"/>
      <c r="O349" s="1278"/>
      <c r="P349" s="1278"/>
      <c r="Q349" s="1278"/>
      <c r="R349" s="1277"/>
      <c r="S349" s="1277"/>
      <c r="T349" s="1277"/>
      <c r="U349" s="1277"/>
      <c r="V349" s="1277"/>
      <c r="W349" s="1279"/>
      <c r="X349" s="1886" t="s">
        <v>1011</v>
      </c>
      <c r="Y349" s="1312" t="s">
        <v>1012</v>
      </c>
      <c r="Z349" s="1281">
        <v>0</v>
      </c>
      <c r="AA349" s="1282"/>
      <c r="AB349" s="1281">
        <v>0</v>
      </c>
      <c r="AC349" s="1281">
        <v>16</v>
      </c>
      <c r="AD349" s="1282"/>
      <c r="AE349" s="1282"/>
      <c r="AF349" s="1281">
        <v>1</v>
      </c>
      <c r="AG349" s="1283" t="s">
        <v>513</v>
      </c>
      <c r="AH349" s="1283" t="s">
        <v>1013</v>
      </c>
      <c r="AI349" s="1283" t="s">
        <v>513</v>
      </c>
      <c r="AJ349" s="1281" t="s">
        <v>947</v>
      </c>
      <c r="AK349" s="1284" t="s">
        <v>1014</v>
      </c>
      <c r="AL349" s="1285"/>
      <c r="AM349" s="1285"/>
    </row>
    <row r="350" spans="1:40" ht="52.5" customHeight="1" outlineLevel="1">
      <c r="A350" s="1277"/>
      <c r="B350" s="1277"/>
      <c r="C350" s="1277"/>
      <c r="D350" s="1277"/>
      <c r="E350" s="1277"/>
      <c r="F350" s="1277"/>
      <c r="G350" s="1278"/>
      <c r="H350" s="1278"/>
      <c r="I350" s="1278"/>
      <c r="J350" s="1278"/>
      <c r="K350" s="1278"/>
      <c r="L350" s="1278"/>
      <c r="M350" s="1278"/>
      <c r="N350" s="1278"/>
      <c r="O350" s="1278"/>
      <c r="P350" s="1278"/>
      <c r="Q350" s="1278"/>
      <c r="R350" s="1277"/>
      <c r="S350" s="1277"/>
      <c r="T350" s="1277"/>
      <c r="U350" s="1277"/>
      <c r="V350" s="1277"/>
      <c r="W350" s="1279"/>
      <c r="X350" s="1887" t="s">
        <v>1015</v>
      </c>
      <c r="Y350" s="1296" t="s">
        <v>1016</v>
      </c>
      <c r="Z350" s="1281">
        <v>2</v>
      </c>
      <c r="AA350" s="1282"/>
      <c r="AB350" s="1281">
        <v>16</v>
      </c>
      <c r="AC350" s="1281">
        <v>16</v>
      </c>
      <c r="AD350" s="1282"/>
      <c r="AE350" s="1282"/>
      <c r="AF350" s="1281">
        <v>0.1</v>
      </c>
      <c r="AG350" s="1283" t="s">
        <v>513</v>
      </c>
      <c r="AH350" s="1280"/>
      <c r="AI350" s="1283" t="s">
        <v>513</v>
      </c>
      <c r="AJ350" s="1281" t="s">
        <v>1007</v>
      </c>
      <c r="AK350" s="1284" t="s">
        <v>1014</v>
      </c>
      <c r="AL350" s="1285"/>
      <c r="AM350" s="1285"/>
    </row>
    <row r="351" spans="1:40" ht="52.5" customHeight="1" outlineLevel="1">
      <c r="A351" s="1277"/>
      <c r="B351" s="1277"/>
      <c r="C351" s="1277"/>
      <c r="D351" s="1277"/>
      <c r="E351" s="1277"/>
      <c r="F351" s="1277"/>
      <c r="G351" s="1278"/>
      <c r="H351" s="1278"/>
      <c r="I351" s="1278"/>
      <c r="J351" s="1278"/>
      <c r="K351" s="1278"/>
      <c r="L351" s="1278"/>
      <c r="M351" s="1278"/>
      <c r="N351" s="1278"/>
      <c r="O351" s="1278"/>
      <c r="P351" s="1278"/>
      <c r="Q351" s="1278"/>
      <c r="R351" s="1277"/>
      <c r="S351" s="1277"/>
      <c r="T351" s="1277"/>
      <c r="U351" s="1277"/>
      <c r="V351" s="1277"/>
      <c r="W351" s="1279"/>
      <c r="X351" s="1888" t="s">
        <v>1017</v>
      </c>
      <c r="Y351" s="1296" t="s">
        <v>1018</v>
      </c>
      <c r="Z351" s="1281">
        <v>4</v>
      </c>
      <c r="AA351" s="1282"/>
      <c r="AB351" s="1281">
        <v>32</v>
      </c>
      <c r="AC351" s="1281">
        <v>16</v>
      </c>
      <c r="AD351" s="1282"/>
      <c r="AE351" s="1282"/>
      <c r="AF351" s="1281">
        <v>0.1</v>
      </c>
      <c r="AG351" s="1283" t="s">
        <v>513</v>
      </c>
      <c r="AH351" s="1280"/>
      <c r="AI351" s="1283" t="s">
        <v>513</v>
      </c>
      <c r="AJ351" s="1281" t="s">
        <v>98</v>
      </c>
      <c r="AK351" s="1284" t="s">
        <v>1014</v>
      </c>
      <c r="AL351" s="1285"/>
      <c r="AM351" s="1285"/>
    </row>
    <row r="352" spans="1:40" ht="52.5" customHeight="1" outlineLevel="1">
      <c r="A352" s="1277"/>
      <c r="B352" s="1277"/>
      <c r="C352" s="1277"/>
      <c r="D352" s="1277"/>
      <c r="E352" s="1277"/>
      <c r="F352" s="1277"/>
      <c r="G352" s="1278"/>
      <c r="H352" s="1278"/>
      <c r="I352" s="1278"/>
      <c r="J352" s="1278"/>
      <c r="K352" s="1278"/>
      <c r="L352" s="1278"/>
      <c r="M352" s="1278"/>
      <c r="N352" s="1278"/>
      <c r="O352" s="1278"/>
      <c r="P352" s="1278"/>
      <c r="Q352" s="1278"/>
      <c r="R352" s="1277"/>
      <c r="S352" s="1277"/>
      <c r="T352" s="1277"/>
      <c r="U352" s="1277"/>
      <c r="V352" s="1277"/>
      <c r="W352" s="1279"/>
      <c r="X352" s="1889" t="s">
        <v>1019</v>
      </c>
      <c r="Y352" s="1296" t="s">
        <v>1020</v>
      </c>
      <c r="Z352" s="1281">
        <v>6</v>
      </c>
      <c r="AA352" s="1282"/>
      <c r="AB352" s="1281">
        <v>48</v>
      </c>
      <c r="AC352" s="1281">
        <v>16</v>
      </c>
      <c r="AD352" s="1282"/>
      <c r="AE352" s="1282"/>
      <c r="AF352" s="1281">
        <v>1</v>
      </c>
      <c r="AG352" s="1283" t="s">
        <v>513</v>
      </c>
      <c r="AH352" s="1280"/>
      <c r="AI352" s="1283" t="s">
        <v>513</v>
      </c>
      <c r="AJ352" s="1281" t="s">
        <v>1021</v>
      </c>
      <c r="AK352" s="1284" t="s">
        <v>1014</v>
      </c>
      <c r="AL352" s="1285"/>
      <c r="AM352" s="1285"/>
    </row>
    <row r="353" spans="1:39" ht="52.5" customHeight="1" outlineLevel="1">
      <c r="A353" s="1285"/>
      <c r="B353" s="1285"/>
      <c r="C353" s="1285"/>
      <c r="D353" s="1285"/>
      <c r="E353" s="1285"/>
      <c r="F353" s="1285"/>
      <c r="G353" s="1286"/>
      <c r="H353" s="1286"/>
      <c r="I353" s="1286"/>
      <c r="J353" s="1286"/>
      <c r="K353" s="1286"/>
      <c r="L353" s="1286"/>
      <c r="M353" s="1286"/>
      <c r="N353" s="1286"/>
      <c r="O353" s="1286"/>
      <c r="P353" s="1286"/>
      <c r="Q353" s="1286"/>
      <c r="R353" s="1285"/>
      <c r="S353" s="1285"/>
      <c r="T353" s="1285"/>
      <c r="U353" s="1285"/>
      <c r="V353" s="1285"/>
      <c r="W353" s="1284"/>
      <c r="X353" s="1287"/>
      <c r="Y353" s="1288"/>
      <c r="Z353" s="1289"/>
      <c r="AA353" s="1289"/>
      <c r="AB353" s="1289"/>
      <c r="AC353" s="1289"/>
      <c r="AD353" s="1290"/>
      <c r="AE353" s="1290"/>
      <c r="AF353" s="1288"/>
      <c r="AG353" s="1288"/>
      <c r="AH353" s="1288"/>
      <c r="AI353" s="1288"/>
      <c r="AJ353" s="1288"/>
      <c r="AK353" s="1284"/>
      <c r="AL353" s="1285"/>
      <c r="AM353" s="1285"/>
    </row>
    <row r="354" spans="1:39" ht="52.5" customHeight="1">
      <c r="A354" s="1271">
        <v>13</v>
      </c>
      <c r="B354" s="1272" t="s">
        <v>1008</v>
      </c>
      <c r="C354" s="1272" t="s">
        <v>1022</v>
      </c>
      <c r="D354" s="1272" t="s">
        <v>259</v>
      </c>
      <c r="E354" s="1272">
        <v>8</v>
      </c>
      <c r="F354" s="1272" t="s">
        <v>260</v>
      </c>
      <c r="G354" s="1272" t="s">
        <v>325</v>
      </c>
      <c r="H354" s="1272"/>
      <c r="I354" s="1272"/>
      <c r="J354" s="1272"/>
      <c r="K354" s="1272"/>
      <c r="L354" s="1272"/>
      <c r="M354" s="1272"/>
      <c r="N354" s="1272"/>
      <c r="O354" s="1272" t="s">
        <v>325</v>
      </c>
      <c r="P354" s="1272"/>
      <c r="Q354" s="1272"/>
      <c r="R354" s="1272"/>
      <c r="S354" s="1272" t="s">
        <v>261</v>
      </c>
      <c r="T354" s="1272"/>
      <c r="U354" s="1272"/>
      <c r="V354" s="1272"/>
      <c r="W354" s="1273"/>
      <c r="X354" s="1291" t="s">
        <v>1023</v>
      </c>
      <c r="Y354" s="1291"/>
      <c r="Z354" s="1292"/>
      <c r="AA354" s="1292"/>
      <c r="AB354" s="1292"/>
      <c r="AC354" s="1292"/>
      <c r="AD354" s="1292" t="s">
        <v>942</v>
      </c>
      <c r="AE354" s="1292"/>
      <c r="AF354" s="1292"/>
      <c r="AG354" s="1292"/>
      <c r="AH354" s="1292"/>
      <c r="AI354" s="1292"/>
      <c r="AJ354" s="1292"/>
      <c r="AK354" s="1275"/>
      <c r="AL354" s="1285"/>
      <c r="AM354" s="1285"/>
    </row>
    <row r="355" spans="1:39" ht="52.5" customHeight="1" outlineLevel="1">
      <c r="A355" s="1285"/>
      <c r="B355" s="1285"/>
      <c r="C355" s="1285"/>
      <c r="D355" s="1285"/>
      <c r="E355" s="1285"/>
      <c r="F355" s="1285"/>
      <c r="G355" s="1286"/>
      <c r="H355" s="1286"/>
      <c r="I355" s="1286"/>
      <c r="J355" s="1286"/>
      <c r="K355" s="1286"/>
      <c r="L355" s="1286"/>
      <c r="M355" s="1286"/>
      <c r="N355" s="1286"/>
      <c r="O355" s="1286"/>
      <c r="P355" s="1286"/>
      <c r="Q355" s="1286"/>
      <c r="R355" s="1285"/>
      <c r="S355" s="1285"/>
      <c r="T355" s="1285"/>
      <c r="U355" s="1285"/>
      <c r="V355" s="1285"/>
      <c r="W355" s="1284"/>
      <c r="X355" s="1890" t="s">
        <v>1024</v>
      </c>
      <c r="Y355" s="1312" t="s">
        <v>1025</v>
      </c>
      <c r="Z355" s="1293">
        <v>0</v>
      </c>
      <c r="AA355" s="1293">
        <v>0</v>
      </c>
      <c r="AB355" s="1293">
        <v>0</v>
      </c>
      <c r="AC355" s="1293">
        <v>8</v>
      </c>
      <c r="AD355" s="1281"/>
      <c r="AE355" s="1282"/>
      <c r="AF355" s="1281">
        <v>1</v>
      </c>
      <c r="AG355" s="1294" t="s">
        <v>507</v>
      </c>
      <c r="AH355" s="1281"/>
      <c r="AI355" s="1281"/>
      <c r="AJ355" s="1281" t="s">
        <v>508</v>
      </c>
      <c r="AK355" s="1284" t="s">
        <v>1014</v>
      </c>
      <c r="AL355" s="1295"/>
      <c r="AM355" s="1285"/>
    </row>
    <row r="356" spans="1:39" ht="52.5" customHeight="1" outlineLevel="1">
      <c r="A356" s="1285"/>
      <c r="B356" s="1285"/>
      <c r="C356" s="1285"/>
      <c r="D356" s="1285"/>
      <c r="E356" s="1285"/>
      <c r="F356" s="1285"/>
      <c r="G356" s="1286"/>
      <c r="H356" s="1286"/>
      <c r="I356" s="1286"/>
      <c r="J356" s="1286"/>
      <c r="K356" s="1286"/>
      <c r="L356" s="1286"/>
      <c r="M356" s="1286"/>
      <c r="N356" s="1286"/>
      <c r="O356" s="1286"/>
      <c r="P356" s="1286"/>
      <c r="Q356" s="1286"/>
      <c r="R356" s="1285"/>
      <c r="S356" s="1285"/>
      <c r="T356" s="1285"/>
      <c r="U356" s="1285"/>
      <c r="V356" s="1285"/>
      <c r="W356" s="1284"/>
      <c r="X356" s="1891" t="s">
        <v>1026</v>
      </c>
      <c r="Y356" s="1280" t="s">
        <v>1027</v>
      </c>
      <c r="Z356" s="1297">
        <v>1</v>
      </c>
      <c r="AA356" s="1297">
        <v>0</v>
      </c>
      <c r="AB356" s="1297">
        <v>8</v>
      </c>
      <c r="AC356" s="1297">
        <v>1</v>
      </c>
      <c r="AD356" s="1282"/>
      <c r="AE356" s="1282" t="s">
        <v>793</v>
      </c>
      <c r="AF356" s="1280"/>
      <c r="AG356" s="1280"/>
      <c r="AH356" s="1280"/>
      <c r="AI356" s="1280"/>
      <c r="AJ356" s="1280"/>
      <c r="AK356" s="1284" t="s">
        <v>1028</v>
      </c>
      <c r="AL356" s="1285"/>
      <c r="AM356" s="1285"/>
    </row>
    <row r="357" spans="1:39" ht="52.5" customHeight="1" outlineLevel="1">
      <c r="A357" s="1285"/>
      <c r="B357" s="1285"/>
      <c r="C357" s="1285"/>
      <c r="D357" s="1285"/>
      <c r="E357" s="1285"/>
      <c r="F357" s="1285"/>
      <c r="G357" s="1286"/>
      <c r="H357" s="1286"/>
      <c r="I357" s="1286"/>
      <c r="J357" s="1286"/>
      <c r="K357" s="1286"/>
      <c r="L357" s="1286"/>
      <c r="M357" s="1286"/>
      <c r="N357" s="1286"/>
      <c r="O357" s="1286"/>
      <c r="P357" s="1286"/>
      <c r="Q357" s="1286"/>
      <c r="R357" s="1285"/>
      <c r="S357" s="1285"/>
      <c r="T357" s="1285"/>
      <c r="U357" s="1285"/>
      <c r="V357" s="1285"/>
      <c r="W357" s="1284"/>
      <c r="X357" s="1892" t="s">
        <v>1029</v>
      </c>
      <c r="Y357" s="1280" t="s">
        <v>1030</v>
      </c>
      <c r="Z357" s="1297">
        <v>1</v>
      </c>
      <c r="AA357" s="1297">
        <v>0</v>
      </c>
      <c r="AB357" s="1297">
        <v>9</v>
      </c>
      <c r="AC357" s="1297">
        <v>1</v>
      </c>
      <c r="AD357" s="1282"/>
      <c r="AE357" s="1282" t="s">
        <v>793</v>
      </c>
      <c r="AF357" s="1280"/>
      <c r="AG357" s="1280"/>
      <c r="AH357" s="1280"/>
      <c r="AI357" s="1280"/>
      <c r="AJ357" s="1280"/>
      <c r="AK357" s="1284" t="s">
        <v>1028</v>
      </c>
      <c r="AL357" s="1285"/>
      <c r="AM357" s="1285"/>
    </row>
    <row r="358" spans="1:39" ht="52.5" customHeight="1" outlineLevel="1">
      <c r="A358" s="1285"/>
      <c r="B358" s="1285"/>
      <c r="C358" s="1285"/>
      <c r="D358" s="1285"/>
      <c r="E358" s="1285"/>
      <c r="F358" s="1285"/>
      <c r="G358" s="1286"/>
      <c r="H358" s="1286"/>
      <c r="I358" s="1286"/>
      <c r="J358" s="1286"/>
      <c r="K358" s="1286"/>
      <c r="L358" s="1286"/>
      <c r="M358" s="1286"/>
      <c r="N358" s="1286"/>
      <c r="O358" s="1286"/>
      <c r="P358" s="1286"/>
      <c r="Q358" s="1286"/>
      <c r="R358" s="1285"/>
      <c r="S358" s="1285"/>
      <c r="T358" s="1285"/>
      <c r="U358" s="1285"/>
      <c r="V358" s="1285"/>
      <c r="W358" s="1284"/>
      <c r="X358" s="1893" t="s">
        <v>1031</v>
      </c>
      <c r="Y358" s="1280" t="s">
        <v>1032</v>
      </c>
      <c r="Z358" s="1297">
        <v>1</v>
      </c>
      <c r="AA358" s="1297">
        <v>0</v>
      </c>
      <c r="AB358" s="1297">
        <v>10</v>
      </c>
      <c r="AC358" s="1297">
        <v>1</v>
      </c>
      <c r="AD358" s="1282"/>
      <c r="AE358" s="1282" t="s">
        <v>793</v>
      </c>
      <c r="AF358" s="1280"/>
      <c r="AG358" s="1280"/>
      <c r="AH358" s="1280"/>
      <c r="AI358" s="1280"/>
      <c r="AJ358" s="1280"/>
      <c r="AK358" s="1284" t="s">
        <v>1028</v>
      </c>
      <c r="AL358" s="1285"/>
      <c r="AM358" s="1285"/>
    </row>
    <row r="359" spans="1:39" ht="52.5" customHeight="1" outlineLevel="1">
      <c r="A359" s="1285"/>
      <c r="B359" s="1285"/>
      <c r="C359" s="1285"/>
      <c r="D359" s="1285"/>
      <c r="E359" s="1285"/>
      <c r="F359" s="1285"/>
      <c r="G359" s="1286"/>
      <c r="H359" s="1286"/>
      <c r="I359" s="1286"/>
      <c r="J359" s="1286"/>
      <c r="K359" s="1286"/>
      <c r="L359" s="1286"/>
      <c r="M359" s="1286"/>
      <c r="N359" s="1286"/>
      <c r="O359" s="1286"/>
      <c r="P359" s="1286"/>
      <c r="Q359" s="1286"/>
      <c r="R359" s="1285"/>
      <c r="S359" s="1285"/>
      <c r="T359" s="1285"/>
      <c r="U359" s="1285"/>
      <c r="V359" s="1285"/>
      <c r="W359" s="1284"/>
      <c r="X359" s="1894" t="s">
        <v>1033</v>
      </c>
      <c r="Y359" s="1280" t="s">
        <v>1034</v>
      </c>
      <c r="Z359" s="1297">
        <v>1</v>
      </c>
      <c r="AA359" s="1297">
        <v>0</v>
      </c>
      <c r="AB359" s="1297">
        <v>11</v>
      </c>
      <c r="AC359" s="1297">
        <v>1</v>
      </c>
      <c r="AD359" s="1282"/>
      <c r="AE359" s="1282" t="s">
        <v>793</v>
      </c>
      <c r="AF359" s="1280"/>
      <c r="AG359" s="1280"/>
      <c r="AH359" s="1280"/>
      <c r="AI359" s="1280"/>
      <c r="AJ359" s="1280"/>
      <c r="AK359" s="1284" t="s">
        <v>1014</v>
      </c>
      <c r="AL359" s="1285"/>
      <c r="AM359" s="1285"/>
    </row>
    <row r="360" spans="1:39" ht="52.5" customHeight="1" outlineLevel="1">
      <c r="A360" s="1285"/>
      <c r="B360" s="1285"/>
      <c r="C360" s="1285"/>
      <c r="D360" s="1285"/>
      <c r="E360" s="1285"/>
      <c r="F360" s="1285"/>
      <c r="G360" s="1286"/>
      <c r="H360" s="1286"/>
      <c r="I360" s="1286"/>
      <c r="J360" s="1286"/>
      <c r="K360" s="1286"/>
      <c r="L360" s="1286"/>
      <c r="M360" s="1286"/>
      <c r="N360" s="1286"/>
      <c r="O360" s="1286"/>
      <c r="P360" s="1286"/>
      <c r="Q360" s="1286"/>
      <c r="R360" s="1285"/>
      <c r="S360" s="1285"/>
      <c r="T360" s="1285"/>
      <c r="U360" s="1285"/>
      <c r="V360" s="1285"/>
      <c r="W360" s="1284"/>
      <c r="X360" s="1895" t="s">
        <v>1035</v>
      </c>
      <c r="Y360" s="1280" t="s">
        <v>1036</v>
      </c>
      <c r="Z360" s="1297">
        <v>1</v>
      </c>
      <c r="AA360" s="1297">
        <v>0</v>
      </c>
      <c r="AB360" s="1297">
        <v>12</v>
      </c>
      <c r="AC360" s="1297">
        <v>1</v>
      </c>
      <c r="AD360" s="1282"/>
      <c r="AE360" s="1282" t="s">
        <v>793</v>
      </c>
      <c r="AF360" s="1280"/>
      <c r="AG360" s="1280"/>
      <c r="AH360" s="1280"/>
      <c r="AI360" s="1280"/>
      <c r="AJ360" s="1280"/>
      <c r="AK360" s="1284" t="s">
        <v>1014</v>
      </c>
      <c r="AL360" s="1285"/>
      <c r="AM360" s="1285"/>
    </row>
    <row r="361" spans="1:39" ht="52.5" customHeight="1" outlineLevel="1">
      <c r="A361" s="1285"/>
      <c r="B361" s="1285"/>
      <c r="C361" s="1285"/>
      <c r="D361" s="1285"/>
      <c r="E361" s="1285"/>
      <c r="F361" s="1285"/>
      <c r="G361" s="1286"/>
      <c r="H361" s="1286"/>
      <c r="I361" s="1286"/>
      <c r="J361" s="1286"/>
      <c r="K361" s="1286"/>
      <c r="L361" s="1286"/>
      <c r="M361" s="1286"/>
      <c r="N361" s="1286"/>
      <c r="O361" s="1286"/>
      <c r="P361" s="1286"/>
      <c r="Q361" s="1286"/>
      <c r="R361" s="1285"/>
      <c r="S361" s="1285"/>
      <c r="T361" s="1285"/>
      <c r="U361" s="1285"/>
      <c r="V361" s="1285"/>
      <c r="W361" s="1284"/>
      <c r="X361" s="1896" t="s">
        <v>1037</v>
      </c>
      <c r="Y361" s="1280" t="s">
        <v>1038</v>
      </c>
      <c r="Z361" s="1297">
        <v>1</v>
      </c>
      <c r="AA361" s="1297">
        <v>0</v>
      </c>
      <c r="AB361" s="1297">
        <v>13</v>
      </c>
      <c r="AC361" s="1297">
        <v>1</v>
      </c>
      <c r="AD361" s="1282"/>
      <c r="AE361" s="1282" t="s">
        <v>793</v>
      </c>
      <c r="AF361" s="1280"/>
      <c r="AG361" s="1280"/>
      <c r="AH361" s="1280"/>
      <c r="AI361" s="1280"/>
      <c r="AJ361" s="1280"/>
      <c r="AK361" s="1284" t="s">
        <v>1014</v>
      </c>
      <c r="AL361" s="1285"/>
      <c r="AM361" s="1285"/>
    </row>
    <row r="362" spans="1:39" ht="52.5" customHeight="1" outlineLevel="1">
      <c r="A362" s="1285"/>
      <c r="B362" s="1285"/>
      <c r="C362" s="1285"/>
      <c r="D362" s="1285"/>
      <c r="E362" s="1285"/>
      <c r="F362" s="1285"/>
      <c r="G362" s="1286"/>
      <c r="H362" s="1286"/>
      <c r="I362" s="1286"/>
      <c r="J362" s="1286"/>
      <c r="K362" s="1286"/>
      <c r="L362" s="1286"/>
      <c r="M362" s="1286"/>
      <c r="N362" s="1286"/>
      <c r="O362" s="1286"/>
      <c r="P362" s="1286"/>
      <c r="Q362" s="1286"/>
      <c r="R362" s="1285"/>
      <c r="S362" s="1285"/>
      <c r="T362" s="1285"/>
      <c r="U362" s="1285"/>
      <c r="V362" s="1285"/>
      <c r="W362" s="1284"/>
      <c r="X362" s="1897" t="s">
        <v>1039</v>
      </c>
      <c r="Y362" s="1280" t="s">
        <v>1040</v>
      </c>
      <c r="Z362" s="1297">
        <v>1</v>
      </c>
      <c r="AA362" s="1297">
        <v>0</v>
      </c>
      <c r="AB362" s="1297">
        <v>14</v>
      </c>
      <c r="AC362" s="1297">
        <v>1</v>
      </c>
      <c r="AD362" s="1282"/>
      <c r="AE362" s="1282" t="s">
        <v>793</v>
      </c>
      <c r="AF362" s="1280"/>
      <c r="AG362" s="1280"/>
      <c r="AH362" s="1280"/>
      <c r="AI362" s="1280"/>
      <c r="AJ362" s="1280"/>
      <c r="AK362" s="1284" t="s">
        <v>1014</v>
      </c>
      <c r="AL362" s="1285"/>
      <c r="AM362" s="1285"/>
    </row>
    <row r="363" spans="1:39" ht="52.5" customHeight="1" outlineLevel="1">
      <c r="A363" s="1285"/>
      <c r="B363" s="1285"/>
      <c r="C363" s="1285"/>
      <c r="D363" s="1285"/>
      <c r="E363" s="1285"/>
      <c r="F363" s="1285"/>
      <c r="G363" s="1286"/>
      <c r="H363" s="1286"/>
      <c r="I363" s="1286"/>
      <c r="J363" s="1286"/>
      <c r="K363" s="1286"/>
      <c r="L363" s="1286"/>
      <c r="M363" s="1286"/>
      <c r="N363" s="1286"/>
      <c r="O363" s="1286"/>
      <c r="P363" s="1286"/>
      <c r="Q363" s="1286"/>
      <c r="R363" s="1285"/>
      <c r="S363" s="1285"/>
      <c r="T363" s="1285"/>
      <c r="U363" s="1285"/>
      <c r="V363" s="1285"/>
      <c r="W363" s="1284"/>
      <c r="X363" s="1898" t="s">
        <v>1041</v>
      </c>
      <c r="Y363" s="1280" t="s">
        <v>1042</v>
      </c>
      <c r="Z363" s="1297">
        <v>1</v>
      </c>
      <c r="AA363" s="1297">
        <v>0</v>
      </c>
      <c r="AB363" s="1297">
        <v>15</v>
      </c>
      <c r="AC363" s="1297">
        <v>1</v>
      </c>
      <c r="AD363" s="1282"/>
      <c r="AE363" s="1282" t="s">
        <v>793</v>
      </c>
      <c r="AF363" s="1280"/>
      <c r="AG363" s="1280"/>
      <c r="AH363" s="1280"/>
      <c r="AI363" s="1280"/>
      <c r="AJ363" s="1280"/>
      <c r="AK363" s="1284" t="s">
        <v>1014</v>
      </c>
      <c r="AL363" s="1285"/>
      <c r="AM363" s="1285"/>
    </row>
    <row r="364" spans="1:39" ht="52.5" customHeight="1" outlineLevel="1">
      <c r="A364" s="1285"/>
      <c r="B364" s="1285"/>
      <c r="C364" s="1285"/>
      <c r="D364" s="1285"/>
      <c r="E364" s="1285"/>
      <c r="F364" s="1285"/>
      <c r="G364" s="1286"/>
      <c r="H364" s="1286"/>
      <c r="I364" s="1286"/>
      <c r="J364" s="1286"/>
      <c r="K364" s="1286"/>
      <c r="L364" s="1286"/>
      <c r="M364" s="1286"/>
      <c r="N364" s="1286"/>
      <c r="O364" s="1286"/>
      <c r="P364" s="1286"/>
      <c r="Q364" s="1286"/>
      <c r="R364" s="1285"/>
      <c r="S364" s="1285"/>
      <c r="T364" s="1285"/>
      <c r="U364" s="1285"/>
      <c r="V364" s="1285"/>
      <c r="W364" s="1284"/>
      <c r="X364" s="1899" t="s">
        <v>1043</v>
      </c>
      <c r="Y364" s="1280" t="s">
        <v>1044</v>
      </c>
      <c r="Z364" s="1297">
        <v>2</v>
      </c>
      <c r="AA364" s="1297">
        <v>0</v>
      </c>
      <c r="AB364" s="1297">
        <v>16</v>
      </c>
      <c r="AC364" s="1297">
        <v>1</v>
      </c>
      <c r="AD364" s="1282"/>
      <c r="AE364" s="1282" t="s">
        <v>793</v>
      </c>
      <c r="AF364" s="1280"/>
      <c r="AG364" s="1280"/>
      <c r="AH364" s="1280"/>
      <c r="AI364" s="1280"/>
      <c r="AJ364" s="1280"/>
      <c r="AK364" s="1284" t="s">
        <v>1014</v>
      </c>
      <c r="AL364" s="1285"/>
      <c r="AM364" s="1285"/>
    </row>
    <row r="365" spans="1:39" ht="52.5" customHeight="1" outlineLevel="1">
      <c r="A365" s="1285"/>
      <c r="B365" s="1285"/>
      <c r="C365" s="1285"/>
      <c r="D365" s="1285"/>
      <c r="E365" s="1285"/>
      <c r="F365" s="1285"/>
      <c r="G365" s="1286"/>
      <c r="H365" s="1286"/>
      <c r="I365" s="1286"/>
      <c r="J365" s="1286"/>
      <c r="K365" s="1286"/>
      <c r="L365" s="1286"/>
      <c r="M365" s="1286"/>
      <c r="N365" s="1286"/>
      <c r="O365" s="1286"/>
      <c r="P365" s="1286"/>
      <c r="Q365" s="1286"/>
      <c r="R365" s="1285"/>
      <c r="S365" s="1285"/>
      <c r="T365" s="1285"/>
      <c r="U365" s="1285"/>
      <c r="V365" s="1285"/>
      <c r="W365" s="1284"/>
      <c r="X365" s="1900" t="s">
        <v>1045</v>
      </c>
      <c r="Y365" s="1280" t="s">
        <v>1046</v>
      </c>
      <c r="Z365" s="1297">
        <v>2</v>
      </c>
      <c r="AA365" s="1297">
        <v>0</v>
      </c>
      <c r="AB365" s="1297">
        <v>17</v>
      </c>
      <c r="AC365" s="1297">
        <v>1</v>
      </c>
      <c r="AD365" s="1282"/>
      <c r="AE365" s="1282" t="s">
        <v>1047</v>
      </c>
      <c r="AF365" s="1280"/>
      <c r="AG365" s="1280"/>
      <c r="AH365" s="1280"/>
      <c r="AI365" s="1280"/>
      <c r="AJ365" s="1280"/>
      <c r="AK365" s="1284" t="s">
        <v>1028</v>
      </c>
      <c r="AL365" s="1285"/>
      <c r="AM365" s="1285"/>
    </row>
    <row r="366" spans="1:39" ht="52.5" customHeight="1" outlineLevel="1">
      <c r="A366" s="1285"/>
      <c r="B366" s="1285"/>
      <c r="C366" s="1285"/>
      <c r="D366" s="1285"/>
      <c r="E366" s="1285"/>
      <c r="F366" s="1285"/>
      <c r="G366" s="1286"/>
      <c r="H366" s="1286"/>
      <c r="I366" s="1286"/>
      <c r="J366" s="1286"/>
      <c r="K366" s="1286"/>
      <c r="L366" s="1286"/>
      <c r="M366" s="1286"/>
      <c r="N366" s="1286"/>
      <c r="O366" s="1286"/>
      <c r="P366" s="1286"/>
      <c r="Q366" s="1286"/>
      <c r="R366" s="1285"/>
      <c r="S366" s="1285"/>
      <c r="T366" s="1285"/>
      <c r="U366" s="1285"/>
      <c r="V366" s="1285"/>
      <c r="W366" s="1284"/>
      <c r="X366" s="1901" t="s">
        <v>1048</v>
      </c>
      <c r="Y366" s="1280" t="s">
        <v>1049</v>
      </c>
      <c r="Z366" s="1297">
        <v>2</v>
      </c>
      <c r="AA366" s="1297">
        <v>0</v>
      </c>
      <c r="AB366" s="1297">
        <v>18</v>
      </c>
      <c r="AC366" s="1297">
        <v>1</v>
      </c>
      <c r="AD366" s="1282"/>
      <c r="AE366" s="1282" t="s">
        <v>1050</v>
      </c>
      <c r="AF366" s="1280"/>
      <c r="AG366" s="1280"/>
      <c r="AH366" s="1280"/>
      <c r="AI366" s="1280"/>
      <c r="AJ366" s="1280"/>
      <c r="AK366" s="1284" t="s">
        <v>1028</v>
      </c>
      <c r="AL366" s="1285"/>
      <c r="AM366" s="1285"/>
    </row>
    <row r="367" spans="1:39" ht="52.5" customHeight="1" outlineLevel="1">
      <c r="A367" s="1285"/>
      <c r="B367" s="1285"/>
      <c r="C367" s="1285"/>
      <c r="D367" s="1285"/>
      <c r="E367" s="1285"/>
      <c r="F367" s="1285"/>
      <c r="G367" s="1286"/>
      <c r="H367" s="1286"/>
      <c r="I367" s="1286"/>
      <c r="J367" s="1286"/>
      <c r="K367" s="1286"/>
      <c r="L367" s="1286"/>
      <c r="M367" s="1286"/>
      <c r="N367" s="1286"/>
      <c r="O367" s="1286"/>
      <c r="P367" s="1286"/>
      <c r="Q367" s="1286"/>
      <c r="R367" s="1285"/>
      <c r="S367" s="1285"/>
      <c r="T367" s="1285"/>
      <c r="U367" s="1285"/>
      <c r="V367" s="1285"/>
      <c r="W367" s="1284"/>
      <c r="X367" s="1902" t="s">
        <v>1051</v>
      </c>
      <c r="Y367" s="1280" t="s">
        <v>1052</v>
      </c>
      <c r="Z367" s="1297">
        <v>2</v>
      </c>
      <c r="AA367" s="1297">
        <v>0</v>
      </c>
      <c r="AB367" s="1297">
        <v>19</v>
      </c>
      <c r="AC367" s="1297">
        <v>1</v>
      </c>
      <c r="AD367" s="1282"/>
      <c r="AE367" s="1282" t="s">
        <v>1053</v>
      </c>
      <c r="AF367" s="1280"/>
      <c r="AG367" s="1280"/>
      <c r="AH367" s="1280"/>
      <c r="AI367" s="1280"/>
      <c r="AJ367" s="1280"/>
      <c r="AK367" s="1284" t="s">
        <v>1014</v>
      </c>
      <c r="AL367" s="1285"/>
      <c r="AM367" s="1285"/>
    </row>
    <row r="368" spans="1:39" ht="52.5" customHeight="1" outlineLevel="1">
      <c r="A368" s="1285"/>
      <c r="B368" s="1285"/>
      <c r="C368" s="1285"/>
      <c r="D368" s="1285"/>
      <c r="E368" s="1285"/>
      <c r="F368" s="1285"/>
      <c r="G368" s="1286"/>
      <c r="H368" s="1286"/>
      <c r="I368" s="1286"/>
      <c r="J368" s="1286"/>
      <c r="K368" s="1286"/>
      <c r="L368" s="1286"/>
      <c r="M368" s="1286"/>
      <c r="N368" s="1286"/>
      <c r="O368" s="1286"/>
      <c r="P368" s="1286"/>
      <c r="Q368" s="1286"/>
      <c r="R368" s="1285"/>
      <c r="S368" s="1285"/>
      <c r="T368" s="1285"/>
      <c r="U368" s="1285"/>
      <c r="V368" s="1285"/>
      <c r="W368" s="1284"/>
      <c r="X368" s="1903" t="s">
        <v>1054</v>
      </c>
      <c r="Y368" s="1280" t="s">
        <v>1055</v>
      </c>
      <c r="Z368" s="1297">
        <v>2</v>
      </c>
      <c r="AA368" s="1297">
        <v>0</v>
      </c>
      <c r="AB368" s="1297">
        <v>20</v>
      </c>
      <c r="AC368" s="1297">
        <v>1</v>
      </c>
      <c r="AD368" s="1282"/>
      <c r="AE368" s="1282" t="s">
        <v>1056</v>
      </c>
      <c r="AF368" s="1280"/>
      <c r="AG368" s="1280"/>
      <c r="AH368" s="1280"/>
      <c r="AI368" s="1280"/>
      <c r="AJ368" s="1280"/>
      <c r="AK368" s="1284" t="s">
        <v>1028</v>
      </c>
      <c r="AL368" s="1285"/>
      <c r="AM368" s="1285"/>
    </row>
    <row r="369" spans="1:39" ht="52.5" customHeight="1" outlineLevel="1">
      <c r="A369" s="1285"/>
      <c r="B369" s="1285"/>
      <c r="C369" s="1285"/>
      <c r="D369" s="1285"/>
      <c r="E369" s="1285"/>
      <c r="F369" s="1285"/>
      <c r="G369" s="1286"/>
      <c r="H369" s="1286"/>
      <c r="I369" s="1286"/>
      <c r="J369" s="1286"/>
      <c r="K369" s="1286"/>
      <c r="L369" s="1286"/>
      <c r="M369" s="1286"/>
      <c r="N369" s="1286"/>
      <c r="O369" s="1286"/>
      <c r="P369" s="1286"/>
      <c r="Q369" s="1286"/>
      <c r="R369" s="1285"/>
      <c r="S369" s="1285"/>
      <c r="T369" s="1285"/>
      <c r="U369" s="1285"/>
      <c r="V369" s="1285"/>
      <c r="W369" s="1284"/>
      <c r="X369" s="1904" t="s">
        <v>1057</v>
      </c>
      <c r="Y369" s="1280" t="s">
        <v>1058</v>
      </c>
      <c r="Z369" s="1297">
        <v>2</v>
      </c>
      <c r="AA369" s="1297">
        <v>0</v>
      </c>
      <c r="AB369" s="1297">
        <v>21</v>
      </c>
      <c r="AC369" s="1297">
        <v>1</v>
      </c>
      <c r="AD369" s="1282"/>
      <c r="AE369" s="1282" t="s">
        <v>1059</v>
      </c>
      <c r="AF369" s="1280"/>
      <c r="AG369" s="1280"/>
      <c r="AH369" s="1280"/>
      <c r="AI369" s="1280"/>
      <c r="AJ369" s="1280"/>
      <c r="AK369" s="1284" t="s">
        <v>1028</v>
      </c>
      <c r="AL369" s="1285"/>
      <c r="AM369" s="1285"/>
    </row>
    <row r="370" spans="1:39" ht="52.5" customHeight="1" outlineLevel="1">
      <c r="A370" s="1285"/>
      <c r="B370" s="1285"/>
      <c r="C370" s="1285"/>
      <c r="D370" s="1285"/>
      <c r="E370" s="1285"/>
      <c r="F370" s="1285"/>
      <c r="G370" s="1286"/>
      <c r="H370" s="1286"/>
      <c r="I370" s="1286"/>
      <c r="J370" s="1286"/>
      <c r="K370" s="1286"/>
      <c r="L370" s="1286"/>
      <c r="M370" s="1286"/>
      <c r="N370" s="1286"/>
      <c r="O370" s="1286"/>
      <c r="P370" s="1286"/>
      <c r="Q370" s="1286"/>
      <c r="R370" s="1285"/>
      <c r="S370" s="1285"/>
      <c r="T370" s="1285"/>
      <c r="U370" s="1285"/>
      <c r="V370" s="1285"/>
      <c r="W370" s="1284"/>
      <c r="X370" s="1905" t="s">
        <v>1060</v>
      </c>
      <c r="Y370" s="1280" t="s">
        <v>1061</v>
      </c>
      <c r="Z370" s="1297">
        <v>2</v>
      </c>
      <c r="AA370" s="1297">
        <v>0</v>
      </c>
      <c r="AB370" s="1297">
        <v>22</v>
      </c>
      <c r="AC370" s="1297">
        <v>1</v>
      </c>
      <c r="AD370" s="1282"/>
      <c r="AE370" s="1282" t="s">
        <v>793</v>
      </c>
      <c r="AF370" s="1280"/>
      <c r="AG370" s="1280"/>
      <c r="AH370" s="1280"/>
      <c r="AI370" s="1280"/>
      <c r="AJ370" s="1280"/>
      <c r="AK370" s="1284" t="s">
        <v>1014</v>
      </c>
      <c r="AL370" s="1285"/>
      <c r="AM370" s="1285"/>
    </row>
    <row r="371" spans="1:39" ht="52.5" customHeight="1" outlineLevel="1">
      <c r="A371" s="1285"/>
      <c r="B371" s="1285"/>
      <c r="C371" s="1285"/>
      <c r="D371" s="1285"/>
      <c r="E371" s="1285"/>
      <c r="F371" s="1285"/>
      <c r="G371" s="1286"/>
      <c r="H371" s="1286"/>
      <c r="I371" s="1286"/>
      <c r="J371" s="1286"/>
      <c r="K371" s="1286"/>
      <c r="L371" s="1286"/>
      <c r="M371" s="1286"/>
      <c r="N371" s="1286"/>
      <c r="O371" s="1286"/>
      <c r="P371" s="1286"/>
      <c r="Q371" s="1286"/>
      <c r="R371" s="1285"/>
      <c r="S371" s="1285"/>
      <c r="T371" s="1285"/>
      <c r="U371" s="1285"/>
      <c r="V371" s="1285"/>
      <c r="W371" s="1284"/>
      <c r="X371" s="1906" t="s">
        <v>1062</v>
      </c>
      <c r="Y371" s="1280" t="s">
        <v>1063</v>
      </c>
      <c r="Z371" s="1293">
        <v>3</v>
      </c>
      <c r="AA371" s="1297">
        <v>0</v>
      </c>
      <c r="AB371" s="1293">
        <v>24</v>
      </c>
      <c r="AC371" s="1293">
        <v>16</v>
      </c>
      <c r="AD371" s="1282"/>
      <c r="AE371" s="1282"/>
      <c r="AF371" s="1281">
        <v>1</v>
      </c>
      <c r="AG371" s="1283" t="s">
        <v>513</v>
      </c>
      <c r="AH371" s="1280"/>
      <c r="AI371" s="1283" t="s">
        <v>513</v>
      </c>
      <c r="AJ371" s="1281"/>
      <c r="AK371" s="1284" t="s">
        <v>1014</v>
      </c>
      <c r="AL371" s="1285"/>
      <c r="AM371" s="1285"/>
    </row>
    <row r="372" spans="1:39" ht="52.5" customHeight="1" outlineLevel="1">
      <c r="A372" s="1285"/>
      <c r="B372" s="1285"/>
      <c r="C372" s="1285"/>
      <c r="D372" s="1285"/>
      <c r="E372" s="1285"/>
      <c r="F372" s="1285"/>
      <c r="G372" s="1286"/>
      <c r="H372" s="1286"/>
      <c r="I372" s="1286"/>
      <c r="J372" s="1286"/>
      <c r="K372" s="1286"/>
      <c r="L372" s="1286"/>
      <c r="M372" s="1286"/>
      <c r="N372" s="1286"/>
      <c r="O372" s="1286"/>
      <c r="P372" s="1286"/>
      <c r="Q372" s="1286"/>
      <c r="R372" s="1285"/>
      <c r="S372" s="1285"/>
      <c r="T372" s="1285"/>
      <c r="U372" s="1285"/>
      <c r="V372" s="1285"/>
      <c r="W372" s="1284"/>
      <c r="X372" s="1907" t="s">
        <v>1064</v>
      </c>
      <c r="Y372" s="1280" t="s">
        <v>1065</v>
      </c>
      <c r="Z372" s="1293">
        <v>5</v>
      </c>
      <c r="AA372" s="1297">
        <v>0</v>
      </c>
      <c r="AB372" s="1293">
        <v>40</v>
      </c>
      <c r="AC372" s="1293">
        <v>1</v>
      </c>
      <c r="AD372" s="1282"/>
      <c r="AE372" s="1282" t="s">
        <v>793</v>
      </c>
      <c r="AF372" s="1281"/>
      <c r="AG372" s="1280"/>
      <c r="AH372" s="1280"/>
      <c r="AI372" s="1280"/>
      <c r="AJ372" s="1281"/>
      <c r="AK372" s="1284" t="s">
        <v>1066</v>
      </c>
      <c r="AL372" s="1285"/>
      <c r="AM372" s="1285"/>
    </row>
    <row r="373" spans="1:39" ht="52.5" customHeight="1" outlineLevel="1">
      <c r="A373" s="1285"/>
      <c r="B373" s="1285"/>
      <c r="C373" s="1285"/>
      <c r="D373" s="1285"/>
      <c r="E373" s="1285"/>
      <c r="F373" s="1285"/>
      <c r="G373" s="1286"/>
      <c r="H373" s="1286"/>
      <c r="I373" s="1286"/>
      <c r="J373" s="1286"/>
      <c r="K373" s="1286"/>
      <c r="L373" s="1286"/>
      <c r="M373" s="1286"/>
      <c r="N373" s="1286"/>
      <c r="O373" s="1286"/>
      <c r="P373" s="1286"/>
      <c r="Q373" s="1286"/>
      <c r="R373" s="1285"/>
      <c r="S373" s="1285"/>
      <c r="T373" s="1285"/>
      <c r="U373" s="1285"/>
      <c r="V373" s="1285"/>
      <c r="W373" s="1284"/>
      <c r="X373" s="1908" t="s">
        <v>1067</v>
      </c>
      <c r="Y373" s="1280" t="s">
        <v>1068</v>
      </c>
      <c r="Z373" s="1293">
        <v>5</v>
      </c>
      <c r="AA373" s="1297">
        <v>0</v>
      </c>
      <c r="AB373" s="1293">
        <v>41</v>
      </c>
      <c r="AC373" s="1293">
        <v>1</v>
      </c>
      <c r="AD373" s="1282"/>
      <c r="AE373" s="1282" t="s">
        <v>793</v>
      </c>
      <c r="AF373" s="1281"/>
      <c r="AG373" s="1280"/>
      <c r="AH373" s="1280"/>
      <c r="AI373" s="1280"/>
      <c r="AJ373" s="1281"/>
      <c r="AK373" s="1284" t="s">
        <v>1066</v>
      </c>
      <c r="AL373" s="1285"/>
      <c r="AM373" s="1285"/>
    </row>
    <row r="374" spans="1:39" ht="52.5" customHeight="1" outlineLevel="1">
      <c r="A374" s="1285"/>
      <c r="B374" s="1285"/>
      <c r="C374" s="1285"/>
      <c r="D374" s="1285"/>
      <c r="E374" s="1285"/>
      <c r="F374" s="1285"/>
      <c r="G374" s="1286"/>
      <c r="H374" s="1286"/>
      <c r="I374" s="1286"/>
      <c r="J374" s="1286"/>
      <c r="K374" s="1286"/>
      <c r="L374" s="1286"/>
      <c r="M374" s="1286"/>
      <c r="N374" s="1286"/>
      <c r="O374" s="1286"/>
      <c r="P374" s="1286"/>
      <c r="Q374" s="1286"/>
      <c r="R374" s="1285"/>
      <c r="S374" s="1285"/>
      <c r="T374" s="1285"/>
      <c r="U374" s="1285"/>
      <c r="V374" s="1285"/>
      <c r="W374" s="1284"/>
      <c r="X374" s="1909" t="s">
        <v>1069</v>
      </c>
      <c r="Y374" s="1280" t="s">
        <v>1070</v>
      </c>
      <c r="Z374" s="1293">
        <v>5</v>
      </c>
      <c r="AA374" s="1297">
        <v>0</v>
      </c>
      <c r="AB374" s="1293">
        <v>42</v>
      </c>
      <c r="AC374" s="1293">
        <v>1</v>
      </c>
      <c r="AD374" s="1282"/>
      <c r="AE374" s="1282" t="s">
        <v>793</v>
      </c>
      <c r="AF374" s="1281"/>
      <c r="AG374" s="1280"/>
      <c r="AH374" s="1280"/>
      <c r="AI374" s="1280"/>
      <c r="AJ374" s="1281"/>
      <c r="AK374" s="1284" t="s">
        <v>1066</v>
      </c>
      <c r="AL374" s="1285"/>
      <c r="AM374" s="1285"/>
    </row>
    <row r="375" spans="1:39" ht="52.5" customHeight="1" outlineLevel="1">
      <c r="A375" s="1285"/>
      <c r="B375" s="1285"/>
      <c r="C375" s="1285"/>
      <c r="D375" s="1285"/>
      <c r="E375" s="1285"/>
      <c r="F375" s="1285"/>
      <c r="G375" s="1286"/>
      <c r="H375" s="1286"/>
      <c r="I375" s="1286"/>
      <c r="J375" s="1286"/>
      <c r="K375" s="1286"/>
      <c r="L375" s="1286"/>
      <c r="M375" s="1286"/>
      <c r="N375" s="1286"/>
      <c r="O375" s="1286"/>
      <c r="P375" s="1286"/>
      <c r="Q375" s="1286"/>
      <c r="R375" s="1285"/>
      <c r="S375" s="1285"/>
      <c r="T375" s="1285"/>
      <c r="U375" s="1285"/>
      <c r="V375" s="1285"/>
      <c r="W375" s="1284"/>
      <c r="X375" s="1910" t="s">
        <v>1071</v>
      </c>
      <c r="Y375" s="1280" t="s">
        <v>1072</v>
      </c>
      <c r="Z375" s="1293">
        <v>5</v>
      </c>
      <c r="AA375" s="1297">
        <v>0</v>
      </c>
      <c r="AB375" s="1293">
        <v>43</v>
      </c>
      <c r="AC375" s="1293">
        <v>1</v>
      </c>
      <c r="AD375" s="1282"/>
      <c r="AE375" s="1282" t="s">
        <v>793</v>
      </c>
      <c r="AF375" s="1281"/>
      <c r="AG375" s="1280"/>
      <c r="AH375" s="1280"/>
      <c r="AI375" s="1280"/>
      <c r="AJ375" s="1281"/>
      <c r="AK375" s="1284" t="s">
        <v>1066</v>
      </c>
      <c r="AL375" s="1285"/>
      <c r="AM375" s="1285"/>
    </row>
    <row r="376" spans="1:39" ht="52.5" customHeight="1" outlineLevel="1">
      <c r="A376" s="1285"/>
      <c r="B376" s="1285"/>
      <c r="C376" s="1285"/>
      <c r="D376" s="1285"/>
      <c r="E376" s="1285"/>
      <c r="F376" s="1285"/>
      <c r="G376" s="1286"/>
      <c r="H376" s="1286"/>
      <c r="I376" s="1286"/>
      <c r="J376" s="1286"/>
      <c r="K376" s="1286"/>
      <c r="L376" s="1286"/>
      <c r="M376" s="1286"/>
      <c r="N376" s="1286"/>
      <c r="O376" s="1286"/>
      <c r="P376" s="1286"/>
      <c r="Q376" s="1286"/>
      <c r="R376" s="1285"/>
      <c r="S376" s="1285"/>
      <c r="T376" s="1285"/>
      <c r="U376" s="1285"/>
      <c r="V376" s="1285"/>
      <c r="W376" s="1284"/>
      <c r="X376" s="1911" t="s">
        <v>1073</v>
      </c>
      <c r="Y376" s="1280" t="s">
        <v>1074</v>
      </c>
      <c r="Z376" s="1293">
        <v>5</v>
      </c>
      <c r="AA376" s="1297">
        <v>0</v>
      </c>
      <c r="AB376" s="1293">
        <v>44</v>
      </c>
      <c r="AC376" s="1293">
        <v>1</v>
      </c>
      <c r="AD376" s="1282"/>
      <c r="AE376" s="1282" t="s">
        <v>793</v>
      </c>
      <c r="AF376" s="1281"/>
      <c r="AG376" s="1280"/>
      <c r="AH376" s="1280"/>
      <c r="AI376" s="1280"/>
      <c r="AJ376" s="1281"/>
      <c r="AK376" s="1284" t="s">
        <v>1066</v>
      </c>
      <c r="AL376" s="1285"/>
      <c r="AM376" s="1285"/>
    </row>
    <row r="377" spans="1:39" ht="52.5" customHeight="1" outlineLevel="1">
      <c r="A377" s="1285"/>
      <c r="B377" s="1285"/>
      <c r="C377" s="1285"/>
      <c r="D377" s="1285"/>
      <c r="E377" s="1285"/>
      <c r="F377" s="1285"/>
      <c r="G377" s="1286"/>
      <c r="H377" s="1286"/>
      <c r="I377" s="1286"/>
      <c r="J377" s="1286"/>
      <c r="K377" s="1286"/>
      <c r="L377" s="1286"/>
      <c r="M377" s="1286"/>
      <c r="N377" s="1286"/>
      <c r="O377" s="1286"/>
      <c r="P377" s="1286"/>
      <c r="Q377" s="1286"/>
      <c r="R377" s="1285"/>
      <c r="S377" s="1285"/>
      <c r="T377" s="1285"/>
      <c r="U377" s="1285"/>
      <c r="V377" s="1285"/>
      <c r="W377" s="1284"/>
      <c r="X377" s="1912" t="s">
        <v>1075</v>
      </c>
      <c r="Y377" s="1280" t="s">
        <v>1076</v>
      </c>
      <c r="Z377" s="1293">
        <v>5</v>
      </c>
      <c r="AA377" s="1297">
        <v>0</v>
      </c>
      <c r="AB377" s="1293">
        <v>45</v>
      </c>
      <c r="AC377" s="1293">
        <v>1</v>
      </c>
      <c r="AD377" s="1282"/>
      <c r="AE377" s="1282" t="s">
        <v>793</v>
      </c>
      <c r="AF377" s="1281"/>
      <c r="AG377" s="1280"/>
      <c r="AH377" s="1280"/>
      <c r="AI377" s="1280"/>
      <c r="AJ377" s="1281"/>
      <c r="AK377" s="1284" t="s">
        <v>1066</v>
      </c>
      <c r="AL377" s="1285"/>
      <c r="AM377" s="1285"/>
    </row>
    <row r="378" spans="1:39" ht="52.5" customHeight="1" outlineLevel="1">
      <c r="A378" s="1285"/>
      <c r="B378" s="1285"/>
      <c r="C378" s="1285"/>
      <c r="D378" s="1285"/>
      <c r="E378" s="1285"/>
      <c r="F378" s="1285"/>
      <c r="G378" s="1286"/>
      <c r="H378" s="1286"/>
      <c r="I378" s="1286"/>
      <c r="J378" s="1286"/>
      <c r="K378" s="1286"/>
      <c r="L378" s="1286"/>
      <c r="M378" s="1286"/>
      <c r="N378" s="1286"/>
      <c r="O378" s="1286"/>
      <c r="P378" s="1286"/>
      <c r="Q378" s="1286"/>
      <c r="R378" s="1285"/>
      <c r="S378" s="1285"/>
      <c r="T378" s="1285"/>
      <c r="U378" s="1285"/>
      <c r="V378" s="1285"/>
      <c r="W378" s="1284"/>
      <c r="X378" s="1913" t="s">
        <v>1077</v>
      </c>
      <c r="Y378" s="1280" t="s">
        <v>1078</v>
      </c>
      <c r="Z378" s="1293">
        <v>5</v>
      </c>
      <c r="AA378" s="1297">
        <v>0</v>
      </c>
      <c r="AB378" s="1293">
        <v>46</v>
      </c>
      <c r="AC378" s="1293">
        <v>1</v>
      </c>
      <c r="AD378" s="1282"/>
      <c r="AE378" s="1282" t="s">
        <v>793</v>
      </c>
      <c r="AF378" s="1281"/>
      <c r="AG378" s="1280"/>
      <c r="AH378" s="1280"/>
      <c r="AI378" s="1280"/>
      <c r="AJ378" s="1281"/>
      <c r="AK378" s="1284" t="s">
        <v>1066</v>
      </c>
      <c r="AL378" s="1285"/>
      <c r="AM378" s="1285"/>
    </row>
    <row r="379" spans="1:39" ht="52.5" customHeight="1">
      <c r="A379" s="765"/>
      <c r="B379" s="765"/>
      <c r="C379" s="765"/>
      <c r="D379" s="765"/>
      <c r="E379" s="765"/>
      <c r="F379" s="765"/>
      <c r="G379" s="816"/>
      <c r="H379" s="765"/>
      <c r="I379" s="765"/>
      <c r="J379" s="765"/>
      <c r="K379" s="765"/>
      <c r="L379" s="765"/>
      <c r="M379" s="765"/>
      <c r="N379" s="765"/>
      <c r="O379" s="765"/>
      <c r="P379" s="765"/>
      <c r="Q379" s="765"/>
      <c r="R379" s="765"/>
      <c r="S379" s="765"/>
      <c r="T379" s="765"/>
      <c r="U379" s="765"/>
      <c r="V379" s="821"/>
      <c r="W379" s="821"/>
      <c r="X379" s="821"/>
      <c r="Y379" s="821"/>
      <c r="Z379" s="765"/>
      <c r="AA379" s="765"/>
      <c r="AB379" s="1420"/>
      <c r="AC379" s="765"/>
      <c r="AD379" s="765"/>
      <c r="AE379" s="765"/>
      <c r="AF379" s="765"/>
      <c r="AG379" s="765"/>
      <c r="AH379" s="765"/>
      <c r="AI379" s="765"/>
      <c r="AJ379" s="765"/>
      <c r="AK379" s="212"/>
      <c r="AL379" s="364"/>
      <c r="AM379" s="1363"/>
    </row>
    <row r="380" spans="1:39" ht="52.5" customHeight="1" outlineLevel="1">
      <c r="A380" s="765">
        <v>62</v>
      </c>
      <c r="B380" s="765" t="s">
        <v>1079</v>
      </c>
      <c r="C380" s="765" t="s">
        <v>1080</v>
      </c>
      <c r="D380" s="765" t="s">
        <v>844</v>
      </c>
      <c r="E380" s="765">
        <v>8</v>
      </c>
      <c r="F380" s="765" t="s">
        <v>260</v>
      </c>
      <c r="G380" s="816"/>
      <c r="H380" s="765" t="s">
        <v>325</v>
      </c>
      <c r="I380" s="765"/>
      <c r="J380" s="765"/>
      <c r="K380" s="765"/>
      <c r="L380" s="765"/>
      <c r="M380" s="765"/>
      <c r="N380" s="765"/>
      <c r="O380" s="765"/>
      <c r="P380" s="765" t="s">
        <v>325</v>
      </c>
      <c r="Q380" s="765"/>
      <c r="R380" s="765"/>
      <c r="S380" s="765" t="s">
        <v>261</v>
      </c>
      <c r="T380" s="765"/>
      <c r="U380" s="765"/>
      <c r="V380" s="821"/>
      <c r="W380" s="821"/>
      <c r="X380" s="821" t="s">
        <v>1081</v>
      </c>
      <c r="Y380" s="821"/>
      <c r="Z380" s="765"/>
      <c r="AA380" s="765"/>
      <c r="AB380" s="1420">
        <f t="shared" ref="AB380:AB403" si="5">Z380*8+AA380</f>
        <v>0</v>
      </c>
      <c r="AC380" s="765"/>
      <c r="AD380" s="765"/>
      <c r="AE380" s="765"/>
      <c r="AF380" s="765"/>
      <c r="AG380" s="765"/>
      <c r="AH380" s="765"/>
      <c r="AI380" s="765"/>
      <c r="AJ380" s="765"/>
      <c r="AK380" s="212"/>
      <c r="AL380" s="364"/>
      <c r="AM380" s="1363"/>
    </row>
    <row r="381" spans="1:39" ht="30.75" customHeight="1" outlineLevel="1">
      <c r="A381" s="1262"/>
      <c r="B381" s="1262"/>
      <c r="C381" s="1262"/>
      <c r="D381" s="1262"/>
      <c r="E381" s="1262"/>
      <c r="F381" s="1262"/>
      <c r="G381" s="1363"/>
      <c r="H381" s="1262" t="s">
        <v>325</v>
      </c>
      <c r="I381" s="1262"/>
      <c r="J381" s="1262"/>
      <c r="K381" s="1262"/>
      <c r="L381" s="1262"/>
      <c r="M381" s="1262"/>
      <c r="N381" s="1262"/>
      <c r="O381" s="1262"/>
      <c r="P381" s="1262" t="s">
        <v>325</v>
      </c>
      <c r="Q381" s="1262"/>
      <c r="R381" s="1262"/>
      <c r="S381" s="1262" t="s">
        <v>261</v>
      </c>
      <c r="T381" s="1262"/>
      <c r="U381" s="613"/>
      <c r="V381" s="117"/>
      <c r="W381" s="117"/>
      <c r="X381" s="1914" t="s">
        <v>532</v>
      </c>
      <c r="Y381" s="117" t="s">
        <v>588</v>
      </c>
      <c r="Z381" s="484">
        <v>0</v>
      </c>
      <c r="AA381" s="1333">
        <v>0</v>
      </c>
      <c r="AB381" s="1420">
        <f t="shared" si="5"/>
        <v>0</v>
      </c>
      <c r="AC381" s="1333">
        <v>16</v>
      </c>
      <c r="AD381" s="1333"/>
      <c r="AE381" s="1397"/>
      <c r="AF381" s="1397"/>
      <c r="AG381" s="1397"/>
      <c r="AH381" s="1397"/>
      <c r="AI381" s="1397"/>
      <c r="AJ381" s="1333"/>
      <c r="AK381" s="1262"/>
      <c r="AL381" s="364"/>
      <c r="AM381" s="1363"/>
    </row>
    <row r="382" spans="1:39" ht="30.75" customHeight="1" outlineLevel="1">
      <c r="A382" s="1262"/>
      <c r="B382" s="1262"/>
      <c r="C382" s="1262"/>
      <c r="D382" s="1262"/>
      <c r="E382" s="1262"/>
      <c r="F382" s="1262"/>
      <c r="G382" s="1363"/>
      <c r="H382" s="1262" t="s">
        <v>325</v>
      </c>
      <c r="I382" s="1262"/>
      <c r="J382" s="1262"/>
      <c r="K382" s="1262"/>
      <c r="L382" s="1262"/>
      <c r="M382" s="1262"/>
      <c r="N382" s="1262"/>
      <c r="O382" s="1262"/>
      <c r="P382" s="1262" t="s">
        <v>325</v>
      </c>
      <c r="Q382" s="1262"/>
      <c r="R382" s="1262"/>
      <c r="S382" s="1262" t="s">
        <v>261</v>
      </c>
      <c r="T382" s="1363"/>
      <c r="U382" s="1363"/>
      <c r="V382" s="117"/>
      <c r="W382" s="117"/>
      <c r="X382" s="1915" t="s">
        <v>534</v>
      </c>
      <c r="Y382" s="117" t="s">
        <v>589</v>
      </c>
      <c r="Z382" s="684">
        <v>2</v>
      </c>
      <c r="AA382" s="1420">
        <v>0</v>
      </c>
      <c r="AB382" s="1420">
        <f t="shared" si="5"/>
        <v>16</v>
      </c>
      <c r="AC382" s="1420">
        <v>8</v>
      </c>
      <c r="AD382" s="1420"/>
      <c r="AE382" s="1398"/>
      <c r="AF382" s="1398"/>
      <c r="AG382" s="1398"/>
      <c r="AH382" s="1398"/>
      <c r="AI382" s="1398"/>
      <c r="AJ382" s="1420"/>
      <c r="AK382" s="1262"/>
      <c r="AL382" s="364"/>
      <c r="AM382" s="1363"/>
    </row>
    <row r="383" spans="1:39" ht="30.75" customHeight="1" outlineLevel="1">
      <c r="A383" s="1262"/>
      <c r="B383" s="1262"/>
      <c r="C383" s="1262"/>
      <c r="D383" s="1262"/>
      <c r="E383" s="1262"/>
      <c r="F383" s="1262"/>
      <c r="G383" s="1363"/>
      <c r="H383" s="1262" t="s">
        <v>325</v>
      </c>
      <c r="I383" s="1262"/>
      <c r="J383" s="1262"/>
      <c r="K383" s="1262"/>
      <c r="L383" s="1262"/>
      <c r="M383" s="1262"/>
      <c r="N383" s="1262"/>
      <c r="O383" s="1262"/>
      <c r="P383" s="1262" t="s">
        <v>325</v>
      </c>
      <c r="Q383" s="1262"/>
      <c r="R383" s="1262"/>
      <c r="S383" s="1262" t="s">
        <v>261</v>
      </c>
      <c r="T383" s="1363"/>
      <c r="U383" s="1363"/>
      <c r="V383" s="117"/>
      <c r="W383" s="117"/>
      <c r="X383" s="1916" t="s">
        <v>537</v>
      </c>
      <c r="Y383" s="117" t="s">
        <v>590</v>
      </c>
      <c r="Z383" s="684">
        <v>3</v>
      </c>
      <c r="AA383" s="1420">
        <v>0</v>
      </c>
      <c r="AB383" s="1420">
        <f t="shared" si="5"/>
        <v>24</v>
      </c>
      <c r="AC383" s="1420">
        <v>8</v>
      </c>
      <c r="AD383" s="1420"/>
      <c r="AE383" s="1398"/>
      <c r="AF383" s="1398"/>
      <c r="AG383" s="1398"/>
      <c r="AH383" s="1398"/>
      <c r="AI383" s="1398"/>
      <c r="AJ383" s="1420"/>
      <c r="AK383" s="1262"/>
      <c r="AL383" s="364"/>
      <c r="AM383" s="1363"/>
    </row>
    <row r="384" spans="1:39" ht="30.75" customHeight="1" outlineLevel="1">
      <c r="A384" s="1262"/>
      <c r="B384" s="1262"/>
      <c r="C384" s="1262"/>
      <c r="D384" s="1262"/>
      <c r="E384" s="1262"/>
      <c r="F384" s="1262"/>
      <c r="G384" s="1363"/>
      <c r="H384" s="1262" t="s">
        <v>325</v>
      </c>
      <c r="I384" s="1262"/>
      <c r="J384" s="1262"/>
      <c r="K384" s="1262"/>
      <c r="L384" s="1262"/>
      <c r="M384" s="1262"/>
      <c r="N384" s="1262"/>
      <c r="O384" s="1262"/>
      <c r="P384" s="1262" t="s">
        <v>325</v>
      </c>
      <c r="Q384" s="1262"/>
      <c r="R384" s="1262"/>
      <c r="S384" s="1262" t="s">
        <v>261</v>
      </c>
      <c r="T384" s="1363"/>
      <c r="U384" s="1363"/>
      <c r="V384" s="117"/>
      <c r="W384" s="117"/>
      <c r="X384" s="1917" t="s">
        <v>540</v>
      </c>
      <c r="Y384" s="117" t="s">
        <v>591</v>
      </c>
      <c r="Z384" s="684">
        <v>4</v>
      </c>
      <c r="AA384" s="1420">
        <v>0</v>
      </c>
      <c r="AB384" s="1420">
        <f t="shared" si="5"/>
        <v>32</v>
      </c>
      <c r="AC384" s="1420">
        <v>8</v>
      </c>
      <c r="AD384" s="1420"/>
      <c r="AE384" s="1398"/>
      <c r="AF384" s="1398"/>
      <c r="AG384" s="1398"/>
      <c r="AH384" s="1398"/>
      <c r="AI384" s="1398"/>
      <c r="AJ384" s="1420"/>
      <c r="AK384" s="1262"/>
      <c r="AL384" s="364"/>
      <c r="AM384" s="1363"/>
    </row>
    <row r="385" spans="1:39" ht="30.75" customHeight="1">
      <c r="A385" s="1262"/>
      <c r="B385" s="1262"/>
      <c r="C385" s="1262"/>
      <c r="D385" s="1262"/>
      <c r="E385" s="1262"/>
      <c r="F385" s="1262"/>
      <c r="G385" s="1363"/>
      <c r="H385" s="1262" t="s">
        <v>325</v>
      </c>
      <c r="I385" s="1262"/>
      <c r="J385" s="1262"/>
      <c r="K385" s="1262"/>
      <c r="L385" s="1262"/>
      <c r="M385" s="1262"/>
      <c r="N385" s="1262"/>
      <c r="O385" s="1262"/>
      <c r="P385" s="1262" t="s">
        <v>325</v>
      </c>
      <c r="Q385" s="1262"/>
      <c r="R385" s="1262"/>
      <c r="S385" s="1262" t="s">
        <v>261</v>
      </c>
      <c r="T385" s="1363"/>
      <c r="U385" s="1363"/>
      <c r="V385" s="117"/>
      <c r="W385" s="117"/>
      <c r="X385" s="1918" t="s">
        <v>543</v>
      </c>
      <c r="Y385" s="117" t="s">
        <v>592</v>
      </c>
      <c r="Z385" s="684">
        <v>5</v>
      </c>
      <c r="AA385" s="1420">
        <v>0</v>
      </c>
      <c r="AB385" s="1420">
        <f t="shared" si="5"/>
        <v>40</v>
      </c>
      <c r="AC385" s="1420">
        <v>24</v>
      </c>
      <c r="AD385" s="1420"/>
      <c r="AE385" s="1398"/>
      <c r="AF385" s="1398"/>
      <c r="AG385" s="1398"/>
      <c r="AH385" s="1398"/>
      <c r="AI385" s="1398"/>
      <c r="AJ385" s="1420"/>
      <c r="AK385" s="1262"/>
      <c r="AL385" s="364"/>
      <c r="AM385" s="1363"/>
    </row>
    <row r="386" spans="1:39" ht="52.5" customHeight="1" outlineLevel="1">
      <c r="A386" s="765">
        <v>63</v>
      </c>
      <c r="B386" s="765" t="s">
        <v>1079</v>
      </c>
      <c r="C386" s="765" t="s">
        <v>1082</v>
      </c>
      <c r="D386" s="765" t="s">
        <v>844</v>
      </c>
      <c r="E386" s="765">
        <v>8</v>
      </c>
      <c r="F386" s="765" t="s">
        <v>260</v>
      </c>
      <c r="G386" s="816"/>
      <c r="H386" s="765" t="s">
        <v>325</v>
      </c>
      <c r="I386" s="765"/>
      <c r="J386" s="765"/>
      <c r="K386" s="765"/>
      <c r="L386" s="765"/>
      <c r="M386" s="765"/>
      <c r="N386" s="765"/>
      <c r="O386" s="765"/>
      <c r="P386" s="765" t="s">
        <v>325</v>
      </c>
      <c r="Q386" s="765"/>
      <c r="R386" s="765"/>
      <c r="S386" s="765" t="s">
        <v>261</v>
      </c>
      <c r="T386" s="765"/>
      <c r="U386" s="765"/>
      <c r="V386" s="821"/>
      <c r="W386" s="821"/>
      <c r="X386" s="821" t="s">
        <v>1083</v>
      </c>
      <c r="Y386" s="821"/>
      <c r="Z386" s="765"/>
      <c r="AA386" s="765"/>
      <c r="AB386" s="1420">
        <f t="shared" si="5"/>
        <v>0</v>
      </c>
      <c r="AC386" s="765"/>
      <c r="AD386" s="765"/>
      <c r="AE386" s="765"/>
      <c r="AF386" s="765"/>
      <c r="AG386" s="765"/>
      <c r="AH386" s="765"/>
      <c r="AI386" s="765"/>
      <c r="AJ386" s="765"/>
      <c r="AK386" s="212"/>
      <c r="AL386" s="364"/>
      <c r="AM386" s="1363"/>
    </row>
    <row r="387" spans="1:39" ht="45.75" customHeight="1" outlineLevel="1">
      <c r="A387" s="1262"/>
      <c r="B387" s="1262"/>
      <c r="C387" s="1262"/>
      <c r="D387" s="1262"/>
      <c r="E387" s="1262"/>
      <c r="F387" s="1262"/>
      <c r="G387" s="1363"/>
      <c r="H387" s="1262" t="s">
        <v>325</v>
      </c>
      <c r="I387" s="1262"/>
      <c r="J387" s="1262"/>
      <c r="K387" s="1262"/>
      <c r="L387" s="1262"/>
      <c r="M387" s="1262"/>
      <c r="N387" s="1262"/>
      <c r="O387" s="1262"/>
      <c r="P387" s="1262" t="s">
        <v>325</v>
      </c>
      <c r="Q387" s="1262"/>
      <c r="R387" s="1262"/>
      <c r="S387" s="1262" t="s">
        <v>261</v>
      </c>
      <c r="T387" s="1262"/>
      <c r="U387" s="613"/>
      <c r="V387" s="117"/>
      <c r="W387" s="117"/>
      <c r="X387" s="1919" t="s">
        <v>549</v>
      </c>
      <c r="Y387" s="484" t="s">
        <v>849</v>
      </c>
      <c r="Z387" s="484">
        <v>0</v>
      </c>
      <c r="AA387" s="1333">
        <v>0</v>
      </c>
      <c r="AB387" s="1420">
        <f t="shared" si="5"/>
        <v>0</v>
      </c>
      <c r="AC387" s="1333">
        <v>8</v>
      </c>
      <c r="AD387" s="1372"/>
      <c r="AE387" s="1397" t="s">
        <v>551</v>
      </c>
      <c r="AF387" s="134"/>
      <c r="AG387" s="134"/>
      <c r="AH387" s="134"/>
      <c r="AI387" s="134"/>
      <c r="AJ387" s="134"/>
      <c r="AK387" s="613"/>
      <c r="AL387" s="364"/>
      <c r="AM387" s="1363"/>
    </row>
    <row r="388" spans="1:39" ht="75.75" customHeight="1" outlineLevel="1">
      <c r="A388" s="1262"/>
      <c r="B388" s="1262"/>
      <c r="C388" s="1262"/>
      <c r="D388" s="1262"/>
      <c r="E388" s="1262"/>
      <c r="F388" s="1262"/>
      <c r="G388" s="1363"/>
      <c r="H388" s="1262" t="s">
        <v>325</v>
      </c>
      <c r="I388" s="1262"/>
      <c r="J388" s="1262"/>
      <c r="K388" s="1262"/>
      <c r="L388" s="1262"/>
      <c r="M388" s="1262"/>
      <c r="N388" s="1262"/>
      <c r="O388" s="1262"/>
      <c r="P388" s="1262" t="s">
        <v>325</v>
      </c>
      <c r="Q388" s="1262"/>
      <c r="R388" s="1262"/>
      <c r="S388" s="1262" t="s">
        <v>261</v>
      </c>
      <c r="T388" s="1363"/>
      <c r="U388" s="1363"/>
      <c r="V388" s="117"/>
      <c r="W388" s="117"/>
      <c r="X388" s="1920" t="s">
        <v>552</v>
      </c>
      <c r="Y388" s="684" t="s">
        <v>850</v>
      </c>
      <c r="Z388" s="684">
        <v>1</v>
      </c>
      <c r="AA388" s="1420">
        <v>0</v>
      </c>
      <c r="AB388" s="1420">
        <f t="shared" si="5"/>
        <v>8</v>
      </c>
      <c r="AC388" s="1420">
        <v>8</v>
      </c>
      <c r="AD388" s="1373"/>
      <c r="AE388" s="1398" t="s">
        <v>554</v>
      </c>
      <c r="AF388" s="646"/>
      <c r="AG388" s="646"/>
      <c r="AH388" s="646"/>
      <c r="AI388" s="646"/>
      <c r="AJ388" s="646"/>
      <c r="AK388" s="613"/>
      <c r="AL388" s="364"/>
      <c r="AM388" s="1363"/>
    </row>
    <row r="389" spans="1:39" ht="75.75" customHeight="1" outlineLevel="1">
      <c r="A389" s="1262"/>
      <c r="B389" s="1262"/>
      <c r="C389" s="1262"/>
      <c r="D389" s="1262"/>
      <c r="E389" s="1262"/>
      <c r="F389" s="1262"/>
      <c r="G389" s="1363"/>
      <c r="H389" s="1262" t="s">
        <v>325</v>
      </c>
      <c r="I389" s="1262"/>
      <c r="J389" s="1262"/>
      <c r="K389" s="1262"/>
      <c r="L389" s="1262"/>
      <c r="M389" s="1262"/>
      <c r="N389" s="1262"/>
      <c r="O389" s="1262"/>
      <c r="P389" s="1262" t="s">
        <v>325</v>
      </c>
      <c r="Q389" s="1262"/>
      <c r="R389" s="1262"/>
      <c r="S389" s="1262" t="s">
        <v>261</v>
      </c>
      <c r="T389" s="1363"/>
      <c r="U389" s="1363"/>
      <c r="V389" s="117"/>
      <c r="W389" s="117"/>
      <c r="X389" s="1921" t="s">
        <v>555</v>
      </c>
      <c r="Y389" s="684" t="s">
        <v>851</v>
      </c>
      <c r="Z389" s="684">
        <v>2</v>
      </c>
      <c r="AA389" s="1420">
        <v>0</v>
      </c>
      <c r="AB389" s="1420">
        <f t="shared" si="5"/>
        <v>16</v>
      </c>
      <c r="AC389" s="1420">
        <v>8</v>
      </c>
      <c r="AD389" s="1373"/>
      <c r="AE389" s="1398" t="s">
        <v>557</v>
      </c>
      <c r="AF389" s="646"/>
      <c r="AG389" s="646"/>
      <c r="AH389" s="646"/>
      <c r="AI389" s="646"/>
      <c r="AJ389" s="646"/>
      <c r="AK389" s="613"/>
      <c r="AL389" s="364"/>
      <c r="AM389" s="1363"/>
    </row>
    <row r="390" spans="1:39" ht="75.75" customHeight="1" outlineLevel="1">
      <c r="A390" s="1262"/>
      <c r="B390" s="1262"/>
      <c r="C390" s="1262"/>
      <c r="D390" s="1262"/>
      <c r="E390" s="1262"/>
      <c r="F390" s="1262"/>
      <c r="G390" s="1363"/>
      <c r="H390" s="1262" t="s">
        <v>325</v>
      </c>
      <c r="I390" s="1262"/>
      <c r="J390" s="1262"/>
      <c r="K390" s="1262"/>
      <c r="L390" s="1262"/>
      <c r="M390" s="1262"/>
      <c r="N390" s="1262"/>
      <c r="O390" s="1262"/>
      <c r="P390" s="1262" t="s">
        <v>325</v>
      </c>
      <c r="Q390" s="1262"/>
      <c r="R390" s="1262"/>
      <c r="S390" s="1262" t="s">
        <v>261</v>
      </c>
      <c r="T390" s="1363"/>
      <c r="U390" s="1363"/>
      <c r="V390" s="117"/>
      <c r="W390" s="117"/>
      <c r="X390" s="1922" t="s">
        <v>558</v>
      </c>
      <c r="Y390" s="684" t="s">
        <v>852</v>
      </c>
      <c r="Z390" s="684">
        <v>3</v>
      </c>
      <c r="AA390" s="1420">
        <v>0</v>
      </c>
      <c r="AB390" s="1420">
        <f t="shared" si="5"/>
        <v>24</v>
      </c>
      <c r="AC390" s="1420">
        <v>8</v>
      </c>
      <c r="AD390" s="1373"/>
      <c r="AE390" s="1398" t="s">
        <v>560</v>
      </c>
      <c r="AF390" s="646"/>
      <c r="AG390" s="646"/>
      <c r="AH390" s="646"/>
      <c r="AI390" s="646"/>
      <c r="AJ390" s="646"/>
      <c r="AK390" s="613"/>
      <c r="AL390" s="364"/>
      <c r="AM390" s="1363"/>
    </row>
    <row r="391" spans="1:39" ht="45.75" customHeight="1" outlineLevel="1">
      <c r="A391" s="1262"/>
      <c r="B391" s="1262"/>
      <c r="C391" s="1262"/>
      <c r="D391" s="1262"/>
      <c r="E391" s="1262"/>
      <c r="F391" s="1262"/>
      <c r="G391" s="1363"/>
      <c r="H391" s="1262" t="s">
        <v>325</v>
      </c>
      <c r="I391" s="1262"/>
      <c r="J391" s="1262"/>
      <c r="K391" s="1262"/>
      <c r="L391" s="1262"/>
      <c r="M391" s="1262"/>
      <c r="N391" s="1262"/>
      <c r="O391" s="1262"/>
      <c r="P391" s="1262" t="s">
        <v>325</v>
      </c>
      <c r="Q391" s="1262"/>
      <c r="R391" s="1262"/>
      <c r="S391" s="1262" t="s">
        <v>261</v>
      </c>
      <c r="T391" s="1363"/>
      <c r="U391" s="1363"/>
      <c r="V391" s="117"/>
      <c r="W391" s="117"/>
      <c r="X391" s="1923" t="s">
        <v>561</v>
      </c>
      <c r="Y391" s="684" t="s">
        <v>853</v>
      </c>
      <c r="Z391" s="684">
        <v>4</v>
      </c>
      <c r="AA391" s="1420">
        <v>0</v>
      </c>
      <c r="AB391" s="1420">
        <f t="shared" si="5"/>
        <v>32</v>
      </c>
      <c r="AC391" s="1420">
        <v>8</v>
      </c>
      <c r="AD391" s="1373"/>
      <c r="AE391" s="1398" t="s">
        <v>563</v>
      </c>
      <c r="AF391" s="646"/>
      <c r="AG391" s="646"/>
      <c r="AH391" s="646"/>
      <c r="AI391" s="646"/>
      <c r="AJ391" s="646"/>
      <c r="AK391" s="613"/>
      <c r="AL391" s="364"/>
      <c r="AM391" s="1363"/>
    </row>
    <row r="392" spans="1:39" ht="75.75" customHeight="1" outlineLevel="1">
      <c r="A392" s="1262"/>
      <c r="B392" s="1262"/>
      <c r="C392" s="1262"/>
      <c r="D392" s="1262"/>
      <c r="E392" s="1262"/>
      <c r="F392" s="1262"/>
      <c r="G392" s="1363"/>
      <c r="H392" s="1262" t="s">
        <v>325</v>
      </c>
      <c r="I392" s="1262"/>
      <c r="J392" s="1262"/>
      <c r="K392" s="1262"/>
      <c r="L392" s="1262"/>
      <c r="M392" s="1262"/>
      <c r="N392" s="1262"/>
      <c r="O392" s="1262"/>
      <c r="P392" s="1262" t="s">
        <v>325</v>
      </c>
      <c r="Q392" s="1262"/>
      <c r="R392" s="1262"/>
      <c r="S392" s="1262" t="s">
        <v>261</v>
      </c>
      <c r="T392" s="1363"/>
      <c r="U392" s="1363"/>
      <c r="V392" s="117"/>
      <c r="W392" s="117"/>
      <c r="X392" s="1924" t="s">
        <v>564</v>
      </c>
      <c r="Y392" s="684" t="s">
        <v>854</v>
      </c>
      <c r="Z392" s="684">
        <v>5</v>
      </c>
      <c r="AA392" s="1420">
        <v>0</v>
      </c>
      <c r="AB392" s="1420">
        <f t="shared" si="5"/>
        <v>40</v>
      </c>
      <c r="AC392" s="1420">
        <v>8</v>
      </c>
      <c r="AD392" s="1373"/>
      <c r="AE392" s="1398" t="s">
        <v>566</v>
      </c>
      <c r="AF392" s="646"/>
      <c r="AG392" s="646"/>
      <c r="AH392" s="646"/>
      <c r="AI392" s="646"/>
      <c r="AJ392" s="646"/>
      <c r="AK392" s="613"/>
      <c r="AL392" s="364"/>
      <c r="AM392" s="1363"/>
    </row>
    <row r="393" spans="1:39" ht="75.75" customHeight="1" outlineLevel="1">
      <c r="A393" s="1262"/>
      <c r="B393" s="1262"/>
      <c r="C393" s="1262"/>
      <c r="D393" s="1262"/>
      <c r="E393" s="1262"/>
      <c r="F393" s="1262"/>
      <c r="G393" s="1363"/>
      <c r="H393" s="1262" t="s">
        <v>325</v>
      </c>
      <c r="I393" s="1262"/>
      <c r="J393" s="1262"/>
      <c r="K393" s="1262"/>
      <c r="L393" s="1262"/>
      <c r="M393" s="1262"/>
      <c r="N393" s="1262"/>
      <c r="O393" s="1262"/>
      <c r="P393" s="1262" t="s">
        <v>325</v>
      </c>
      <c r="Q393" s="1262"/>
      <c r="R393" s="1262"/>
      <c r="S393" s="1262" t="s">
        <v>261</v>
      </c>
      <c r="T393" s="1363"/>
      <c r="U393" s="1363"/>
      <c r="V393" s="117"/>
      <c r="W393" s="117"/>
      <c r="X393" s="1925" t="s">
        <v>567</v>
      </c>
      <c r="Y393" s="684" t="s">
        <v>855</v>
      </c>
      <c r="Z393" s="684">
        <v>6</v>
      </c>
      <c r="AA393" s="1420">
        <v>0</v>
      </c>
      <c r="AB393" s="1420">
        <f t="shared" si="5"/>
        <v>48</v>
      </c>
      <c r="AC393" s="1420">
        <v>8</v>
      </c>
      <c r="AD393" s="1373"/>
      <c r="AE393" s="1398" t="s">
        <v>569</v>
      </c>
      <c r="AF393" s="646"/>
      <c r="AG393" s="646"/>
      <c r="AH393" s="646"/>
      <c r="AI393" s="646"/>
      <c r="AJ393" s="646"/>
      <c r="AK393" s="613"/>
      <c r="AL393" s="364"/>
      <c r="AM393" s="1363"/>
    </row>
    <row r="394" spans="1:39" ht="75.75" customHeight="1">
      <c r="A394" s="1262"/>
      <c r="B394" s="1262"/>
      <c r="C394" s="1262"/>
      <c r="D394" s="1262"/>
      <c r="E394" s="1262"/>
      <c r="F394" s="1262"/>
      <c r="G394" s="1363"/>
      <c r="H394" s="1262" t="s">
        <v>325</v>
      </c>
      <c r="I394" s="1262"/>
      <c r="J394" s="1262"/>
      <c r="K394" s="1262"/>
      <c r="L394" s="1262"/>
      <c r="M394" s="1262"/>
      <c r="N394" s="1262"/>
      <c r="O394" s="1262"/>
      <c r="P394" s="1262" t="s">
        <v>325</v>
      </c>
      <c r="Q394" s="1262"/>
      <c r="R394" s="1262"/>
      <c r="S394" s="1262" t="s">
        <v>261</v>
      </c>
      <c r="T394" s="1363"/>
      <c r="U394" s="1363"/>
      <c r="V394" s="117"/>
      <c r="W394" s="117"/>
      <c r="X394" s="1926" t="s">
        <v>570</v>
      </c>
      <c r="Y394" s="684" t="s">
        <v>856</v>
      </c>
      <c r="Z394" s="684">
        <v>7</v>
      </c>
      <c r="AA394" s="1420">
        <v>0</v>
      </c>
      <c r="AB394" s="1420">
        <f t="shared" si="5"/>
        <v>56</v>
      </c>
      <c r="AC394" s="1420">
        <v>8</v>
      </c>
      <c r="AD394" s="1373"/>
      <c r="AE394" s="1398" t="s">
        <v>572</v>
      </c>
      <c r="AF394" s="646"/>
      <c r="AG394" s="646"/>
      <c r="AH394" s="646"/>
      <c r="AI394" s="646"/>
      <c r="AJ394" s="646"/>
      <c r="AK394" s="613"/>
      <c r="AL394" s="364"/>
      <c r="AM394" s="1363"/>
    </row>
    <row r="395" spans="1:39" ht="52.5" customHeight="1" outlineLevel="1">
      <c r="A395" s="765">
        <v>64</v>
      </c>
      <c r="B395" s="765" t="s">
        <v>1079</v>
      </c>
      <c r="C395" s="765" t="s">
        <v>1084</v>
      </c>
      <c r="D395" s="765" t="s">
        <v>844</v>
      </c>
      <c r="E395" s="765">
        <v>8</v>
      </c>
      <c r="F395" s="765" t="s">
        <v>260</v>
      </c>
      <c r="G395" s="816"/>
      <c r="H395" s="765" t="s">
        <v>325</v>
      </c>
      <c r="I395" s="765"/>
      <c r="J395" s="765"/>
      <c r="K395" s="765"/>
      <c r="L395" s="765"/>
      <c r="M395" s="765"/>
      <c r="N395" s="765"/>
      <c r="O395" s="765"/>
      <c r="P395" s="765" t="s">
        <v>325</v>
      </c>
      <c r="Q395" s="765"/>
      <c r="R395" s="765"/>
      <c r="S395" s="765" t="s">
        <v>261</v>
      </c>
      <c r="T395" s="765"/>
      <c r="U395" s="765"/>
      <c r="V395" s="821"/>
      <c r="W395" s="821"/>
      <c r="X395" s="821" t="s">
        <v>1085</v>
      </c>
      <c r="Y395" s="821"/>
      <c r="Z395" s="765"/>
      <c r="AA395" s="765"/>
      <c r="AB395" s="1420">
        <f t="shared" si="5"/>
        <v>0</v>
      </c>
      <c r="AC395" s="765"/>
      <c r="AD395" s="765"/>
      <c r="AE395" s="765"/>
      <c r="AF395" s="765"/>
      <c r="AG395" s="765"/>
      <c r="AH395" s="765"/>
      <c r="AI395" s="765"/>
      <c r="AJ395" s="765"/>
      <c r="AK395" s="212"/>
      <c r="AL395" s="364"/>
      <c r="AM395" s="1363"/>
    </row>
    <row r="396" spans="1:39" ht="45.75" customHeight="1" outlineLevel="1">
      <c r="A396" s="1262"/>
      <c r="B396" s="1262"/>
      <c r="C396" s="1262"/>
      <c r="D396" s="1262"/>
      <c r="E396" s="1262"/>
      <c r="F396" s="1262"/>
      <c r="G396" s="1363"/>
      <c r="H396" s="1262" t="s">
        <v>325</v>
      </c>
      <c r="I396" s="1262"/>
      <c r="J396" s="1262"/>
      <c r="K396" s="1262"/>
      <c r="L396" s="1262"/>
      <c r="M396" s="1262"/>
      <c r="N396" s="1262"/>
      <c r="O396" s="1262"/>
      <c r="P396" s="1262" t="s">
        <v>325</v>
      </c>
      <c r="Q396" s="1262"/>
      <c r="R396" s="1262"/>
      <c r="S396" s="1262" t="s">
        <v>261</v>
      </c>
      <c r="T396" s="1262"/>
      <c r="U396" s="613"/>
      <c r="V396" s="117"/>
      <c r="W396" s="117"/>
      <c r="X396" s="1927" t="s">
        <v>576</v>
      </c>
      <c r="Y396" s="684" t="s">
        <v>1086</v>
      </c>
      <c r="Z396" s="484">
        <v>0</v>
      </c>
      <c r="AA396" s="1333">
        <v>0</v>
      </c>
      <c r="AB396" s="1420">
        <f t="shared" si="5"/>
        <v>0</v>
      </c>
      <c r="AC396" s="1333">
        <v>8</v>
      </c>
      <c r="AD396" s="1333"/>
      <c r="AE396" s="1397" t="s">
        <v>578</v>
      </c>
      <c r="AF396" s="1397"/>
      <c r="AG396" s="1397"/>
      <c r="AH396" s="1397"/>
      <c r="AI396" s="1397"/>
      <c r="AJ396" s="1333"/>
      <c r="AK396" s="1262"/>
      <c r="AL396" s="364"/>
      <c r="AM396" s="1363"/>
    </row>
    <row r="397" spans="1:39" ht="75.75" customHeight="1" outlineLevel="1">
      <c r="A397" s="1262"/>
      <c r="B397" s="1262"/>
      <c r="C397" s="1262"/>
      <c r="D397" s="1262"/>
      <c r="E397" s="1262"/>
      <c r="F397" s="1262"/>
      <c r="G397" s="1363"/>
      <c r="H397" s="1262" t="s">
        <v>325</v>
      </c>
      <c r="I397" s="1262"/>
      <c r="J397" s="1262"/>
      <c r="K397" s="1262"/>
      <c r="L397" s="1262"/>
      <c r="M397" s="1262"/>
      <c r="N397" s="1262"/>
      <c r="O397" s="1262"/>
      <c r="P397" s="1262" t="s">
        <v>325</v>
      </c>
      <c r="Q397" s="1262"/>
      <c r="R397" s="1262"/>
      <c r="S397" s="1262" t="s">
        <v>261</v>
      </c>
      <c r="T397" s="1363"/>
      <c r="U397" s="1363"/>
      <c r="V397" s="117"/>
      <c r="W397" s="117"/>
      <c r="X397" s="1928" t="s">
        <v>579</v>
      </c>
      <c r="Y397" s="684" t="s">
        <v>1087</v>
      </c>
      <c r="Z397" s="684">
        <v>1</v>
      </c>
      <c r="AA397" s="1420">
        <v>0</v>
      </c>
      <c r="AB397" s="1420">
        <f t="shared" si="5"/>
        <v>8</v>
      </c>
      <c r="AC397" s="1420">
        <v>8</v>
      </c>
      <c r="AD397" s="1420"/>
      <c r="AE397" s="1398" t="s">
        <v>554</v>
      </c>
      <c r="AF397" s="1398"/>
      <c r="AG397" s="1398"/>
      <c r="AH397" s="1398"/>
      <c r="AI397" s="1398"/>
      <c r="AJ397" s="1420"/>
      <c r="AK397" s="1262"/>
      <c r="AL397" s="364"/>
      <c r="AM397" s="1363"/>
    </row>
    <row r="398" spans="1:39" ht="75.75" customHeight="1" outlineLevel="1">
      <c r="A398" s="1262"/>
      <c r="B398" s="1262"/>
      <c r="C398" s="1262"/>
      <c r="D398" s="1262"/>
      <c r="E398" s="1262"/>
      <c r="F398" s="1262"/>
      <c r="G398" s="1363"/>
      <c r="H398" s="1262" t="s">
        <v>325</v>
      </c>
      <c r="I398" s="1262"/>
      <c r="J398" s="1262"/>
      <c r="K398" s="1262"/>
      <c r="L398" s="1262"/>
      <c r="M398" s="1262"/>
      <c r="N398" s="1262"/>
      <c r="O398" s="1262"/>
      <c r="P398" s="1262" t="s">
        <v>325</v>
      </c>
      <c r="Q398" s="1262"/>
      <c r="R398" s="1262"/>
      <c r="S398" s="1262" t="s">
        <v>261</v>
      </c>
      <c r="T398" s="1363"/>
      <c r="U398" s="1363"/>
      <c r="V398" s="117"/>
      <c r="W398" s="117"/>
      <c r="X398" s="1929" t="s">
        <v>581</v>
      </c>
      <c r="Y398" s="684" t="s">
        <v>1088</v>
      </c>
      <c r="Z398" s="684">
        <v>2</v>
      </c>
      <c r="AA398" s="1420">
        <v>0</v>
      </c>
      <c r="AB398" s="1420">
        <f t="shared" si="5"/>
        <v>16</v>
      </c>
      <c r="AC398" s="1420">
        <v>8</v>
      </c>
      <c r="AD398" s="1420"/>
      <c r="AE398" s="1398" t="s">
        <v>557</v>
      </c>
      <c r="AF398" s="1398"/>
      <c r="AG398" s="1398"/>
      <c r="AH398" s="1398"/>
      <c r="AI398" s="1398"/>
      <c r="AJ398" s="1420"/>
      <c r="AK398" s="1262"/>
      <c r="AL398" s="364"/>
      <c r="AM398" s="1363"/>
    </row>
    <row r="399" spans="1:39" ht="75.75" customHeight="1">
      <c r="A399" s="1262"/>
      <c r="B399" s="1262"/>
      <c r="C399" s="1262"/>
      <c r="D399" s="1262"/>
      <c r="E399" s="1262"/>
      <c r="F399" s="1262"/>
      <c r="G399" s="1363"/>
      <c r="H399" s="1262" t="s">
        <v>325</v>
      </c>
      <c r="I399" s="1262"/>
      <c r="J399" s="1262"/>
      <c r="K399" s="1262"/>
      <c r="L399" s="1262"/>
      <c r="M399" s="1262"/>
      <c r="N399" s="1262"/>
      <c r="O399" s="1262"/>
      <c r="P399" s="1262" t="s">
        <v>325</v>
      </c>
      <c r="Q399" s="1262"/>
      <c r="R399" s="1262"/>
      <c r="S399" s="1262" t="s">
        <v>261</v>
      </c>
      <c r="T399" s="1363"/>
      <c r="U399" s="1363"/>
      <c r="V399" s="117"/>
      <c r="W399" s="117"/>
      <c r="X399" s="1930" t="s">
        <v>583</v>
      </c>
      <c r="Y399" s="684" t="s">
        <v>1089</v>
      </c>
      <c r="Z399" s="684">
        <v>3</v>
      </c>
      <c r="AA399" s="1420">
        <v>0</v>
      </c>
      <c r="AB399" s="1420">
        <f t="shared" si="5"/>
        <v>24</v>
      </c>
      <c r="AC399" s="1420">
        <v>8</v>
      </c>
      <c r="AD399" s="1420"/>
      <c r="AE399" s="1398" t="s">
        <v>560</v>
      </c>
      <c r="AF399" s="1398"/>
      <c r="AG399" s="1398"/>
      <c r="AH399" s="1398"/>
      <c r="AI399" s="1398"/>
      <c r="AJ399" s="1420"/>
      <c r="AK399" s="1262"/>
      <c r="AL399" s="364"/>
      <c r="AM399" s="1363"/>
    </row>
    <row r="400" spans="1:39" ht="52.5" customHeight="1" outlineLevel="1">
      <c r="A400" s="765">
        <v>65</v>
      </c>
      <c r="B400" s="765" t="s">
        <v>1079</v>
      </c>
      <c r="C400" s="765" t="s">
        <v>1090</v>
      </c>
      <c r="D400" s="765" t="s">
        <v>617</v>
      </c>
      <c r="E400" s="765">
        <v>8</v>
      </c>
      <c r="F400" s="765" t="s">
        <v>260</v>
      </c>
      <c r="G400" s="816"/>
      <c r="H400" s="765"/>
      <c r="I400" s="765"/>
      <c r="J400" s="765"/>
      <c r="K400" s="765"/>
      <c r="L400" s="765"/>
      <c r="M400" s="765"/>
      <c r="N400" s="765"/>
      <c r="O400" s="765"/>
      <c r="P400" s="765" t="s">
        <v>325</v>
      </c>
      <c r="Q400" s="765"/>
      <c r="R400" s="765"/>
      <c r="S400" s="765" t="s">
        <v>261</v>
      </c>
      <c r="T400" s="765"/>
      <c r="U400" s="765"/>
      <c r="V400" s="821"/>
      <c r="W400" s="821"/>
      <c r="X400" s="821" t="s">
        <v>974</v>
      </c>
      <c r="Y400" s="821"/>
      <c r="Z400" s="765"/>
      <c r="AA400" s="765"/>
      <c r="AB400" s="1420">
        <f t="shared" si="5"/>
        <v>0</v>
      </c>
      <c r="AC400" s="765"/>
      <c r="AD400" s="765"/>
      <c r="AE400" s="765"/>
      <c r="AF400" s="765"/>
      <c r="AG400" s="765"/>
      <c r="AH400" s="765"/>
      <c r="AI400" s="765"/>
      <c r="AJ400" s="765"/>
      <c r="AK400" s="212"/>
      <c r="AL400" s="364"/>
      <c r="AM400" s="1363"/>
    </row>
    <row r="401" spans="1:39" ht="15.75" customHeight="1">
      <c r="A401" s="1363"/>
      <c r="B401" s="1262"/>
      <c r="C401" s="1262"/>
      <c r="D401" s="1262"/>
      <c r="E401" s="1262"/>
      <c r="F401" s="1262"/>
      <c r="G401" s="1363"/>
      <c r="H401" s="1262"/>
      <c r="I401" s="1262"/>
      <c r="J401" s="1262"/>
      <c r="K401" s="1262"/>
      <c r="L401" s="1262"/>
      <c r="M401" s="1262"/>
      <c r="N401" s="1262"/>
      <c r="O401" s="1262"/>
      <c r="P401" s="1262" t="s">
        <v>325</v>
      </c>
      <c r="Q401" s="1262"/>
      <c r="R401" s="1262"/>
      <c r="S401" s="1262" t="s">
        <v>261</v>
      </c>
      <c r="T401" s="1262"/>
      <c r="U401" s="613"/>
      <c r="V401" s="117"/>
      <c r="W401" s="117"/>
      <c r="X401" s="1397" t="s">
        <v>619</v>
      </c>
      <c r="Y401" s="484"/>
      <c r="Z401" s="1375"/>
      <c r="AA401" s="1372"/>
      <c r="AB401" s="1420">
        <f t="shared" si="5"/>
        <v>0</v>
      </c>
      <c r="AC401" s="1372"/>
      <c r="AD401" s="1372"/>
      <c r="AE401" s="1372"/>
      <c r="AF401" s="1372"/>
      <c r="AG401" s="1372"/>
      <c r="AH401" s="1372"/>
      <c r="AI401" s="1372"/>
      <c r="AJ401" s="1372"/>
      <c r="AK401" s="1363"/>
      <c r="AL401" s="364"/>
      <c r="AM401" s="1363"/>
    </row>
    <row r="402" spans="1:39" ht="52.5" customHeight="1" outlineLevel="1">
      <c r="A402" s="765">
        <v>66</v>
      </c>
      <c r="B402" s="765" t="s">
        <v>1079</v>
      </c>
      <c r="C402" s="765" t="s">
        <v>1091</v>
      </c>
      <c r="D402" s="765" t="s">
        <v>617</v>
      </c>
      <c r="E402" s="765">
        <v>8</v>
      </c>
      <c r="F402" s="765" t="s">
        <v>260</v>
      </c>
      <c r="G402" s="816"/>
      <c r="H402" s="765"/>
      <c r="I402" s="765"/>
      <c r="J402" s="765"/>
      <c r="K402" s="765"/>
      <c r="L402" s="765"/>
      <c r="M402" s="765"/>
      <c r="N402" s="765"/>
      <c r="O402" s="765"/>
      <c r="P402" s="765" t="s">
        <v>261</v>
      </c>
      <c r="Q402" s="765"/>
      <c r="R402" s="765"/>
      <c r="S402" s="765" t="s">
        <v>325</v>
      </c>
      <c r="T402" s="765"/>
      <c r="U402" s="765"/>
      <c r="V402" s="821"/>
      <c r="W402" s="821"/>
      <c r="X402" s="821" t="s">
        <v>976</v>
      </c>
      <c r="Y402" s="821"/>
      <c r="Z402" s="765"/>
      <c r="AA402" s="765"/>
      <c r="AB402" s="1420">
        <f t="shared" si="5"/>
        <v>0</v>
      </c>
      <c r="AC402" s="765"/>
      <c r="AD402" s="765"/>
      <c r="AE402" s="765"/>
      <c r="AF402" s="765"/>
      <c r="AG402" s="765"/>
      <c r="AH402" s="765"/>
      <c r="AI402" s="765"/>
      <c r="AJ402" s="765"/>
      <c r="AK402" s="212"/>
      <c r="AL402" s="364"/>
      <c r="AM402" s="1363"/>
    </row>
    <row r="403" spans="1:39" ht="14.25" customHeight="1">
      <c r="A403" s="1363"/>
      <c r="B403" s="1262"/>
      <c r="C403" s="1262"/>
      <c r="D403" s="1262"/>
      <c r="E403" s="1262"/>
      <c r="F403" s="1262"/>
      <c r="G403" s="1363"/>
      <c r="H403" s="1262"/>
      <c r="I403" s="1262"/>
      <c r="J403" s="1262"/>
      <c r="K403" s="1262"/>
      <c r="L403" s="1262"/>
      <c r="M403" s="1262"/>
      <c r="N403" s="1262"/>
      <c r="O403" s="1262"/>
      <c r="P403" s="1262" t="s">
        <v>261</v>
      </c>
      <c r="Q403" s="1262"/>
      <c r="R403" s="1262"/>
      <c r="S403" s="1262" t="s">
        <v>325</v>
      </c>
      <c r="T403" s="1262"/>
      <c r="U403" s="613"/>
      <c r="V403" s="1262"/>
      <c r="W403" s="1262"/>
      <c r="X403" s="1333" t="s">
        <v>619</v>
      </c>
      <c r="Y403" s="454"/>
      <c r="Z403" s="1375"/>
      <c r="AA403" s="1372"/>
      <c r="AB403" s="1420">
        <f t="shared" si="5"/>
        <v>0</v>
      </c>
      <c r="AC403" s="1372"/>
      <c r="AD403" s="1372"/>
      <c r="AE403" s="1372"/>
      <c r="AF403" s="1372"/>
      <c r="AG403" s="1372"/>
      <c r="AH403" s="1372"/>
      <c r="AI403" s="1372"/>
      <c r="AJ403" s="1372"/>
      <c r="AK403" s="1363"/>
      <c r="AL403" s="364"/>
      <c r="AM403" s="1363"/>
    </row>
    <row r="404" spans="1:39" ht="14.25" customHeight="1">
      <c r="A404" s="59"/>
      <c r="B404" s="59"/>
      <c r="C404" s="59"/>
      <c r="D404" s="59"/>
      <c r="E404" s="59"/>
      <c r="F404" s="108"/>
      <c r="G404" s="108"/>
      <c r="H404" s="162"/>
      <c r="I404" s="162"/>
      <c r="J404" s="108"/>
      <c r="K404" s="108"/>
      <c r="L404" s="108"/>
      <c r="M404" s="108"/>
      <c r="N404" s="108"/>
      <c r="O404" s="108"/>
      <c r="P404" s="162"/>
      <c r="Q404" s="108"/>
      <c r="R404" s="108"/>
      <c r="V404" s="80"/>
      <c r="W404" s="80"/>
      <c r="X404" s="595"/>
      <c r="Y404" s="123"/>
      <c r="Z404" s="123"/>
      <c r="AA404" s="71"/>
      <c r="AB404" s="595"/>
      <c r="AC404" s="71"/>
      <c r="AD404" s="71"/>
      <c r="AE404" s="70"/>
      <c r="AF404" s="599"/>
      <c r="AG404" s="599"/>
      <c r="AH404" s="599"/>
      <c r="AI404" s="599"/>
      <c r="AJ404" s="595"/>
      <c r="AK404" s="80"/>
    </row>
    <row r="405" spans="1:39" ht="35.25" customHeight="1" outlineLevel="1">
      <c r="A405" s="622">
        <v>89</v>
      </c>
      <c r="B405" s="622" t="s">
        <v>1092</v>
      </c>
      <c r="C405" s="622" t="s">
        <v>1093</v>
      </c>
      <c r="D405" s="622" t="s">
        <v>844</v>
      </c>
      <c r="E405" s="622">
        <v>8</v>
      </c>
      <c r="F405" s="622" t="s">
        <v>260</v>
      </c>
      <c r="G405" s="623"/>
      <c r="H405" s="622"/>
      <c r="I405" s="622"/>
      <c r="J405" s="622" t="s">
        <v>261</v>
      </c>
      <c r="K405" s="622"/>
      <c r="L405" s="622"/>
      <c r="M405" s="622"/>
      <c r="N405" s="622"/>
      <c r="O405" s="622"/>
      <c r="P405" s="622" t="s">
        <v>325</v>
      </c>
      <c r="Q405" s="622"/>
      <c r="R405" s="622"/>
      <c r="S405" s="622"/>
      <c r="T405" s="622"/>
      <c r="U405" s="622"/>
      <c r="V405" s="597"/>
      <c r="W405" s="597"/>
      <c r="X405" s="597" t="s">
        <v>1094</v>
      </c>
      <c r="Y405" s="597"/>
      <c r="Z405" s="622"/>
      <c r="AA405" s="622"/>
      <c r="AB405" s="595">
        <f t="shared" ref="AB405:AB429" si="6">Z405*8+AA405</f>
        <v>0</v>
      </c>
      <c r="AC405" s="622"/>
      <c r="AD405" s="622"/>
      <c r="AE405" s="608"/>
      <c r="AF405" s="622"/>
      <c r="AG405" s="622"/>
      <c r="AH405" s="622"/>
      <c r="AI405" s="622"/>
      <c r="AJ405" s="622"/>
      <c r="AK405" s="125"/>
    </row>
    <row r="406" spans="1:39" ht="30.75" customHeight="1" outlineLevel="1">
      <c r="A406" s="80"/>
      <c r="B406" s="80"/>
      <c r="C406" s="80"/>
      <c r="D406" s="80"/>
      <c r="E406" s="80"/>
      <c r="F406" s="80"/>
      <c r="H406" s="80"/>
      <c r="I406" s="80"/>
      <c r="J406" s="80" t="s">
        <v>261</v>
      </c>
      <c r="K406" s="80"/>
      <c r="L406" s="80"/>
      <c r="M406" s="80"/>
      <c r="N406" s="80"/>
      <c r="O406" s="80"/>
      <c r="P406" s="80" t="s">
        <v>325</v>
      </c>
      <c r="V406" s="117"/>
      <c r="W406" s="117"/>
      <c r="X406" s="1931" t="s">
        <v>532</v>
      </c>
      <c r="Y406" s="120" t="s">
        <v>1095</v>
      </c>
      <c r="Z406" s="123">
        <v>0</v>
      </c>
      <c r="AA406" s="71">
        <v>0</v>
      </c>
      <c r="AB406" s="595">
        <f t="shared" si="6"/>
        <v>0</v>
      </c>
      <c r="AC406" s="71">
        <v>16</v>
      </c>
      <c r="AD406" s="71"/>
      <c r="AE406" s="76"/>
      <c r="AF406" s="70"/>
      <c r="AG406" s="70"/>
      <c r="AH406" s="70"/>
      <c r="AI406" s="70"/>
      <c r="AJ406" s="156"/>
      <c r="AK406" s="80"/>
    </row>
    <row r="407" spans="1:39" ht="30.75" customHeight="1" outlineLevel="1">
      <c r="A407" s="80"/>
      <c r="B407" s="80"/>
      <c r="C407" s="80"/>
      <c r="D407" s="80"/>
      <c r="E407" s="80"/>
      <c r="F407" s="80"/>
      <c r="H407" s="80"/>
      <c r="I407" s="80"/>
      <c r="J407" s="80" t="s">
        <v>261</v>
      </c>
      <c r="K407" s="80"/>
      <c r="L407" s="80"/>
      <c r="M407" s="80"/>
      <c r="N407" s="80"/>
      <c r="O407" s="80"/>
      <c r="P407" s="80" t="s">
        <v>325</v>
      </c>
      <c r="V407" s="117"/>
      <c r="W407" s="117"/>
      <c r="X407" s="1932" t="s">
        <v>534</v>
      </c>
      <c r="Y407" s="644" t="s">
        <v>1096</v>
      </c>
      <c r="Z407" s="625">
        <v>2</v>
      </c>
      <c r="AA407" s="595">
        <v>0</v>
      </c>
      <c r="AB407" s="595">
        <f t="shared" si="6"/>
        <v>16</v>
      </c>
      <c r="AC407" s="595">
        <v>8</v>
      </c>
      <c r="AD407" s="595"/>
      <c r="AE407" s="600"/>
      <c r="AF407" s="599"/>
      <c r="AG407" s="599"/>
      <c r="AH407" s="599"/>
      <c r="AI407" s="599"/>
      <c r="AJ407" s="668" t="s">
        <v>536</v>
      </c>
      <c r="AK407" s="80"/>
    </row>
    <row r="408" spans="1:39" ht="45.75" customHeight="1" outlineLevel="1">
      <c r="A408" s="80"/>
      <c r="B408" s="80"/>
      <c r="C408" s="80"/>
      <c r="D408" s="80"/>
      <c r="E408" s="80"/>
      <c r="F408" s="80"/>
      <c r="H408" s="80"/>
      <c r="I408" s="80"/>
      <c r="J408" s="80" t="s">
        <v>261</v>
      </c>
      <c r="K408" s="80"/>
      <c r="L408" s="80"/>
      <c r="M408" s="80"/>
      <c r="N408" s="80"/>
      <c r="O408" s="80"/>
      <c r="P408" s="80" t="s">
        <v>325</v>
      </c>
      <c r="V408" s="117"/>
      <c r="W408" s="117"/>
      <c r="X408" s="1933" t="s">
        <v>537</v>
      </c>
      <c r="Y408" s="644" t="s">
        <v>1097</v>
      </c>
      <c r="Z408" s="625">
        <v>3</v>
      </c>
      <c r="AA408" s="595">
        <v>0</v>
      </c>
      <c r="AB408" s="595">
        <f t="shared" si="6"/>
        <v>24</v>
      </c>
      <c r="AC408" s="595">
        <v>8</v>
      </c>
      <c r="AD408" s="595"/>
      <c r="AE408" s="600"/>
      <c r="AF408" s="599"/>
      <c r="AG408" s="599"/>
      <c r="AH408" s="599"/>
      <c r="AI408" s="599"/>
      <c r="AJ408" s="668" t="s">
        <v>539</v>
      </c>
      <c r="AK408" s="80"/>
    </row>
    <row r="409" spans="1:39" ht="30.75" customHeight="1" outlineLevel="1">
      <c r="A409" s="80"/>
      <c r="B409" s="80"/>
      <c r="C409" s="80"/>
      <c r="D409" s="80"/>
      <c r="E409" s="80"/>
      <c r="F409" s="80"/>
      <c r="H409" s="80"/>
      <c r="I409" s="80"/>
      <c r="J409" s="80" t="s">
        <v>261</v>
      </c>
      <c r="K409" s="80"/>
      <c r="L409" s="80"/>
      <c r="M409" s="80"/>
      <c r="N409" s="80"/>
      <c r="O409" s="80"/>
      <c r="P409" s="80" t="s">
        <v>325</v>
      </c>
      <c r="V409" s="117"/>
      <c r="W409" s="117"/>
      <c r="X409" s="1934" t="s">
        <v>540</v>
      </c>
      <c r="Y409" s="644" t="s">
        <v>1098</v>
      </c>
      <c r="Z409" s="625">
        <v>4</v>
      </c>
      <c r="AA409" s="595">
        <v>0</v>
      </c>
      <c r="AB409" s="595">
        <f t="shared" si="6"/>
        <v>32</v>
      </c>
      <c r="AC409" s="595">
        <v>8</v>
      </c>
      <c r="AD409" s="595"/>
      <c r="AE409" s="600"/>
      <c r="AF409" s="599"/>
      <c r="AG409" s="599"/>
      <c r="AH409" s="599"/>
      <c r="AI409" s="599"/>
      <c r="AJ409" s="668" t="s">
        <v>542</v>
      </c>
      <c r="AK409" s="80"/>
    </row>
    <row r="410" spans="1:39" ht="30.75" customHeight="1">
      <c r="A410" s="80"/>
      <c r="B410" s="80"/>
      <c r="C410" s="80"/>
      <c r="D410" s="80"/>
      <c r="E410" s="80"/>
      <c r="F410" s="80"/>
      <c r="H410" s="80"/>
      <c r="I410" s="80"/>
      <c r="J410" s="80" t="s">
        <v>261</v>
      </c>
      <c r="K410" s="80"/>
      <c r="L410" s="80"/>
      <c r="M410" s="80"/>
      <c r="N410" s="80"/>
      <c r="O410" s="80"/>
      <c r="P410" s="80" t="s">
        <v>325</v>
      </c>
      <c r="V410" s="117"/>
      <c r="W410" s="117"/>
      <c r="X410" s="1935" t="s">
        <v>543</v>
      </c>
      <c r="Y410" s="644" t="s">
        <v>1099</v>
      </c>
      <c r="Z410" s="625">
        <v>5</v>
      </c>
      <c r="AA410" s="595">
        <v>0</v>
      </c>
      <c r="AB410" s="595">
        <f t="shared" si="6"/>
        <v>40</v>
      </c>
      <c r="AC410" s="595">
        <v>24</v>
      </c>
      <c r="AD410" s="595"/>
      <c r="AE410" s="600"/>
      <c r="AF410" s="599"/>
      <c r="AG410" s="599"/>
      <c r="AH410" s="599"/>
      <c r="AI410" s="599"/>
      <c r="AJ410" s="668" t="s">
        <v>545</v>
      </c>
      <c r="AK410" s="80"/>
    </row>
    <row r="411" spans="1:39" ht="35.25" customHeight="1" outlineLevel="1">
      <c r="A411" s="622">
        <v>90</v>
      </c>
      <c r="B411" s="622" t="s">
        <v>1092</v>
      </c>
      <c r="C411" s="622" t="s">
        <v>1100</v>
      </c>
      <c r="D411" s="622" t="s">
        <v>844</v>
      </c>
      <c r="E411" s="622">
        <v>8</v>
      </c>
      <c r="F411" s="622" t="s">
        <v>260</v>
      </c>
      <c r="G411" s="623"/>
      <c r="H411" s="622"/>
      <c r="I411" s="622"/>
      <c r="J411" s="622" t="s">
        <v>261</v>
      </c>
      <c r="K411" s="622"/>
      <c r="L411" s="622"/>
      <c r="M411" s="622"/>
      <c r="N411" s="622"/>
      <c r="O411" s="622"/>
      <c r="P411" s="622" t="s">
        <v>325</v>
      </c>
      <c r="Q411" s="622"/>
      <c r="R411" s="622"/>
      <c r="S411" s="622"/>
      <c r="T411" s="622"/>
      <c r="U411" s="622"/>
      <c r="V411" s="597"/>
      <c r="W411" s="597"/>
      <c r="X411" s="597" t="s">
        <v>1101</v>
      </c>
      <c r="Y411" s="597"/>
      <c r="Z411" s="622"/>
      <c r="AA411" s="622"/>
      <c r="AB411" s="595">
        <f t="shared" si="6"/>
        <v>0</v>
      </c>
      <c r="AC411" s="622"/>
      <c r="AD411" s="622"/>
      <c r="AE411" s="608"/>
      <c r="AF411" s="622"/>
      <c r="AG411" s="622"/>
      <c r="AH411" s="622"/>
      <c r="AI411" s="622"/>
      <c r="AJ411" s="622"/>
      <c r="AK411" s="125"/>
    </row>
    <row r="412" spans="1:39" ht="45.75" customHeight="1" outlineLevel="1">
      <c r="A412" s="80"/>
      <c r="B412" s="80"/>
      <c r="C412" s="80"/>
      <c r="D412" s="80"/>
      <c r="E412" s="80"/>
      <c r="F412" s="80"/>
      <c r="H412" s="80"/>
      <c r="I412" s="80"/>
      <c r="J412" s="80" t="s">
        <v>261</v>
      </c>
      <c r="K412" s="80"/>
      <c r="L412" s="80"/>
      <c r="M412" s="80"/>
      <c r="N412" s="80"/>
      <c r="O412" s="80"/>
      <c r="P412" s="80" t="s">
        <v>325</v>
      </c>
      <c r="V412" s="117"/>
      <c r="W412" s="117"/>
      <c r="X412" s="1936" t="s">
        <v>549</v>
      </c>
      <c r="Y412" s="120" t="s">
        <v>1102</v>
      </c>
      <c r="Z412" s="123">
        <v>0</v>
      </c>
      <c r="AA412" s="71">
        <v>0</v>
      </c>
      <c r="AB412" s="595">
        <f t="shared" si="6"/>
        <v>0</v>
      </c>
      <c r="AC412" s="71">
        <v>8</v>
      </c>
      <c r="AD412" s="133"/>
      <c r="AE412" s="76" t="s">
        <v>551</v>
      </c>
      <c r="AF412" s="134"/>
      <c r="AG412" s="134"/>
      <c r="AH412" s="134"/>
      <c r="AI412" s="134"/>
      <c r="AJ412" s="179"/>
      <c r="AK412" s="59"/>
    </row>
    <row r="413" spans="1:39" ht="75.75" customHeight="1" outlineLevel="1">
      <c r="A413" s="80"/>
      <c r="B413" s="80"/>
      <c r="C413" s="80"/>
      <c r="D413" s="80"/>
      <c r="E413" s="80"/>
      <c r="F413" s="80"/>
      <c r="H413" s="80"/>
      <c r="I413" s="80"/>
      <c r="J413" s="80" t="s">
        <v>261</v>
      </c>
      <c r="K413" s="80"/>
      <c r="L413" s="80"/>
      <c r="M413" s="80"/>
      <c r="N413" s="80"/>
      <c r="O413" s="80"/>
      <c r="P413" s="80" t="s">
        <v>325</v>
      </c>
      <c r="V413" s="117"/>
      <c r="W413" s="117"/>
      <c r="X413" s="1937" t="s">
        <v>552</v>
      </c>
      <c r="Y413" s="644" t="s">
        <v>1103</v>
      </c>
      <c r="Z413" s="625">
        <v>1</v>
      </c>
      <c r="AA413" s="595">
        <v>0</v>
      </c>
      <c r="AB413" s="595">
        <f t="shared" si="6"/>
        <v>8</v>
      </c>
      <c r="AC413" s="595">
        <v>8</v>
      </c>
      <c r="AD413" s="609"/>
      <c r="AE413" s="600" t="s">
        <v>554</v>
      </c>
      <c r="AF413" s="646"/>
      <c r="AG413" s="646"/>
      <c r="AH413" s="646"/>
      <c r="AI413" s="646"/>
      <c r="AJ413" s="700"/>
      <c r="AK413" s="59"/>
    </row>
    <row r="414" spans="1:39" ht="75.75" customHeight="1" outlineLevel="1">
      <c r="A414" s="80"/>
      <c r="B414" s="80"/>
      <c r="C414" s="80"/>
      <c r="D414" s="80"/>
      <c r="E414" s="80"/>
      <c r="F414" s="80"/>
      <c r="H414" s="80"/>
      <c r="I414" s="80"/>
      <c r="J414" s="80" t="s">
        <v>261</v>
      </c>
      <c r="K414" s="80"/>
      <c r="L414" s="80"/>
      <c r="M414" s="80"/>
      <c r="N414" s="80"/>
      <c r="O414" s="80"/>
      <c r="P414" s="80" t="s">
        <v>325</v>
      </c>
      <c r="V414" s="117"/>
      <c r="W414" s="117"/>
      <c r="X414" s="1938" t="s">
        <v>555</v>
      </c>
      <c r="Y414" s="644" t="s">
        <v>1104</v>
      </c>
      <c r="Z414" s="625">
        <v>2</v>
      </c>
      <c r="AA414" s="595">
        <v>0</v>
      </c>
      <c r="AB414" s="595">
        <f t="shared" si="6"/>
        <v>16</v>
      </c>
      <c r="AC414" s="595">
        <v>8</v>
      </c>
      <c r="AD414" s="609"/>
      <c r="AE414" s="600" t="s">
        <v>557</v>
      </c>
      <c r="AF414" s="646"/>
      <c r="AG414" s="646"/>
      <c r="AH414" s="646"/>
      <c r="AI414" s="646"/>
      <c r="AJ414" s="700"/>
      <c r="AK414" s="59"/>
    </row>
    <row r="415" spans="1:39" ht="75.75" customHeight="1" outlineLevel="1">
      <c r="A415" s="80"/>
      <c r="B415" s="80"/>
      <c r="C415" s="80"/>
      <c r="D415" s="80"/>
      <c r="E415" s="80"/>
      <c r="F415" s="80"/>
      <c r="H415" s="80"/>
      <c r="I415" s="80"/>
      <c r="J415" s="80" t="s">
        <v>261</v>
      </c>
      <c r="K415" s="80"/>
      <c r="L415" s="80"/>
      <c r="M415" s="80"/>
      <c r="N415" s="80"/>
      <c r="O415" s="80"/>
      <c r="P415" s="80" t="s">
        <v>325</v>
      </c>
      <c r="V415" s="117"/>
      <c r="W415" s="117"/>
      <c r="X415" s="1939" t="s">
        <v>558</v>
      </c>
      <c r="Y415" s="644" t="s">
        <v>1105</v>
      </c>
      <c r="Z415" s="625">
        <v>3</v>
      </c>
      <c r="AA415" s="595">
        <v>0</v>
      </c>
      <c r="AB415" s="595">
        <f t="shared" si="6"/>
        <v>24</v>
      </c>
      <c r="AC415" s="595">
        <v>8</v>
      </c>
      <c r="AD415" s="609"/>
      <c r="AE415" s="600" t="s">
        <v>560</v>
      </c>
      <c r="AF415" s="646"/>
      <c r="AG415" s="646"/>
      <c r="AH415" s="646"/>
      <c r="AI415" s="646"/>
      <c r="AJ415" s="700"/>
      <c r="AK415" s="59"/>
    </row>
    <row r="416" spans="1:39" ht="45.75" customHeight="1" outlineLevel="1">
      <c r="A416" s="80"/>
      <c r="B416" s="80"/>
      <c r="C416" s="80"/>
      <c r="D416" s="80"/>
      <c r="E416" s="80"/>
      <c r="F416" s="80"/>
      <c r="H416" s="80"/>
      <c r="I416" s="80"/>
      <c r="J416" s="80" t="s">
        <v>261</v>
      </c>
      <c r="K416" s="80"/>
      <c r="L416" s="80"/>
      <c r="M416" s="80"/>
      <c r="N416" s="80"/>
      <c r="O416" s="80"/>
      <c r="P416" s="80" t="s">
        <v>325</v>
      </c>
      <c r="V416" s="117"/>
      <c r="W416" s="117"/>
      <c r="X416" s="1940" t="s">
        <v>561</v>
      </c>
      <c r="Y416" s="644" t="s">
        <v>1106</v>
      </c>
      <c r="Z416" s="625">
        <v>4</v>
      </c>
      <c r="AA416" s="595">
        <v>0</v>
      </c>
      <c r="AB416" s="595">
        <f t="shared" si="6"/>
        <v>32</v>
      </c>
      <c r="AC416" s="595">
        <v>8</v>
      </c>
      <c r="AD416" s="609"/>
      <c r="AE416" s="600" t="s">
        <v>563</v>
      </c>
      <c r="AF416" s="646"/>
      <c r="AG416" s="646"/>
      <c r="AH416" s="646"/>
      <c r="AI416" s="646"/>
      <c r="AJ416" s="700"/>
      <c r="AK416" s="59"/>
    </row>
    <row r="417" spans="1:38" ht="75.75" customHeight="1" outlineLevel="1">
      <c r="A417" s="80"/>
      <c r="B417" s="80"/>
      <c r="C417" s="80"/>
      <c r="D417" s="80"/>
      <c r="E417" s="80"/>
      <c r="F417" s="80"/>
      <c r="H417" s="80"/>
      <c r="I417" s="80"/>
      <c r="J417" s="80" t="s">
        <v>261</v>
      </c>
      <c r="K417" s="80"/>
      <c r="L417" s="80"/>
      <c r="M417" s="80"/>
      <c r="N417" s="80"/>
      <c r="O417" s="80"/>
      <c r="P417" s="80" t="s">
        <v>325</v>
      </c>
      <c r="V417" s="117"/>
      <c r="W417" s="117"/>
      <c r="X417" s="1941" t="s">
        <v>564</v>
      </c>
      <c r="Y417" s="644" t="s">
        <v>1107</v>
      </c>
      <c r="Z417" s="625">
        <v>5</v>
      </c>
      <c r="AA417" s="595">
        <v>0</v>
      </c>
      <c r="AB417" s="595">
        <f t="shared" si="6"/>
        <v>40</v>
      </c>
      <c r="AC417" s="595">
        <v>8</v>
      </c>
      <c r="AD417" s="609"/>
      <c r="AE417" s="600" t="s">
        <v>566</v>
      </c>
      <c r="AF417" s="646"/>
      <c r="AG417" s="646"/>
      <c r="AH417" s="646"/>
      <c r="AI417" s="646"/>
      <c r="AJ417" s="700"/>
      <c r="AK417" s="59"/>
    </row>
    <row r="418" spans="1:38" ht="75.75" customHeight="1" outlineLevel="1">
      <c r="A418" s="80"/>
      <c r="B418" s="80"/>
      <c r="C418" s="80"/>
      <c r="D418" s="80"/>
      <c r="E418" s="80"/>
      <c r="F418" s="80"/>
      <c r="H418" s="80"/>
      <c r="I418" s="80"/>
      <c r="J418" s="80" t="s">
        <v>261</v>
      </c>
      <c r="K418" s="80"/>
      <c r="L418" s="80"/>
      <c r="M418" s="80"/>
      <c r="N418" s="80"/>
      <c r="O418" s="80"/>
      <c r="P418" s="80" t="s">
        <v>325</v>
      </c>
      <c r="V418" s="117"/>
      <c r="W418" s="117"/>
      <c r="X418" s="1942" t="s">
        <v>567</v>
      </c>
      <c r="Y418" s="644" t="s">
        <v>1108</v>
      </c>
      <c r="Z418" s="625">
        <v>6</v>
      </c>
      <c r="AA418" s="595">
        <v>0</v>
      </c>
      <c r="AB418" s="595">
        <f t="shared" si="6"/>
        <v>48</v>
      </c>
      <c r="AC418" s="595">
        <v>8</v>
      </c>
      <c r="AD418" s="609"/>
      <c r="AE418" s="600" t="s">
        <v>569</v>
      </c>
      <c r="AF418" s="646"/>
      <c r="AG418" s="646"/>
      <c r="AH418" s="646"/>
      <c r="AI418" s="646"/>
      <c r="AJ418" s="700"/>
      <c r="AK418" s="59"/>
    </row>
    <row r="419" spans="1:38" ht="75.75" customHeight="1">
      <c r="A419" s="80"/>
      <c r="B419" s="80"/>
      <c r="C419" s="80"/>
      <c r="D419" s="80"/>
      <c r="E419" s="80"/>
      <c r="F419" s="80"/>
      <c r="H419" s="80"/>
      <c r="I419" s="80"/>
      <c r="J419" s="80" t="s">
        <v>261</v>
      </c>
      <c r="K419" s="80"/>
      <c r="L419" s="80"/>
      <c r="M419" s="80"/>
      <c r="N419" s="80"/>
      <c r="O419" s="80"/>
      <c r="P419" s="80" t="s">
        <v>325</v>
      </c>
      <c r="V419" s="117"/>
      <c r="W419" s="117"/>
      <c r="X419" s="1943" t="s">
        <v>570</v>
      </c>
      <c r="Y419" s="644" t="s">
        <v>1109</v>
      </c>
      <c r="Z419" s="625">
        <v>7</v>
      </c>
      <c r="AA419" s="595">
        <v>0</v>
      </c>
      <c r="AB419" s="595">
        <f t="shared" si="6"/>
        <v>56</v>
      </c>
      <c r="AC419" s="595">
        <v>8</v>
      </c>
      <c r="AD419" s="609"/>
      <c r="AE419" s="600" t="s">
        <v>572</v>
      </c>
      <c r="AF419" s="646"/>
      <c r="AG419" s="646"/>
      <c r="AH419" s="646"/>
      <c r="AI419" s="646"/>
      <c r="AJ419" s="700"/>
      <c r="AK419" s="59"/>
    </row>
    <row r="420" spans="1:38" ht="35.25" customHeight="1" outlineLevel="1">
      <c r="A420" s="622">
        <v>91</v>
      </c>
      <c r="B420" s="622" t="s">
        <v>1092</v>
      </c>
      <c r="C420" s="622" t="s">
        <v>1110</v>
      </c>
      <c r="D420" s="622" t="s">
        <v>844</v>
      </c>
      <c r="E420" s="622">
        <v>8</v>
      </c>
      <c r="F420" s="622" t="s">
        <v>260</v>
      </c>
      <c r="G420" s="623"/>
      <c r="H420" s="622"/>
      <c r="I420" s="622"/>
      <c r="J420" s="622" t="s">
        <v>261</v>
      </c>
      <c r="K420" s="622"/>
      <c r="L420" s="622"/>
      <c r="M420" s="622"/>
      <c r="N420" s="622"/>
      <c r="O420" s="622"/>
      <c r="P420" s="622" t="s">
        <v>325</v>
      </c>
      <c r="Q420" s="622"/>
      <c r="R420" s="622"/>
      <c r="S420" s="622"/>
      <c r="T420" s="622"/>
      <c r="U420" s="622"/>
      <c r="V420" s="597"/>
      <c r="W420" s="597"/>
      <c r="X420" s="597" t="s">
        <v>1111</v>
      </c>
      <c r="Y420" s="597"/>
      <c r="Z420" s="622"/>
      <c r="AA420" s="622"/>
      <c r="AB420" s="595">
        <f t="shared" si="6"/>
        <v>0</v>
      </c>
      <c r="AC420" s="622"/>
      <c r="AD420" s="622"/>
      <c r="AE420" s="608"/>
      <c r="AF420" s="622"/>
      <c r="AG420" s="622"/>
      <c r="AH420" s="622"/>
      <c r="AI420" s="622"/>
      <c r="AJ420" s="622"/>
      <c r="AK420" s="125"/>
    </row>
    <row r="421" spans="1:38" ht="45.75" customHeight="1" outlineLevel="1">
      <c r="A421" s="80"/>
      <c r="B421" s="80"/>
      <c r="C421" s="80"/>
      <c r="D421" s="80"/>
      <c r="E421" s="80"/>
      <c r="F421" s="80"/>
      <c r="H421" s="80"/>
      <c r="I421" s="80"/>
      <c r="J421" s="80" t="s">
        <v>261</v>
      </c>
      <c r="K421" s="80"/>
      <c r="L421" s="80"/>
      <c r="M421" s="80"/>
      <c r="N421" s="80"/>
      <c r="O421" s="80"/>
      <c r="P421" s="80" t="s">
        <v>325</v>
      </c>
      <c r="V421" s="117"/>
      <c r="W421" s="117"/>
      <c r="X421" s="1944" t="s">
        <v>576</v>
      </c>
      <c r="Y421" s="123" t="s">
        <v>1112</v>
      </c>
      <c r="Z421" s="123">
        <v>0</v>
      </c>
      <c r="AA421" s="71">
        <v>0</v>
      </c>
      <c r="AB421" s="595">
        <f t="shared" si="6"/>
        <v>0</v>
      </c>
      <c r="AC421" s="71">
        <v>8</v>
      </c>
      <c r="AD421" s="71"/>
      <c r="AE421" s="76" t="s">
        <v>578</v>
      </c>
      <c r="AF421" s="70"/>
      <c r="AG421" s="70"/>
      <c r="AH421" s="70"/>
      <c r="AI421" s="70"/>
      <c r="AJ421" s="156"/>
      <c r="AK421" s="80"/>
    </row>
    <row r="422" spans="1:38" ht="75.75" customHeight="1" outlineLevel="1">
      <c r="A422" s="80"/>
      <c r="B422" s="80"/>
      <c r="C422" s="80"/>
      <c r="D422" s="80"/>
      <c r="E422" s="80"/>
      <c r="F422" s="80"/>
      <c r="H422" s="80"/>
      <c r="I422" s="80"/>
      <c r="J422" s="80" t="s">
        <v>261</v>
      </c>
      <c r="K422" s="80"/>
      <c r="L422" s="80"/>
      <c r="M422" s="80"/>
      <c r="N422" s="80"/>
      <c r="O422" s="80"/>
      <c r="P422" s="80" t="s">
        <v>325</v>
      </c>
      <c r="V422" s="117"/>
      <c r="W422" s="117"/>
      <c r="X422" s="1945" t="s">
        <v>579</v>
      </c>
      <c r="Y422" s="123" t="s">
        <v>1113</v>
      </c>
      <c r="Z422" s="625">
        <v>1</v>
      </c>
      <c r="AA422" s="595">
        <v>0</v>
      </c>
      <c r="AB422" s="595">
        <f t="shared" si="6"/>
        <v>8</v>
      </c>
      <c r="AC422" s="595">
        <v>8</v>
      </c>
      <c r="AD422" s="595"/>
      <c r="AE422" s="600" t="s">
        <v>554</v>
      </c>
      <c r="AF422" s="599"/>
      <c r="AG422" s="599"/>
      <c r="AH422" s="599"/>
      <c r="AI422" s="599"/>
      <c r="AJ422" s="668"/>
      <c r="AK422" s="80"/>
    </row>
    <row r="423" spans="1:38" ht="75.75" customHeight="1" outlineLevel="1">
      <c r="A423" s="80"/>
      <c r="B423" s="80"/>
      <c r="C423" s="80"/>
      <c r="D423" s="80"/>
      <c r="E423" s="80"/>
      <c r="F423" s="80"/>
      <c r="H423" s="80"/>
      <c r="I423" s="80"/>
      <c r="J423" s="80" t="s">
        <v>261</v>
      </c>
      <c r="K423" s="80"/>
      <c r="L423" s="80"/>
      <c r="M423" s="80"/>
      <c r="N423" s="80"/>
      <c r="O423" s="80"/>
      <c r="P423" s="80" t="s">
        <v>325</v>
      </c>
      <c r="V423" s="117"/>
      <c r="W423" s="117"/>
      <c r="X423" s="1946" t="s">
        <v>581</v>
      </c>
      <c r="Y423" s="123" t="s">
        <v>1114</v>
      </c>
      <c r="Z423" s="625">
        <v>2</v>
      </c>
      <c r="AA423" s="595">
        <v>0</v>
      </c>
      <c r="AB423" s="595">
        <f t="shared" si="6"/>
        <v>16</v>
      </c>
      <c r="AC423" s="595">
        <v>8</v>
      </c>
      <c r="AD423" s="595"/>
      <c r="AE423" s="600" t="s">
        <v>557</v>
      </c>
      <c r="AF423" s="599"/>
      <c r="AG423" s="599"/>
      <c r="AH423" s="599"/>
      <c r="AI423" s="599"/>
      <c r="AJ423" s="668"/>
      <c r="AK423" s="80"/>
    </row>
    <row r="424" spans="1:38" ht="14.25" customHeight="1">
      <c r="A424" s="80"/>
      <c r="B424" s="80"/>
      <c r="C424" s="80"/>
      <c r="D424" s="80"/>
      <c r="E424" s="80"/>
      <c r="F424" s="80"/>
      <c r="H424" s="80"/>
      <c r="I424" s="80"/>
      <c r="J424" s="80" t="s">
        <v>261</v>
      </c>
      <c r="K424" s="80"/>
      <c r="L424" s="80"/>
      <c r="M424" s="80"/>
      <c r="N424" s="80"/>
      <c r="O424" s="80"/>
      <c r="P424" s="80" t="s">
        <v>325</v>
      </c>
      <c r="V424" s="117"/>
      <c r="W424" s="117"/>
      <c r="X424" s="1947" t="s">
        <v>583</v>
      </c>
      <c r="Y424" s="123" t="s">
        <v>1115</v>
      </c>
      <c r="Z424" s="625">
        <v>3</v>
      </c>
      <c r="AA424" s="595">
        <v>0</v>
      </c>
      <c r="AB424" s="595">
        <f t="shared" si="6"/>
        <v>24</v>
      </c>
      <c r="AC424" s="595">
        <v>8</v>
      </c>
      <c r="AD424" s="595"/>
      <c r="AE424" s="600" t="s">
        <v>560</v>
      </c>
      <c r="AF424" s="599"/>
      <c r="AG424" s="599"/>
      <c r="AH424" s="599"/>
      <c r="AI424" s="599"/>
      <c r="AJ424" s="668"/>
      <c r="AK424" s="80"/>
    </row>
    <row r="425" spans="1:38" ht="35.25" customHeight="1" outlineLevel="1">
      <c r="A425" s="622">
        <v>93</v>
      </c>
      <c r="B425" s="622" t="s">
        <v>1092</v>
      </c>
      <c r="C425" s="622" t="s">
        <v>1116</v>
      </c>
      <c r="D425" s="622" t="s">
        <v>617</v>
      </c>
      <c r="E425" s="622">
        <v>8</v>
      </c>
      <c r="F425" s="622" t="s">
        <v>260</v>
      </c>
      <c r="G425" s="623"/>
      <c r="H425" s="622"/>
      <c r="I425" s="622"/>
      <c r="J425" s="622" t="s">
        <v>261</v>
      </c>
      <c r="K425" s="622"/>
      <c r="L425" s="622"/>
      <c r="M425" s="622"/>
      <c r="N425" s="622"/>
      <c r="O425" s="622"/>
      <c r="P425" s="622" t="s">
        <v>325</v>
      </c>
      <c r="Q425" s="622"/>
      <c r="R425" s="622"/>
      <c r="S425" s="622"/>
      <c r="T425" s="622"/>
      <c r="U425" s="622"/>
      <c r="V425" s="597"/>
      <c r="W425" s="597"/>
      <c r="X425" s="597" t="s">
        <v>974</v>
      </c>
      <c r="Y425" s="597"/>
      <c r="Z425" s="622"/>
      <c r="AA425" s="622"/>
      <c r="AB425" s="595">
        <f t="shared" si="6"/>
        <v>0</v>
      </c>
      <c r="AC425" s="622"/>
      <c r="AD425" s="622"/>
      <c r="AE425" s="608"/>
      <c r="AF425" s="622"/>
      <c r="AG425" s="622"/>
      <c r="AH425" s="622"/>
      <c r="AI425" s="622"/>
      <c r="AJ425" s="622"/>
      <c r="AK425" s="125"/>
    </row>
    <row r="426" spans="1:38" ht="15.75" customHeight="1">
      <c r="J426" s="80" t="s">
        <v>261</v>
      </c>
      <c r="K426" s="80"/>
      <c r="L426" s="80"/>
      <c r="M426" s="80"/>
      <c r="N426" s="80"/>
      <c r="O426" s="80"/>
      <c r="P426" s="80" t="s">
        <v>325</v>
      </c>
      <c r="X426" s="66" t="s">
        <v>619</v>
      </c>
      <c r="Y426" s="142"/>
      <c r="Z426" s="161"/>
      <c r="AA426" s="92"/>
      <c r="AB426" s="595">
        <f t="shared" si="6"/>
        <v>0</v>
      </c>
      <c r="AC426" s="92"/>
      <c r="AD426" s="133"/>
      <c r="AE426" s="133"/>
      <c r="AF426" s="133"/>
      <c r="AG426" s="133"/>
      <c r="AH426" s="133"/>
      <c r="AI426" s="133"/>
      <c r="AJ426" s="180"/>
    </row>
    <row r="427" spans="1:38" ht="52.5" customHeight="1" outlineLevel="1">
      <c r="A427" s="622">
        <v>94</v>
      </c>
      <c r="B427" s="622" t="s">
        <v>1117</v>
      </c>
      <c r="C427" s="622" t="s">
        <v>1118</v>
      </c>
      <c r="D427" s="622" t="s">
        <v>617</v>
      </c>
      <c r="E427" s="622">
        <v>8</v>
      </c>
      <c r="F427" s="622" t="s">
        <v>260</v>
      </c>
      <c r="G427" s="623"/>
      <c r="H427" s="622"/>
      <c r="I427" s="622"/>
      <c r="J427" s="622" t="s">
        <v>325</v>
      </c>
      <c r="K427" s="622"/>
      <c r="L427" s="622"/>
      <c r="M427" s="622"/>
      <c r="N427" s="622"/>
      <c r="O427" s="622"/>
      <c r="P427" s="622" t="s">
        <v>261</v>
      </c>
      <c r="Q427" s="622"/>
      <c r="R427" s="622"/>
      <c r="S427" s="622"/>
      <c r="T427" s="622"/>
      <c r="U427" s="622"/>
      <c r="V427" s="597"/>
      <c r="W427" s="597"/>
      <c r="X427" s="597" t="s">
        <v>976</v>
      </c>
      <c r="Y427" s="597"/>
      <c r="Z427" s="622"/>
      <c r="AA427" s="622"/>
      <c r="AB427" s="595">
        <f t="shared" si="6"/>
        <v>0</v>
      </c>
      <c r="AC427" s="622"/>
      <c r="AD427" s="622"/>
      <c r="AE427" s="608"/>
      <c r="AF427" s="622"/>
      <c r="AG427" s="622"/>
      <c r="AH427" s="622"/>
      <c r="AI427" s="622"/>
      <c r="AJ427" s="622"/>
      <c r="AK427" s="125"/>
    </row>
    <row r="428" spans="1:38" ht="15.75" customHeight="1">
      <c r="J428" s="80" t="s">
        <v>325</v>
      </c>
      <c r="K428" s="80"/>
      <c r="L428" s="80"/>
      <c r="M428" s="80"/>
      <c r="N428" s="80"/>
      <c r="O428" s="80"/>
      <c r="P428" s="80" t="s">
        <v>261</v>
      </c>
      <c r="X428" s="66" t="s">
        <v>619</v>
      </c>
      <c r="Z428" s="94"/>
      <c r="AA428" s="94"/>
      <c r="AB428" s="595">
        <f t="shared" si="6"/>
        <v>0</v>
      </c>
      <c r="AC428" s="94"/>
    </row>
    <row r="429" spans="1:38" ht="30.75" customHeight="1" outlineLevel="1">
      <c r="A429" s="622">
        <v>95</v>
      </c>
      <c r="B429" s="622" t="s">
        <v>1119</v>
      </c>
      <c r="C429" s="622" t="s">
        <v>1120</v>
      </c>
      <c r="D429" s="622" t="s">
        <v>259</v>
      </c>
      <c r="E429" s="622">
        <v>8</v>
      </c>
      <c r="F429" s="622" t="s">
        <v>260</v>
      </c>
      <c r="G429" s="623"/>
      <c r="H429" s="622" t="s">
        <v>325</v>
      </c>
      <c r="I429" s="622" t="s">
        <v>325</v>
      </c>
      <c r="J429" s="622"/>
      <c r="K429" s="622"/>
      <c r="L429" s="622"/>
      <c r="M429" s="622"/>
      <c r="N429" s="622"/>
      <c r="O429" s="622"/>
      <c r="P429" s="622"/>
      <c r="Q429" s="622"/>
      <c r="R429" s="622"/>
      <c r="S429" s="622"/>
      <c r="T429" s="622" t="s">
        <v>261</v>
      </c>
      <c r="U429" s="622"/>
      <c r="V429" s="597"/>
      <c r="W429" s="597"/>
      <c r="X429" s="597" t="s">
        <v>1121</v>
      </c>
      <c r="Y429" s="597"/>
      <c r="Z429" s="622"/>
      <c r="AA429" s="622"/>
      <c r="AB429" s="595">
        <f t="shared" si="6"/>
        <v>0</v>
      </c>
      <c r="AC429" s="622"/>
      <c r="AD429" s="622"/>
      <c r="AE429" s="608"/>
      <c r="AF429" s="622"/>
      <c r="AG429" s="622"/>
      <c r="AH429" s="622"/>
      <c r="AI429" s="622"/>
      <c r="AJ429" s="622"/>
      <c r="AK429" s="125"/>
      <c r="AL429" s="108" t="s">
        <v>1122</v>
      </c>
    </row>
    <row r="430" spans="1:38" ht="26.25" customHeight="1" outlineLevel="1">
      <c r="A430" s="1129"/>
      <c r="B430" s="1129"/>
      <c r="C430" s="1129"/>
      <c r="D430" s="1129"/>
      <c r="E430" s="1129"/>
      <c r="F430" s="1129"/>
      <c r="G430" s="1129"/>
      <c r="H430" s="1130" t="s">
        <v>325</v>
      </c>
      <c r="I430" s="1130" t="s">
        <v>325</v>
      </c>
      <c r="J430" s="1130"/>
      <c r="K430" s="1130"/>
      <c r="L430" s="1130"/>
      <c r="M430" s="1130"/>
      <c r="N430" s="1130"/>
      <c r="O430" s="1130"/>
      <c r="P430" s="1130"/>
      <c r="Q430" s="1130"/>
      <c r="R430" s="1130"/>
      <c r="S430" s="1130"/>
      <c r="T430" s="1130" t="s">
        <v>261</v>
      </c>
      <c r="U430" s="1129"/>
      <c r="V430" s="1143"/>
      <c r="W430" s="1143"/>
      <c r="X430" s="1948" t="s">
        <v>346</v>
      </c>
      <c r="Y430" s="1134" t="s">
        <v>1123</v>
      </c>
      <c r="Z430" s="1145">
        <v>0</v>
      </c>
      <c r="AA430" s="1146">
        <v>0</v>
      </c>
      <c r="AB430" s="1135">
        <v>0</v>
      </c>
      <c r="AC430" s="1133">
        <v>2</v>
      </c>
      <c r="AD430" s="1133"/>
      <c r="AE430" s="1133" t="s">
        <v>348</v>
      </c>
      <c r="AF430" s="1147" t="s">
        <v>444</v>
      </c>
      <c r="AG430" s="1147" t="s">
        <v>444</v>
      </c>
      <c r="AH430" s="1147"/>
      <c r="AI430" s="1147"/>
      <c r="AJ430" s="1148"/>
      <c r="AK430" s="1130"/>
      <c r="AL430" s="1136"/>
    </row>
    <row r="431" spans="1:38" ht="26.25" customHeight="1" outlineLevel="1">
      <c r="A431" s="1129"/>
      <c r="B431" s="1129"/>
      <c r="C431" s="1129"/>
      <c r="D431" s="1129"/>
      <c r="E431" s="1129"/>
      <c r="F431" s="1129"/>
      <c r="G431" s="1129"/>
      <c r="H431" s="1130" t="s">
        <v>325</v>
      </c>
      <c r="I431" s="1130" t="s">
        <v>325</v>
      </c>
      <c r="J431" s="1130"/>
      <c r="K431" s="1130"/>
      <c r="L431" s="1130"/>
      <c r="M431" s="1130"/>
      <c r="N431" s="1130"/>
      <c r="O431" s="1130"/>
      <c r="P431" s="1130"/>
      <c r="Q431" s="1130"/>
      <c r="R431" s="1130"/>
      <c r="S431" s="1130"/>
      <c r="T431" s="1130" t="s">
        <v>261</v>
      </c>
      <c r="U431" s="1129"/>
      <c r="V431" s="1143"/>
      <c r="W431" s="1143"/>
      <c r="X431" s="1949" t="s">
        <v>349</v>
      </c>
      <c r="Y431" s="1134" t="s">
        <v>1124</v>
      </c>
      <c r="Z431" s="1149">
        <v>0</v>
      </c>
      <c r="AA431" s="1150">
        <v>1</v>
      </c>
      <c r="AB431" s="1135">
        <v>2</v>
      </c>
      <c r="AC431" s="1135">
        <v>2</v>
      </c>
      <c r="AD431" s="1135"/>
      <c r="AE431" s="1133" t="s">
        <v>348</v>
      </c>
      <c r="AF431" s="1151" t="s">
        <v>444</v>
      </c>
      <c r="AG431" s="1151" t="s">
        <v>444</v>
      </c>
      <c r="AH431" s="1151"/>
      <c r="AI431" s="1151"/>
      <c r="AJ431" s="1152"/>
      <c r="AK431" s="1130"/>
      <c r="AL431" s="1136"/>
    </row>
    <row r="432" spans="1:38" ht="26.25" customHeight="1" outlineLevel="1">
      <c r="A432" s="1129"/>
      <c r="B432" s="1129"/>
      <c r="C432" s="1129"/>
      <c r="D432" s="1129"/>
      <c r="E432" s="1129"/>
      <c r="F432" s="1129"/>
      <c r="G432" s="1129"/>
      <c r="H432" s="1130" t="s">
        <v>325</v>
      </c>
      <c r="I432" s="1130" t="s">
        <v>325</v>
      </c>
      <c r="J432" s="1130"/>
      <c r="K432" s="1130"/>
      <c r="L432" s="1130"/>
      <c r="M432" s="1130"/>
      <c r="N432" s="1130"/>
      <c r="O432" s="1130"/>
      <c r="P432" s="1130"/>
      <c r="Q432" s="1130"/>
      <c r="R432" s="1130"/>
      <c r="S432" s="1130"/>
      <c r="T432" s="1130" t="s">
        <v>261</v>
      </c>
      <c r="U432" s="1129"/>
      <c r="V432" s="1143"/>
      <c r="W432" s="1143"/>
      <c r="X432" s="1950" t="s">
        <v>351</v>
      </c>
      <c r="Y432" s="1137" t="s">
        <v>1125</v>
      </c>
      <c r="Z432" s="1149">
        <v>0</v>
      </c>
      <c r="AA432" s="1150">
        <v>2</v>
      </c>
      <c r="AB432" s="1135">
        <v>4</v>
      </c>
      <c r="AC432" s="1135">
        <v>2</v>
      </c>
      <c r="AD432" s="1135"/>
      <c r="AE432" s="1133" t="s">
        <v>348</v>
      </c>
      <c r="AF432" s="1151" t="s">
        <v>444</v>
      </c>
      <c r="AG432" s="1151" t="s">
        <v>444</v>
      </c>
      <c r="AH432" s="1151"/>
      <c r="AI432" s="1151"/>
      <c r="AJ432" s="1152"/>
      <c r="AK432" s="1130"/>
      <c r="AL432" s="1136"/>
    </row>
    <row r="433" spans="1:40" ht="26.25" customHeight="1" outlineLevel="1">
      <c r="A433" s="1129"/>
      <c r="B433" s="1129"/>
      <c r="C433" s="1129"/>
      <c r="D433" s="1129"/>
      <c r="E433" s="1129"/>
      <c r="F433" s="1129"/>
      <c r="G433" s="1129"/>
      <c r="H433" s="1130" t="s">
        <v>325</v>
      </c>
      <c r="I433" s="1130" t="s">
        <v>325</v>
      </c>
      <c r="J433" s="1130"/>
      <c r="K433" s="1130"/>
      <c r="L433" s="1130"/>
      <c r="M433" s="1130"/>
      <c r="N433" s="1130"/>
      <c r="O433" s="1130"/>
      <c r="P433" s="1130"/>
      <c r="Q433" s="1130"/>
      <c r="R433" s="1130"/>
      <c r="S433" s="1130"/>
      <c r="T433" s="1130" t="s">
        <v>261</v>
      </c>
      <c r="U433" s="1129"/>
      <c r="V433" s="1143"/>
      <c r="W433" s="1143"/>
      <c r="X433" s="1951" t="s">
        <v>353</v>
      </c>
      <c r="Y433" s="1137" t="s">
        <v>1126</v>
      </c>
      <c r="Z433" s="1149">
        <v>0</v>
      </c>
      <c r="AA433" s="1150">
        <v>3</v>
      </c>
      <c r="AB433" s="1135">
        <v>6</v>
      </c>
      <c r="AC433" s="1135">
        <v>2</v>
      </c>
      <c r="AD433" s="1135"/>
      <c r="AE433" s="1133" t="s">
        <v>348</v>
      </c>
      <c r="AF433" s="1151" t="s">
        <v>444</v>
      </c>
      <c r="AG433" s="1151" t="s">
        <v>444</v>
      </c>
      <c r="AH433" s="1151"/>
      <c r="AI433" s="1151"/>
      <c r="AJ433" s="1152"/>
      <c r="AK433" s="1130"/>
      <c r="AL433" s="1136"/>
    </row>
    <row r="434" spans="1:40" ht="26.25" customHeight="1" outlineLevel="1">
      <c r="A434" s="1129"/>
      <c r="B434" s="1129"/>
      <c r="C434" s="1129"/>
      <c r="D434" s="1129"/>
      <c r="E434" s="1129"/>
      <c r="F434" s="1129"/>
      <c r="G434" s="1129"/>
      <c r="H434" s="1130" t="s">
        <v>325</v>
      </c>
      <c r="I434" s="1130" t="s">
        <v>325</v>
      </c>
      <c r="J434" s="1130"/>
      <c r="K434" s="1130"/>
      <c r="L434" s="1130"/>
      <c r="M434" s="1130"/>
      <c r="N434" s="1130"/>
      <c r="O434" s="1130"/>
      <c r="P434" s="1130"/>
      <c r="Q434" s="1130"/>
      <c r="R434" s="1130"/>
      <c r="S434" s="1130"/>
      <c r="T434" s="1130" t="s">
        <v>261</v>
      </c>
      <c r="U434" s="1129"/>
      <c r="V434" s="1143"/>
      <c r="W434" s="1143"/>
      <c r="X434" s="1952" t="s">
        <v>355</v>
      </c>
      <c r="Y434" s="1137" t="s">
        <v>1127</v>
      </c>
      <c r="Z434" s="1149">
        <v>1</v>
      </c>
      <c r="AA434" s="1150">
        <v>4</v>
      </c>
      <c r="AB434" s="1135">
        <v>8</v>
      </c>
      <c r="AC434" s="1135">
        <v>2</v>
      </c>
      <c r="AD434" s="1135"/>
      <c r="AE434" s="1133" t="s">
        <v>348</v>
      </c>
      <c r="AF434" s="1151" t="s">
        <v>444</v>
      </c>
      <c r="AG434" s="1151" t="s">
        <v>444</v>
      </c>
      <c r="AH434" s="1151"/>
      <c r="AI434" s="1151"/>
      <c r="AJ434" s="1152"/>
      <c r="AK434" s="1130"/>
      <c r="AL434" s="1136"/>
    </row>
    <row r="435" spans="1:40" ht="26.25" customHeight="1" outlineLevel="1">
      <c r="A435" s="1129"/>
      <c r="B435" s="1129"/>
      <c r="C435" s="1129"/>
      <c r="D435" s="1129"/>
      <c r="E435" s="1129"/>
      <c r="F435" s="1129"/>
      <c r="G435" s="1129"/>
      <c r="H435" s="1130" t="s">
        <v>325</v>
      </c>
      <c r="I435" s="1130" t="s">
        <v>325</v>
      </c>
      <c r="J435" s="1130"/>
      <c r="K435" s="1130"/>
      <c r="L435" s="1130"/>
      <c r="M435" s="1130"/>
      <c r="N435" s="1130"/>
      <c r="O435" s="1130"/>
      <c r="P435" s="1130"/>
      <c r="Q435" s="1130"/>
      <c r="R435" s="1130"/>
      <c r="S435" s="1130"/>
      <c r="T435" s="1130" t="s">
        <v>261</v>
      </c>
      <c r="U435" s="1129"/>
      <c r="V435" s="1143"/>
      <c r="W435" s="1143"/>
      <c r="X435" s="1953" t="s">
        <v>357</v>
      </c>
      <c r="Y435" s="1137" t="s">
        <v>1128</v>
      </c>
      <c r="Z435" s="1149">
        <v>1</v>
      </c>
      <c r="AA435" s="1150">
        <v>5</v>
      </c>
      <c r="AB435" s="1135">
        <v>10</v>
      </c>
      <c r="AC435" s="1135">
        <v>2</v>
      </c>
      <c r="AD435" s="1135"/>
      <c r="AE435" s="1133" t="s">
        <v>348</v>
      </c>
      <c r="AF435" s="1151" t="s">
        <v>444</v>
      </c>
      <c r="AG435" s="1151" t="s">
        <v>444</v>
      </c>
      <c r="AH435" s="1151"/>
      <c r="AI435" s="1151"/>
      <c r="AJ435" s="1152"/>
      <c r="AK435" s="1130"/>
      <c r="AL435" s="1136"/>
    </row>
    <row r="436" spans="1:40" ht="26.25" customHeight="1" outlineLevel="1">
      <c r="A436" s="1129"/>
      <c r="B436" s="1129"/>
      <c r="C436" s="1129"/>
      <c r="D436" s="1129"/>
      <c r="E436" s="1129"/>
      <c r="F436" s="1129"/>
      <c r="G436" s="1129"/>
      <c r="H436" s="1130" t="s">
        <v>325</v>
      </c>
      <c r="I436" s="1130" t="s">
        <v>325</v>
      </c>
      <c r="J436" s="1130"/>
      <c r="K436" s="1130"/>
      <c r="L436" s="1130"/>
      <c r="M436" s="1130"/>
      <c r="N436" s="1130"/>
      <c r="O436" s="1130"/>
      <c r="P436" s="1130"/>
      <c r="Q436" s="1130"/>
      <c r="R436" s="1130"/>
      <c r="S436" s="1130"/>
      <c r="T436" s="1130" t="s">
        <v>261</v>
      </c>
      <c r="U436" s="1129"/>
      <c r="V436" s="1143"/>
      <c r="W436" s="1143"/>
      <c r="X436" s="1954" t="s">
        <v>359</v>
      </c>
      <c r="Y436" s="1137" t="s">
        <v>1129</v>
      </c>
      <c r="Z436" s="1149">
        <v>1</v>
      </c>
      <c r="AA436" s="1150">
        <v>6</v>
      </c>
      <c r="AB436" s="1135">
        <v>12</v>
      </c>
      <c r="AC436" s="1135">
        <v>2</v>
      </c>
      <c r="AD436" s="1135"/>
      <c r="AE436" s="1133" t="s">
        <v>348</v>
      </c>
      <c r="AF436" s="1151" t="s">
        <v>444</v>
      </c>
      <c r="AG436" s="1151" t="s">
        <v>444</v>
      </c>
      <c r="AH436" s="1151"/>
      <c r="AI436" s="1151"/>
      <c r="AJ436" s="1152"/>
      <c r="AK436" s="1130"/>
      <c r="AL436" s="1136"/>
    </row>
    <row r="437" spans="1:40" ht="26.25" customHeight="1" outlineLevel="1">
      <c r="A437" s="1129"/>
      <c r="B437" s="1129"/>
      <c r="C437" s="1129"/>
      <c r="D437" s="1129"/>
      <c r="E437" s="1129"/>
      <c r="F437" s="1129"/>
      <c r="G437" s="1129"/>
      <c r="H437" s="1130" t="s">
        <v>325</v>
      </c>
      <c r="I437" s="1130" t="s">
        <v>325</v>
      </c>
      <c r="J437" s="1130"/>
      <c r="K437" s="1130"/>
      <c r="L437" s="1130"/>
      <c r="M437" s="1130"/>
      <c r="N437" s="1130"/>
      <c r="O437" s="1130"/>
      <c r="P437" s="1130"/>
      <c r="Q437" s="1130"/>
      <c r="R437" s="1130"/>
      <c r="S437" s="1130"/>
      <c r="T437" s="1130" t="s">
        <v>261</v>
      </c>
      <c r="U437" s="1129"/>
      <c r="V437" s="1143"/>
      <c r="W437" s="1143"/>
      <c r="X437" s="1955" t="s">
        <v>361</v>
      </c>
      <c r="Y437" s="1137" t="s">
        <v>1130</v>
      </c>
      <c r="Z437" s="1149">
        <v>1</v>
      </c>
      <c r="AA437" s="1150">
        <v>7</v>
      </c>
      <c r="AB437" s="1135">
        <v>14</v>
      </c>
      <c r="AC437" s="1135">
        <v>2</v>
      </c>
      <c r="AD437" s="1135"/>
      <c r="AE437" s="1133" t="s">
        <v>348</v>
      </c>
      <c r="AF437" s="1151" t="s">
        <v>444</v>
      </c>
      <c r="AG437" s="1151" t="s">
        <v>444</v>
      </c>
      <c r="AH437" s="1151"/>
      <c r="AI437" s="1151"/>
      <c r="AJ437" s="1152"/>
      <c r="AK437" s="1130"/>
      <c r="AL437" s="1136"/>
    </row>
    <row r="438" spans="1:40" ht="26.25" customHeight="1" outlineLevel="1">
      <c r="A438" s="1129"/>
      <c r="B438" s="1129"/>
      <c r="C438" s="1129"/>
      <c r="D438" s="1129"/>
      <c r="E438" s="1129"/>
      <c r="F438" s="1129"/>
      <c r="G438" s="1129"/>
      <c r="H438" s="1130" t="s">
        <v>325</v>
      </c>
      <c r="I438" s="1130" t="s">
        <v>325</v>
      </c>
      <c r="J438" s="1130"/>
      <c r="K438" s="1130"/>
      <c r="L438" s="1130"/>
      <c r="M438" s="1130"/>
      <c r="N438" s="1130"/>
      <c r="O438" s="1130"/>
      <c r="P438" s="1130"/>
      <c r="Q438" s="1130"/>
      <c r="R438" s="1130"/>
      <c r="S438" s="1130"/>
      <c r="T438" s="1130" t="s">
        <v>261</v>
      </c>
      <c r="U438" s="1129"/>
      <c r="V438" s="1143"/>
      <c r="W438" s="1143"/>
      <c r="X438" s="1956" t="s">
        <v>363</v>
      </c>
      <c r="Y438" s="1137" t="s">
        <v>1131</v>
      </c>
      <c r="Z438" s="1149">
        <v>2</v>
      </c>
      <c r="AA438" s="1150">
        <v>0</v>
      </c>
      <c r="AB438" s="1135">
        <v>16</v>
      </c>
      <c r="AC438" s="1135">
        <v>2</v>
      </c>
      <c r="AD438" s="1135"/>
      <c r="AE438" s="1133" t="s">
        <v>348</v>
      </c>
      <c r="AF438" s="1151" t="s">
        <v>444</v>
      </c>
      <c r="AG438" s="1151" t="s">
        <v>444</v>
      </c>
      <c r="AH438" s="1151"/>
      <c r="AI438" s="1151"/>
      <c r="AJ438" s="1152"/>
      <c r="AK438" s="1130"/>
      <c r="AL438" s="1136"/>
    </row>
    <row r="439" spans="1:40" ht="26.25" customHeight="1" outlineLevel="1">
      <c r="A439" s="1129"/>
      <c r="B439" s="1129"/>
      <c r="C439" s="1129"/>
      <c r="D439" s="1129"/>
      <c r="E439" s="1129"/>
      <c r="F439" s="1129"/>
      <c r="G439" s="1129"/>
      <c r="H439" s="1130" t="s">
        <v>325</v>
      </c>
      <c r="I439" s="1130" t="s">
        <v>325</v>
      </c>
      <c r="J439" s="1130"/>
      <c r="K439" s="1130"/>
      <c r="L439" s="1130"/>
      <c r="M439" s="1130"/>
      <c r="N439" s="1130"/>
      <c r="O439" s="1130"/>
      <c r="P439" s="1130"/>
      <c r="Q439" s="1130"/>
      <c r="R439" s="1130"/>
      <c r="S439" s="1130"/>
      <c r="T439" s="1130" t="s">
        <v>261</v>
      </c>
      <c r="U439" s="1129"/>
      <c r="V439" s="1143"/>
      <c r="W439" s="1143"/>
      <c r="X439" s="1957" t="s">
        <v>365</v>
      </c>
      <c r="Y439" s="1137" t="s">
        <v>1131</v>
      </c>
      <c r="Z439" s="1149">
        <v>2</v>
      </c>
      <c r="AA439" s="1150">
        <v>1</v>
      </c>
      <c r="AB439" s="1135">
        <v>18</v>
      </c>
      <c r="AC439" s="1135">
        <v>2</v>
      </c>
      <c r="AD439" s="1135"/>
      <c r="AE439" s="1133" t="s">
        <v>348</v>
      </c>
      <c r="AF439" s="1151" t="s">
        <v>444</v>
      </c>
      <c r="AG439" s="1151" t="s">
        <v>444</v>
      </c>
      <c r="AH439" s="1151"/>
      <c r="AI439" s="1151"/>
      <c r="AJ439" s="1152"/>
      <c r="AK439" s="1130"/>
      <c r="AL439" s="1136"/>
    </row>
    <row r="440" spans="1:40" ht="26.25" customHeight="1" outlineLevel="1">
      <c r="A440" s="1129"/>
      <c r="B440" s="1129"/>
      <c r="C440" s="1129"/>
      <c r="D440" s="1129"/>
      <c r="E440" s="1129"/>
      <c r="F440" s="1129"/>
      <c r="G440" s="1129"/>
      <c r="H440" s="1130" t="s">
        <v>325</v>
      </c>
      <c r="I440" s="1130" t="s">
        <v>325</v>
      </c>
      <c r="J440" s="1130"/>
      <c r="K440" s="1130"/>
      <c r="L440" s="1130"/>
      <c r="M440" s="1130"/>
      <c r="N440" s="1130"/>
      <c r="O440" s="1130"/>
      <c r="P440" s="1130"/>
      <c r="Q440" s="1130"/>
      <c r="R440" s="1130"/>
      <c r="S440" s="1130"/>
      <c r="T440" s="1130" t="s">
        <v>261</v>
      </c>
      <c r="U440" s="1129"/>
      <c r="V440" s="1143"/>
      <c r="W440" s="1143"/>
      <c r="X440" s="1958" t="s">
        <v>367</v>
      </c>
      <c r="Y440" s="1137" t="s">
        <v>1132</v>
      </c>
      <c r="Z440" s="1149">
        <v>2</v>
      </c>
      <c r="AA440" s="1150">
        <v>2</v>
      </c>
      <c r="AB440" s="1135">
        <v>20</v>
      </c>
      <c r="AC440" s="1135">
        <v>2</v>
      </c>
      <c r="AD440" s="1135"/>
      <c r="AE440" s="1133" t="s">
        <v>348</v>
      </c>
      <c r="AF440" s="1151" t="s">
        <v>444</v>
      </c>
      <c r="AG440" s="1151" t="s">
        <v>444</v>
      </c>
      <c r="AH440" s="1151"/>
      <c r="AI440" s="1151"/>
      <c r="AJ440" s="1152"/>
      <c r="AK440" s="1130"/>
      <c r="AL440" s="1136"/>
    </row>
    <row r="441" spans="1:40" ht="26.25" customHeight="1" outlineLevel="1">
      <c r="A441" s="1129"/>
      <c r="B441" s="1129"/>
      <c r="C441" s="1129"/>
      <c r="D441" s="1129"/>
      <c r="E441" s="1129"/>
      <c r="F441" s="1129"/>
      <c r="G441" s="1129"/>
      <c r="H441" s="1130" t="s">
        <v>325</v>
      </c>
      <c r="I441" s="1130" t="s">
        <v>325</v>
      </c>
      <c r="J441" s="1130"/>
      <c r="K441" s="1130"/>
      <c r="L441" s="1130"/>
      <c r="M441" s="1130"/>
      <c r="N441" s="1130"/>
      <c r="O441" s="1130"/>
      <c r="P441" s="1130"/>
      <c r="Q441" s="1130"/>
      <c r="R441" s="1130"/>
      <c r="S441" s="1130"/>
      <c r="T441" s="1130" t="s">
        <v>261</v>
      </c>
      <c r="U441" s="1129"/>
      <c r="V441" s="1143"/>
      <c r="W441" s="1143"/>
      <c r="X441" s="1959" t="s">
        <v>369</v>
      </c>
      <c r="Y441" s="1137" t="s">
        <v>1133</v>
      </c>
      <c r="Z441" s="1149">
        <v>2</v>
      </c>
      <c r="AA441" s="1150">
        <v>3</v>
      </c>
      <c r="AB441" s="1135">
        <v>22</v>
      </c>
      <c r="AC441" s="1135">
        <v>2</v>
      </c>
      <c r="AD441" s="1135"/>
      <c r="AE441" s="1133" t="s">
        <v>348</v>
      </c>
      <c r="AF441" s="1151" t="s">
        <v>444</v>
      </c>
      <c r="AG441" s="1151" t="s">
        <v>444</v>
      </c>
      <c r="AH441" s="1151"/>
      <c r="AI441" s="1151"/>
      <c r="AJ441" s="1152"/>
      <c r="AK441" s="1130"/>
      <c r="AL441" s="1136"/>
    </row>
    <row r="442" spans="1:40" ht="26.25" customHeight="1" outlineLevel="1">
      <c r="A442" s="1129"/>
      <c r="B442" s="1129"/>
      <c r="C442" s="1129"/>
      <c r="D442" s="1129"/>
      <c r="E442" s="1129"/>
      <c r="F442" s="1129"/>
      <c r="G442" s="1129"/>
      <c r="H442" s="1130" t="s">
        <v>325</v>
      </c>
      <c r="I442" s="1130" t="s">
        <v>325</v>
      </c>
      <c r="J442" s="1130"/>
      <c r="K442" s="1130"/>
      <c r="L442" s="1130"/>
      <c r="M442" s="1130"/>
      <c r="N442" s="1130"/>
      <c r="O442" s="1130"/>
      <c r="P442" s="1130"/>
      <c r="Q442" s="1130"/>
      <c r="R442" s="1130"/>
      <c r="S442" s="1130"/>
      <c r="T442" s="1130" t="s">
        <v>261</v>
      </c>
      <c r="U442" s="1129"/>
      <c r="V442" s="1143"/>
      <c r="W442" s="1143"/>
      <c r="X442" s="1960" t="s">
        <v>637</v>
      </c>
      <c r="Y442" s="1137" t="s">
        <v>1134</v>
      </c>
      <c r="Z442" s="1149">
        <v>3</v>
      </c>
      <c r="AA442" s="1150">
        <v>4</v>
      </c>
      <c r="AB442" s="1135">
        <v>24</v>
      </c>
      <c r="AC442" s="1135">
        <v>2</v>
      </c>
      <c r="AD442" s="1135"/>
      <c r="AE442" s="1133" t="s">
        <v>348</v>
      </c>
      <c r="AF442" s="1151" t="s">
        <v>444</v>
      </c>
      <c r="AG442" s="1151" t="s">
        <v>444</v>
      </c>
      <c r="AH442" s="1151"/>
      <c r="AI442" s="1151"/>
      <c r="AJ442" s="1152"/>
      <c r="AK442" s="1130"/>
      <c r="AL442" s="1136"/>
    </row>
    <row r="443" spans="1:40" s="14" customFormat="1" ht="26.25" customHeight="1" outlineLevel="1">
      <c r="A443" s="1129"/>
      <c r="B443" s="1129"/>
      <c r="C443" s="1129"/>
      <c r="D443" s="1129"/>
      <c r="E443" s="1129"/>
      <c r="F443" s="1129"/>
      <c r="G443" s="1129"/>
      <c r="H443" s="1130" t="s">
        <v>325</v>
      </c>
      <c r="I443" s="1130" t="s">
        <v>325</v>
      </c>
      <c r="J443" s="1130"/>
      <c r="K443" s="1130"/>
      <c r="L443" s="1130"/>
      <c r="M443" s="1130"/>
      <c r="N443" s="1130"/>
      <c r="O443" s="1130"/>
      <c r="P443" s="1130"/>
      <c r="Q443" s="1130"/>
      <c r="R443" s="1130"/>
      <c r="S443" s="1130"/>
      <c r="T443" s="1130" t="s">
        <v>261</v>
      </c>
      <c r="U443" s="1129"/>
      <c r="V443" s="1143"/>
      <c r="W443" s="1143"/>
      <c r="X443" s="1961" t="s">
        <v>373</v>
      </c>
      <c r="Y443" s="1137" t="s">
        <v>1135</v>
      </c>
      <c r="Z443" s="1149">
        <v>3</v>
      </c>
      <c r="AA443" s="1150">
        <v>5</v>
      </c>
      <c r="AB443" s="1135">
        <v>26</v>
      </c>
      <c r="AC443" s="1135">
        <v>2</v>
      </c>
      <c r="AD443" s="1135"/>
      <c r="AE443" s="1133" t="s">
        <v>348</v>
      </c>
      <c r="AF443" s="1151" t="s">
        <v>444</v>
      </c>
      <c r="AG443" s="1151" t="s">
        <v>444</v>
      </c>
      <c r="AH443" s="1151"/>
      <c r="AI443" s="1151"/>
      <c r="AJ443" s="1152"/>
      <c r="AK443" s="1130"/>
      <c r="AL443" s="1136"/>
      <c r="AM443" s="49"/>
      <c r="AN443" s="49"/>
    </row>
    <row r="444" spans="1:40" s="14" customFormat="1" ht="26.25" customHeight="1" outlineLevel="1">
      <c r="A444" s="1129"/>
      <c r="B444" s="1129"/>
      <c r="C444" s="1129"/>
      <c r="D444" s="1129"/>
      <c r="E444" s="1129"/>
      <c r="F444" s="1129"/>
      <c r="G444" s="1129"/>
      <c r="H444" s="1130" t="s">
        <v>325</v>
      </c>
      <c r="I444" s="1130" t="s">
        <v>325</v>
      </c>
      <c r="J444" s="1130"/>
      <c r="K444" s="1130"/>
      <c r="L444" s="1130"/>
      <c r="M444" s="1130"/>
      <c r="N444" s="1130"/>
      <c r="O444" s="1130"/>
      <c r="P444" s="1130"/>
      <c r="Q444" s="1130"/>
      <c r="R444" s="1130"/>
      <c r="S444" s="1130"/>
      <c r="T444" s="1130" t="s">
        <v>261</v>
      </c>
      <c r="U444" s="1129"/>
      <c r="V444" s="1153"/>
      <c r="W444" s="1153"/>
      <c r="X444" s="1962" t="s">
        <v>375</v>
      </c>
      <c r="Y444" s="1137" t="s">
        <v>1136</v>
      </c>
      <c r="Z444" s="1149">
        <v>3</v>
      </c>
      <c r="AA444" s="1150"/>
      <c r="AB444" s="1135">
        <v>28</v>
      </c>
      <c r="AC444" s="1135">
        <v>2</v>
      </c>
      <c r="AD444" s="1135"/>
      <c r="AE444" s="1133" t="s">
        <v>348</v>
      </c>
      <c r="AF444" s="1151"/>
      <c r="AG444" s="1151"/>
      <c r="AH444" s="1151"/>
      <c r="AI444" s="1151"/>
      <c r="AJ444" s="1152"/>
      <c r="AK444" s="1130"/>
      <c r="AL444" s="1154"/>
    </row>
    <row r="445" spans="1:40" s="14" customFormat="1" ht="26.25" customHeight="1" outlineLevel="1">
      <c r="A445" s="1129"/>
      <c r="B445" s="1129"/>
      <c r="C445" s="1129"/>
      <c r="D445" s="1129"/>
      <c r="E445" s="1129"/>
      <c r="F445" s="1129"/>
      <c r="G445" s="1129"/>
      <c r="H445" s="1130" t="s">
        <v>325</v>
      </c>
      <c r="I445" s="1130" t="s">
        <v>325</v>
      </c>
      <c r="J445" s="1130"/>
      <c r="K445" s="1130"/>
      <c r="L445" s="1130"/>
      <c r="M445" s="1130"/>
      <c r="N445" s="1130"/>
      <c r="O445" s="1130"/>
      <c r="P445" s="1130"/>
      <c r="Q445" s="1130"/>
      <c r="R445" s="1130"/>
      <c r="S445" s="1130"/>
      <c r="T445" s="1130" t="s">
        <v>261</v>
      </c>
      <c r="U445" s="1129"/>
      <c r="V445" s="1153"/>
      <c r="W445" s="1153"/>
      <c r="X445" s="1963" t="s">
        <v>377</v>
      </c>
      <c r="Y445" s="1137" t="s">
        <v>1137</v>
      </c>
      <c r="Z445" s="1149">
        <v>3</v>
      </c>
      <c r="AA445" s="1150"/>
      <c r="AB445" s="1135">
        <v>30</v>
      </c>
      <c r="AC445" s="1135">
        <v>2</v>
      </c>
      <c r="AD445" s="1135"/>
      <c r="AE445" s="1133" t="s">
        <v>348</v>
      </c>
      <c r="AF445" s="1151"/>
      <c r="AG445" s="1151"/>
      <c r="AH445" s="1151"/>
      <c r="AI445" s="1151"/>
      <c r="AJ445" s="1152"/>
      <c r="AK445" s="1130"/>
      <c r="AL445" s="1154"/>
    </row>
    <row r="446" spans="1:40" s="14" customFormat="1" ht="26.25" customHeight="1" outlineLevel="1">
      <c r="A446" s="1129"/>
      <c r="B446" s="1129"/>
      <c r="C446" s="1129"/>
      <c r="D446" s="1129"/>
      <c r="E446" s="1129"/>
      <c r="F446" s="1129"/>
      <c r="G446" s="1129"/>
      <c r="H446" s="1130" t="s">
        <v>325</v>
      </c>
      <c r="I446" s="1130" t="s">
        <v>325</v>
      </c>
      <c r="J446" s="1130"/>
      <c r="K446" s="1130"/>
      <c r="L446" s="1130"/>
      <c r="M446" s="1130"/>
      <c r="N446" s="1130"/>
      <c r="O446" s="1130"/>
      <c r="P446" s="1130"/>
      <c r="Q446" s="1130"/>
      <c r="R446" s="1130"/>
      <c r="S446" s="1130"/>
      <c r="T446" s="1130" t="s">
        <v>261</v>
      </c>
      <c r="U446" s="1129"/>
      <c r="V446" s="1153"/>
      <c r="W446" s="1153"/>
      <c r="X446" s="1964" t="s">
        <v>379</v>
      </c>
      <c r="Y446" s="1137" t="s">
        <v>1138</v>
      </c>
      <c r="Z446" s="1149">
        <v>4</v>
      </c>
      <c r="AA446" s="1150"/>
      <c r="AB446" s="1135">
        <v>32</v>
      </c>
      <c r="AC446" s="1135">
        <v>4</v>
      </c>
      <c r="AD446" s="1135"/>
      <c r="AE446" s="1135" t="s">
        <v>381</v>
      </c>
      <c r="AF446" s="1151"/>
      <c r="AG446" s="1151"/>
      <c r="AH446" s="1151"/>
      <c r="AI446" s="1151"/>
      <c r="AJ446" s="1152"/>
      <c r="AK446" s="1130"/>
      <c r="AL446" s="1154"/>
    </row>
    <row r="447" spans="1:40" s="14" customFormat="1" ht="26.25" customHeight="1" outlineLevel="1">
      <c r="A447" s="1129"/>
      <c r="B447" s="1129"/>
      <c r="C447" s="1129"/>
      <c r="D447" s="1129"/>
      <c r="E447" s="1129"/>
      <c r="F447" s="1129"/>
      <c r="G447" s="1129"/>
      <c r="H447" s="1130" t="s">
        <v>325</v>
      </c>
      <c r="I447" s="1130" t="s">
        <v>325</v>
      </c>
      <c r="J447" s="1130"/>
      <c r="K447" s="1130"/>
      <c r="L447" s="1130"/>
      <c r="M447" s="1130"/>
      <c r="N447" s="1130"/>
      <c r="O447" s="1130"/>
      <c r="P447" s="1130"/>
      <c r="Q447" s="1130"/>
      <c r="R447" s="1130"/>
      <c r="S447" s="1130"/>
      <c r="T447" s="1130" t="s">
        <v>261</v>
      </c>
      <c r="U447" s="1129"/>
      <c r="V447" s="1153"/>
      <c r="W447" s="1153"/>
      <c r="X447" s="1965" t="s">
        <v>382</v>
      </c>
      <c r="Y447" s="1137" t="s">
        <v>1139</v>
      </c>
      <c r="Z447" s="1149">
        <v>4</v>
      </c>
      <c r="AA447" s="1150"/>
      <c r="AB447" s="1135">
        <v>36</v>
      </c>
      <c r="AC447" s="1135">
        <v>4</v>
      </c>
      <c r="AD447" s="1135"/>
      <c r="AE447" s="1135" t="s">
        <v>381</v>
      </c>
      <c r="AF447" s="1151"/>
      <c r="AG447" s="1151"/>
      <c r="AH447" s="1151"/>
      <c r="AI447" s="1151"/>
      <c r="AJ447" s="1152"/>
      <c r="AK447" s="1130"/>
      <c r="AL447" s="1154"/>
    </row>
    <row r="448" spans="1:40" s="114" customFormat="1" ht="26.25" customHeight="1" outlineLevel="1">
      <c r="A448" s="1129"/>
      <c r="B448" s="1129"/>
      <c r="C448" s="1129"/>
      <c r="D448" s="1129"/>
      <c r="E448" s="1129"/>
      <c r="F448" s="1129"/>
      <c r="G448" s="1129"/>
      <c r="H448" s="1130" t="s">
        <v>325</v>
      </c>
      <c r="I448" s="1130" t="s">
        <v>325</v>
      </c>
      <c r="J448" s="1130"/>
      <c r="K448" s="1130"/>
      <c r="L448" s="1130"/>
      <c r="M448" s="1130"/>
      <c r="N448" s="1130"/>
      <c r="O448" s="1130"/>
      <c r="P448" s="1130"/>
      <c r="Q448" s="1130"/>
      <c r="R448" s="1130"/>
      <c r="S448" s="1130"/>
      <c r="T448" s="1130" t="s">
        <v>261</v>
      </c>
      <c r="U448" s="1129"/>
      <c r="V448" s="1143"/>
      <c r="W448" s="1143"/>
      <c r="X448" s="1966" t="s">
        <v>384</v>
      </c>
      <c r="Y448" s="1137" t="s">
        <v>1140</v>
      </c>
      <c r="Z448" s="1149">
        <v>5</v>
      </c>
      <c r="AA448" s="1150"/>
      <c r="AB448" s="1135">
        <v>40</v>
      </c>
      <c r="AC448" s="1135">
        <v>4</v>
      </c>
      <c r="AD448" s="1135"/>
      <c r="AE448" s="1135" t="s">
        <v>381</v>
      </c>
      <c r="AF448" s="1151"/>
      <c r="AG448" s="1151"/>
      <c r="AH448" s="1151"/>
      <c r="AI448" s="1151"/>
      <c r="AJ448" s="1152"/>
      <c r="AK448" s="1130"/>
      <c r="AL448" s="1154"/>
      <c r="AM448" s="14"/>
      <c r="AN448" s="14"/>
    </row>
    <row r="449" spans="1:40" s="114" customFormat="1" ht="26.25" customHeight="1" outlineLevel="1">
      <c r="A449" s="1155"/>
      <c r="B449" s="1155"/>
      <c r="C449" s="1155"/>
      <c r="D449" s="1155"/>
      <c r="E449" s="1155"/>
      <c r="F449" s="1155"/>
      <c r="G449" s="1155"/>
      <c r="H449" s="1156" t="s">
        <v>325</v>
      </c>
      <c r="I449" s="1156" t="s">
        <v>325</v>
      </c>
      <c r="J449" s="1156"/>
      <c r="K449" s="1156"/>
      <c r="L449" s="1156"/>
      <c r="M449" s="1156"/>
      <c r="N449" s="1156"/>
      <c r="O449" s="1156"/>
      <c r="P449" s="1156"/>
      <c r="Q449" s="1156"/>
      <c r="R449" s="1156"/>
      <c r="S449" s="1156"/>
      <c r="T449" s="1156" t="s">
        <v>261</v>
      </c>
      <c r="U449" s="1155"/>
      <c r="V449" s="1157"/>
      <c r="W449" s="1157"/>
      <c r="X449" s="1967" t="s">
        <v>386</v>
      </c>
      <c r="Y449" s="1137" t="s">
        <v>1141</v>
      </c>
      <c r="Z449" s="805">
        <v>5</v>
      </c>
      <c r="AA449" s="1159"/>
      <c r="AB449" s="1135">
        <v>44</v>
      </c>
      <c r="AC449" s="1135">
        <v>4</v>
      </c>
      <c r="AD449" s="1135"/>
      <c r="AE449" s="1135" t="s">
        <v>381</v>
      </c>
      <c r="AF449" s="1160" t="s">
        <v>444</v>
      </c>
      <c r="AG449" s="1160" t="s">
        <v>444</v>
      </c>
      <c r="AH449" s="1160"/>
      <c r="AI449" s="1160"/>
      <c r="AJ449" s="1161"/>
      <c r="AK449" s="1162" t="s">
        <v>1142</v>
      </c>
      <c r="AL449" s="1142"/>
    </row>
    <row r="450" spans="1:40" s="114" customFormat="1" ht="26.25" customHeight="1" outlineLevel="1">
      <c r="A450" s="1155"/>
      <c r="B450" s="1155"/>
      <c r="C450" s="1155"/>
      <c r="D450" s="1155"/>
      <c r="E450" s="1155"/>
      <c r="F450" s="1155"/>
      <c r="G450" s="1155"/>
      <c r="H450" s="1156" t="s">
        <v>325</v>
      </c>
      <c r="I450" s="1156" t="s">
        <v>325</v>
      </c>
      <c r="J450" s="1156"/>
      <c r="K450" s="1156"/>
      <c r="L450" s="1156"/>
      <c r="M450" s="1156"/>
      <c r="N450" s="1156"/>
      <c r="O450" s="1156"/>
      <c r="P450" s="1156"/>
      <c r="Q450" s="1156"/>
      <c r="R450" s="1156"/>
      <c r="S450" s="1156"/>
      <c r="T450" s="1156" t="s">
        <v>261</v>
      </c>
      <c r="U450" s="1155"/>
      <c r="V450" s="1163"/>
      <c r="W450" s="1163"/>
      <c r="X450" s="1968" t="s">
        <v>388</v>
      </c>
      <c r="Y450" s="1137" t="s">
        <v>1143</v>
      </c>
      <c r="Z450" s="805">
        <v>6</v>
      </c>
      <c r="AA450" s="1159"/>
      <c r="AB450" s="1135">
        <v>48</v>
      </c>
      <c r="AC450" s="1135">
        <v>4</v>
      </c>
      <c r="AD450" s="1135"/>
      <c r="AE450" s="1135" t="s">
        <v>381</v>
      </c>
      <c r="AF450" s="1160" t="s">
        <v>444</v>
      </c>
      <c r="AG450" s="1160" t="s">
        <v>444</v>
      </c>
      <c r="AH450" s="1160"/>
      <c r="AI450" s="1160"/>
      <c r="AJ450" s="1161"/>
      <c r="AK450" s="1162"/>
      <c r="AL450" s="1142"/>
    </row>
    <row r="451" spans="1:40" ht="14.25" customHeight="1">
      <c r="A451" s="1155"/>
      <c r="B451" s="1155"/>
      <c r="C451" s="1155"/>
      <c r="D451" s="1155"/>
      <c r="E451" s="1155"/>
      <c r="F451" s="1155"/>
      <c r="G451" s="1155"/>
      <c r="H451" s="1156" t="s">
        <v>325</v>
      </c>
      <c r="I451" s="1156" t="s">
        <v>325</v>
      </c>
      <c r="J451" s="1156"/>
      <c r="K451" s="1156"/>
      <c r="L451" s="1156"/>
      <c r="M451" s="1156"/>
      <c r="N451" s="1156"/>
      <c r="O451" s="1156"/>
      <c r="P451" s="1156"/>
      <c r="Q451" s="1156"/>
      <c r="R451" s="1156"/>
      <c r="S451" s="1156"/>
      <c r="T451" s="1156" t="s">
        <v>261</v>
      </c>
      <c r="U451" s="1155"/>
      <c r="V451" s="1163"/>
      <c r="W451" s="1163"/>
      <c r="X451" s="1969" t="s">
        <v>390</v>
      </c>
      <c r="Y451" s="1137" t="s">
        <v>1144</v>
      </c>
      <c r="Z451" s="1137">
        <v>6</v>
      </c>
      <c r="AA451" s="1135"/>
      <c r="AB451" s="1135">
        <v>52</v>
      </c>
      <c r="AC451" s="1135">
        <v>2</v>
      </c>
      <c r="AD451" s="1135"/>
      <c r="AE451" s="1135" t="s">
        <v>348</v>
      </c>
      <c r="AF451" s="1160" t="s">
        <v>444</v>
      </c>
      <c r="AG451" s="1160" t="s">
        <v>444</v>
      </c>
      <c r="AH451" s="1160"/>
      <c r="AI451" s="1160"/>
      <c r="AJ451" s="1161"/>
      <c r="AK451" s="1162"/>
      <c r="AL451" s="1142"/>
      <c r="AM451" s="114"/>
      <c r="AN451" s="114"/>
    </row>
    <row r="452" spans="1:40" s="14" customFormat="1" ht="18" customHeight="1" outlineLevel="1">
      <c r="A452" s="622">
        <v>96</v>
      </c>
      <c r="B452" s="622" t="s">
        <v>1119</v>
      </c>
      <c r="C452" s="622" t="s">
        <v>1145</v>
      </c>
      <c r="D452" s="622" t="s">
        <v>259</v>
      </c>
      <c r="E452" s="622">
        <v>8</v>
      </c>
      <c r="F452" s="622" t="s">
        <v>260</v>
      </c>
      <c r="G452" s="623"/>
      <c r="H452" s="622" t="s">
        <v>325</v>
      </c>
      <c r="I452" s="622"/>
      <c r="J452" s="622"/>
      <c r="K452" s="622"/>
      <c r="L452" s="622"/>
      <c r="M452" s="622"/>
      <c r="N452" s="622"/>
      <c r="O452" s="622"/>
      <c r="P452" s="622"/>
      <c r="Q452" s="622"/>
      <c r="R452" s="622"/>
      <c r="S452" s="622"/>
      <c r="T452" s="622" t="s">
        <v>261</v>
      </c>
      <c r="U452" s="622"/>
      <c r="V452" s="597"/>
      <c r="W452" s="597"/>
      <c r="X452" s="597" t="s">
        <v>1146</v>
      </c>
      <c r="Y452" s="597"/>
      <c r="Z452" s="622"/>
      <c r="AA452" s="622"/>
      <c r="AB452" s="595">
        <f>Z452*8+AA452</f>
        <v>0</v>
      </c>
      <c r="AC452" s="622"/>
      <c r="AD452" s="622"/>
      <c r="AE452" s="608"/>
      <c r="AF452" s="622"/>
      <c r="AG452" s="622"/>
      <c r="AH452" s="622"/>
      <c r="AI452" s="622"/>
      <c r="AJ452" s="622"/>
      <c r="AK452" s="125"/>
      <c r="AL452" s="108"/>
      <c r="AM452" s="49"/>
      <c r="AN452" s="49"/>
    </row>
    <row r="453" spans="1:40" s="14" customFormat="1" ht="30.75" customHeight="1" outlineLevel="1">
      <c r="A453" s="49"/>
      <c r="B453" s="49"/>
      <c r="C453" s="49"/>
      <c r="D453" s="49"/>
      <c r="E453" s="49"/>
      <c r="F453" s="49"/>
      <c r="G453" s="49"/>
      <c r="H453" s="80" t="s">
        <v>325</v>
      </c>
      <c r="I453" s="80"/>
      <c r="J453" s="80"/>
      <c r="K453" s="80"/>
      <c r="L453" s="80"/>
      <c r="M453" s="80"/>
      <c r="N453" s="80"/>
      <c r="O453" s="80"/>
      <c r="P453" s="80"/>
      <c r="Q453" s="80"/>
      <c r="R453" s="80"/>
      <c r="S453" s="80"/>
      <c r="T453" s="80" t="s">
        <v>261</v>
      </c>
      <c r="U453" s="49"/>
      <c r="V453" s="117"/>
      <c r="W453" s="117"/>
      <c r="X453" s="1970" t="s">
        <v>1147</v>
      </c>
      <c r="Y453" s="611" t="s">
        <v>1148</v>
      </c>
      <c r="Z453" s="625">
        <v>1</v>
      </c>
      <c r="AA453" s="595"/>
      <c r="AB453" s="701">
        <v>0</v>
      </c>
      <c r="AC453" s="701">
        <v>1</v>
      </c>
      <c r="AD453" s="595"/>
      <c r="AE453" s="600"/>
      <c r="AF453" s="599"/>
      <c r="AG453" s="599"/>
      <c r="AH453" s="599"/>
      <c r="AI453" s="599"/>
      <c r="AJ453" s="668"/>
      <c r="AK453" s="80"/>
      <c r="AL453" s="345"/>
    </row>
    <row r="454" spans="1:40" s="14" customFormat="1" ht="45.75" customHeight="1" outlineLevel="1">
      <c r="A454" s="49"/>
      <c r="B454" s="49"/>
      <c r="C454" s="49"/>
      <c r="D454" s="49"/>
      <c r="E454" s="49"/>
      <c r="F454" s="49"/>
      <c r="G454" s="49"/>
      <c r="H454" s="80" t="s">
        <v>325</v>
      </c>
      <c r="I454" s="80"/>
      <c r="J454" s="80"/>
      <c r="K454" s="80"/>
      <c r="L454" s="80"/>
      <c r="M454" s="80"/>
      <c r="N454" s="80"/>
      <c r="O454" s="80"/>
      <c r="P454" s="80"/>
      <c r="Q454" s="80"/>
      <c r="R454" s="80"/>
      <c r="S454" s="80"/>
      <c r="T454" s="80" t="s">
        <v>261</v>
      </c>
      <c r="U454" s="49"/>
      <c r="V454" s="117"/>
      <c r="W454" s="117"/>
      <c r="X454" s="1971" t="s">
        <v>1149</v>
      </c>
      <c r="Y454" s="611" t="s">
        <v>1150</v>
      </c>
      <c r="Z454" s="625">
        <v>1</v>
      </c>
      <c r="AA454" s="595"/>
      <c r="AB454" s="701">
        <v>1</v>
      </c>
      <c r="AC454" s="701">
        <v>1</v>
      </c>
      <c r="AD454" s="595"/>
      <c r="AE454" s="600"/>
      <c r="AF454" s="599"/>
      <c r="AG454" s="599"/>
      <c r="AH454" s="599"/>
      <c r="AI454" s="599"/>
      <c r="AJ454" s="668"/>
      <c r="AK454" s="80"/>
      <c r="AL454" s="345"/>
    </row>
    <row r="455" spans="1:40" s="14" customFormat="1" ht="30.75" customHeight="1" outlineLevel="1">
      <c r="A455" s="49"/>
      <c r="B455" s="49"/>
      <c r="C455" s="49"/>
      <c r="D455" s="49"/>
      <c r="E455" s="49"/>
      <c r="F455" s="49"/>
      <c r="G455" s="49"/>
      <c r="H455" s="80" t="s">
        <v>325</v>
      </c>
      <c r="I455" s="80"/>
      <c r="J455" s="80"/>
      <c r="K455" s="80"/>
      <c r="L455" s="80"/>
      <c r="M455" s="80"/>
      <c r="N455" s="80"/>
      <c r="O455" s="80"/>
      <c r="P455" s="80"/>
      <c r="Q455" s="80"/>
      <c r="R455" s="80"/>
      <c r="S455" s="80"/>
      <c r="T455" s="80" t="s">
        <v>261</v>
      </c>
      <c r="U455" s="49"/>
      <c r="V455" s="117"/>
      <c r="W455" s="117"/>
      <c r="X455" s="1972" t="s">
        <v>1151</v>
      </c>
      <c r="Y455" s="611" t="s">
        <v>1152</v>
      </c>
      <c r="Z455" s="625">
        <v>1</v>
      </c>
      <c r="AA455" s="595"/>
      <c r="AB455" s="701">
        <v>2</v>
      </c>
      <c r="AC455" s="701">
        <v>1</v>
      </c>
      <c r="AD455" s="595"/>
      <c r="AE455" s="600"/>
      <c r="AF455" s="599"/>
      <c r="AG455" s="599"/>
      <c r="AH455" s="599"/>
      <c r="AI455" s="599"/>
      <c r="AJ455" s="668"/>
      <c r="AK455" s="80"/>
      <c r="AL455" s="345"/>
    </row>
    <row r="456" spans="1:40" s="14" customFormat="1" ht="30.75" customHeight="1" outlineLevel="1">
      <c r="A456" s="49"/>
      <c r="B456" s="49"/>
      <c r="C456" s="49"/>
      <c r="D456" s="49"/>
      <c r="E456" s="49"/>
      <c r="F456" s="49"/>
      <c r="G456" s="49"/>
      <c r="H456" s="80" t="s">
        <v>325</v>
      </c>
      <c r="I456" s="80"/>
      <c r="J456" s="80"/>
      <c r="K456" s="80"/>
      <c r="L456" s="80"/>
      <c r="M456" s="80"/>
      <c r="N456" s="80"/>
      <c r="O456" s="80"/>
      <c r="P456" s="80"/>
      <c r="Q456" s="80"/>
      <c r="R456" s="80"/>
      <c r="S456" s="80"/>
      <c r="T456" s="80" t="s">
        <v>261</v>
      </c>
      <c r="U456" s="49"/>
      <c r="V456" s="117"/>
      <c r="W456" s="117"/>
      <c r="X456" s="1973" t="s">
        <v>1153</v>
      </c>
      <c r="Y456" s="611" t="s">
        <v>1154</v>
      </c>
      <c r="Z456" s="625">
        <v>1</v>
      </c>
      <c r="AA456" s="595"/>
      <c r="AB456" s="701">
        <v>3</v>
      </c>
      <c r="AC456" s="701">
        <v>1</v>
      </c>
      <c r="AD456" s="595"/>
      <c r="AE456" s="600"/>
      <c r="AF456" s="599"/>
      <c r="AG456" s="599"/>
      <c r="AH456" s="599"/>
      <c r="AI456" s="599"/>
      <c r="AJ456" s="668"/>
      <c r="AK456" s="80"/>
      <c r="AL456" s="345"/>
    </row>
    <row r="457" spans="1:40" s="14" customFormat="1" ht="45.75" customHeight="1" outlineLevel="1">
      <c r="A457" s="49"/>
      <c r="B457" s="49"/>
      <c r="C457" s="49"/>
      <c r="D457" s="49"/>
      <c r="E457" s="49"/>
      <c r="F457" s="49"/>
      <c r="G457" s="49"/>
      <c r="H457" s="80" t="s">
        <v>325</v>
      </c>
      <c r="I457" s="80"/>
      <c r="J457" s="80"/>
      <c r="K457" s="80"/>
      <c r="L457" s="80"/>
      <c r="M457" s="80"/>
      <c r="N457" s="80"/>
      <c r="O457" s="80"/>
      <c r="P457" s="80"/>
      <c r="Q457" s="80"/>
      <c r="R457" s="80"/>
      <c r="S457" s="80"/>
      <c r="T457" s="80" t="s">
        <v>261</v>
      </c>
      <c r="U457" s="49"/>
      <c r="V457" s="117"/>
      <c r="W457" s="117"/>
      <c r="X457" s="1974" t="s">
        <v>1155</v>
      </c>
      <c r="Y457" s="611" t="s">
        <v>1156</v>
      </c>
      <c r="Z457" s="625">
        <v>1</v>
      </c>
      <c r="AA457" s="595"/>
      <c r="AB457" s="701">
        <v>4</v>
      </c>
      <c r="AC457" s="701">
        <v>1</v>
      </c>
      <c r="AD457" s="595"/>
      <c r="AE457" s="600"/>
      <c r="AF457" s="599"/>
      <c r="AG457" s="599"/>
      <c r="AH457" s="599"/>
      <c r="AI457" s="599"/>
      <c r="AJ457" s="668"/>
      <c r="AK457" s="80"/>
      <c r="AL457" s="345"/>
    </row>
    <row r="458" spans="1:40" s="14" customFormat="1" ht="45.75" customHeight="1" outlineLevel="1">
      <c r="A458" s="49"/>
      <c r="B458" s="49"/>
      <c r="C458" s="49"/>
      <c r="D458" s="49"/>
      <c r="E458" s="49"/>
      <c r="F458" s="49"/>
      <c r="G458" s="49"/>
      <c r="H458" s="80" t="s">
        <v>325</v>
      </c>
      <c r="I458" s="80"/>
      <c r="J458" s="80"/>
      <c r="K458" s="80"/>
      <c r="L458" s="80"/>
      <c r="M458" s="80"/>
      <c r="N458" s="80"/>
      <c r="O458" s="80"/>
      <c r="P458" s="80"/>
      <c r="Q458" s="80"/>
      <c r="R458" s="80"/>
      <c r="S458" s="80"/>
      <c r="T458" s="80" t="s">
        <v>261</v>
      </c>
      <c r="U458" s="49"/>
      <c r="V458" s="117"/>
      <c r="W458" s="117"/>
      <c r="X458" s="1975" t="s">
        <v>1157</v>
      </c>
      <c r="Y458" s="611" t="s">
        <v>1158</v>
      </c>
      <c r="Z458" s="625">
        <v>1</v>
      </c>
      <c r="AA458" s="595"/>
      <c r="AB458" s="701">
        <v>5</v>
      </c>
      <c r="AC458" s="701">
        <v>1</v>
      </c>
      <c r="AD458" s="595"/>
      <c r="AE458" s="600"/>
      <c r="AF458" s="599"/>
      <c r="AG458" s="599"/>
      <c r="AH458" s="599"/>
      <c r="AI458" s="599"/>
      <c r="AJ458" s="668"/>
      <c r="AK458" s="80"/>
      <c r="AL458" s="345"/>
    </row>
    <row r="459" spans="1:40" s="14" customFormat="1" ht="45.75" customHeight="1" outlineLevel="1">
      <c r="A459" s="49"/>
      <c r="B459" s="49"/>
      <c r="C459" s="49"/>
      <c r="D459" s="49"/>
      <c r="E459" s="49"/>
      <c r="F459" s="49"/>
      <c r="G459" s="49"/>
      <c r="H459" s="80" t="s">
        <v>325</v>
      </c>
      <c r="I459" s="80"/>
      <c r="J459" s="80"/>
      <c r="K459" s="80"/>
      <c r="L459" s="80"/>
      <c r="M459" s="80"/>
      <c r="N459" s="80"/>
      <c r="O459" s="80"/>
      <c r="P459" s="80"/>
      <c r="Q459" s="80"/>
      <c r="R459" s="80"/>
      <c r="S459" s="80"/>
      <c r="T459" s="80" t="s">
        <v>261</v>
      </c>
      <c r="U459" s="49"/>
      <c r="V459" s="117"/>
      <c r="W459" s="117"/>
      <c r="X459" s="1976" t="s">
        <v>1159</v>
      </c>
      <c r="Y459" s="611" t="s">
        <v>1160</v>
      </c>
      <c r="Z459" s="625">
        <v>1</v>
      </c>
      <c r="AA459" s="595"/>
      <c r="AB459" s="701">
        <v>6</v>
      </c>
      <c r="AC459" s="701">
        <v>1</v>
      </c>
      <c r="AD459" s="595"/>
      <c r="AE459" s="600"/>
      <c r="AF459" s="599"/>
      <c r="AG459" s="599"/>
      <c r="AH459" s="599"/>
      <c r="AI459" s="599"/>
      <c r="AJ459" s="668"/>
      <c r="AK459" s="80"/>
      <c r="AL459" s="345"/>
    </row>
    <row r="460" spans="1:40" s="14" customFormat="1" ht="45.75" customHeight="1" outlineLevel="1">
      <c r="A460" s="49"/>
      <c r="B460" s="49"/>
      <c r="C460" s="49"/>
      <c r="D460" s="49"/>
      <c r="E460" s="49"/>
      <c r="F460" s="49"/>
      <c r="G460" s="49"/>
      <c r="H460" s="80" t="s">
        <v>325</v>
      </c>
      <c r="I460" s="80"/>
      <c r="J460" s="80"/>
      <c r="K460" s="80"/>
      <c r="L460" s="80"/>
      <c r="M460" s="80"/>
      <c r="N460" s="80"/>
      <c r="O460" s="80"/>
      <c r="P460" s="80"/>
      <c r="Q460" s="80"/>
      <c r="R460" s="80"/>
      <c r="S460" s="80"/>
      <c r="T460" s="80" t="s">
        <v>261</v>
      </c>
      <c r="U460" s="49"/>
      <c r="V460" s="117"/>
      <c r="W460" s="117"/>
      <c r="X460" s="1977" t="s">
        <v>1161</v>
      </c>
      <c r="Y460" s="611" t="s">
        <v>1162</v>
      </c>
      <c r="Z460" s="625">
        <v>1</v>
      </c>
      <c r="AA460" s="595"/>
      <c r="AB460" s="701">
        <v>7</v>
      </c>
      <c r="AC460" s="701">
        <v>1</v>
      </c>
      <c r="AD460" s="595"/>
      <c r="AE460" s="600"/>
      <c r="AF460" s="599"/>
      <c r="AG460" s="599"/>
      <c r="AH460" s="599"/>
      <c r="AI460" s="599"/>
      <c r="AJ460" s="668"/>
      <c r="AK460" s="80"/>
      <c r="AL460" s="345"/>
    </row>
    <row r="461" spans="1:40" s="14" customFormat="1" ht="60.75" customHeight="1" outlineLevel="1">
      <c r="A461" s="49"/>
      <c r="B461" s="49"/>
      <c r="C461" s="49"/>
      <c r="D461" s="49"/>
      <c r="E461" s="49"/>
      <c r="F461" s="49"/>
      <c r="G461" s="49"/>
      <c r="H461" s="80" t="s">
        <v>325</v>
      </c>
      <c r="I461" s="80"/>
      <c r="J461" s="80"/>
      <c r="K461" s="80"/>
      <c r="L461" s="80"/>
      <c r="M461" s="80"/>
      <c r="N461" s="80"/>
      <c r="O461" s="80"/>
      <c r="P461" s="80"/>
      <c r="Q461" s="80"/>
      <c r="R461" s="80"/>
      <c r="S461" s="80"/>
      <c r="T461" s="80" t="s">
        <v>261</v>
      </c>
      <c r="U461" s="49"/>
      <c r="V461" s="117"/>
      <c r="W461" s="117"/>
      <c r="X461" s="1978" t="s">
        <v>1163</v>
      </c>
      <c r="Y461" s="611" t="s">
        <v>1164</v>
      </c>
      <c r="Z461" s="625">
        <v>2</v>
      </c>
      <c r="AA461" s="595"/>
      <c r="AB461" s="701">
        <v>8</v>
      </c>
      <c r="AC461" s="701">
        <v>1</v>
      </c>
      <c r="AD461" s="595"/>
      <c r="AE461" s="600"/>
      <c r="AF461" s="599"/>
      <c r="AG461" s="599"/>
      <c r="AH461" s="599"/>
      <c r="AI461" s="599"/>
      <c r="AJ461" s="668"/>
      <c r="AK461" s="80"/>
      <c r="AL461" s="345"/>
    </row>
    <row r="462" spans="1:40" s="14" customFormat="1" ht="45.75" customHeight="1" outlineLevel="1">
      <c r="A462" s="49"/>
      <c r="B462" s="49"/>
      <c r="C462" s="49"/>
      <c r="D462" s="49"/>
      <c r="E462" s="49"/>
      <c r="F462" s="49"/>
      <c r="G462" s="49"/>
      <c r="H462" s="80" t="s">
        <v>325</v>
      </c>
      <c r="I462" s="80"/>
      <c r="J462" s="80"/>
      <c r="K462" s="80"/>
      <c r="L462" s="80"/>
      <c r="M462" s="80"/>
      <c r="N462" s="80"/>
      <c r="O462" s="80"/>
      <c r="P462" s="80"/>
      <c r="Q462" s="80"/>
      <c r="R462" s="80"/>
      <c r="S462" s="80"/>
      <c r="T462" s="80" t="s">
        <v>261</v>
      </c>
      <c r="U462" s="49"/>
      <c r="V462" s="117"/>
      <c r="W462" s="117"/>
      <c r="X462" s="1979" t="s">
        <v>1165</v>
      </c>
      <c r="Y462" s="611" t="s">
        <v>1166</v>
      </c>
      <c r="Z462" s="625">
        <v>2</v>
      </c>
      <c r="AA462" s="595"/>
      <c r="AB462" s="701">
        <v>9</v>
      </c>
      <c r="AC462" s="701">
        <v>1</v>
      </c>
      <c r="AD462" s="595"/>
      <c r="AE462" s="600"/>
      <c r="AF462" s="599"/>
      <c r="AG462" s="599"/>
      <c r="AH462" s="599"/>
      <c r="AI462" s="599"/>
      <c r="AJ462" s="668"/>
      <c r="AK462" s="80"/>
      <c r="AL462" s="345"/>
    </row>
    <row r="463" spans="1:40" s="14" customFormat="1" ht="45.75" customHeight="1" outlineLevel="1">
      <c r="A463" s="49"/>
      <c r="B463" s="49"/>
      <c r="C463" s="49"/>
      <c r="D463" s="49"/>
      <c r="E463" s="49"/>
      <c r="F463" s="49"/>
      <c r="G463" s="49"/>
      <c r="H463" s="80" t="s">
        <v>325</v>
      </c>
      <c r="I463" s="80"/>
      <c r="J463" s="80"/>
      <c r="K463" s="80"/>
      <c r="L463" s="80"/>
      <c r="M463" s="80"/>
      <c r="N463" s="80"/>
      <c r="O463" s="80"/>
      <c r="P463" s="80"/>
      <c r="Q463" s="80"/>
      <c r="R463" s="80"/>
      <c r="S463" s="80"/>
      <c r="T463" s="80" t="s">
        <v>261</v>
      </c>
      <c r="U463" s="49"/>
      <c r="V463" s="117"/>
      <c r="W463" s="117"/>
      <c r="X463" s="1980" t="s">
        <v>1167</v>
      </c>
      <c r="Y463" s="611" t="s">
        <v>1168</v>
      </c>
      <c r="Z463" s="625">
        <v>2</v>
      </c>
      <c r="AA463" s="595"/>
      <c r="AB463" s="701">
        <v>10</v>
      </c>
      <c r="AC463" s="701">
        <v>1</v>
      </c>
      <c r="AD463" s="595"/>
      <c r="AE463" s="600"/>
      <c r="AF463" s="599"/>
      <c r="AG463" s="599"/>
      <c r="AH463" s="599"/>
      <c r="AI463" s="599"/>
      <c r="AJ463" s="668"/>
      <c r="AK463" s="80"/>
      <c r="AL463" s="345"/>
    </row>
    <row r="464" spans="1:40" s="14" customFormat="1" ht="45.75" customHeight="1" outlineLevel="1">
      <c r="A464" s="49"/>
      <c r="B464" s="49"/>
      <c r="C464" s="49"/>
      <c r="D464" s="49"/>
      <c r="E464" s="49"/>
      <c r="F464" s="49"/>
      <c r="G464" s="49"/>
      <c r="H464" s="80" t="s">
        <v>325</v>
      </c>
      <c r="I464" s="80"/>
      <c r="J464" s="80"/>
      <c r="K464" s="80"/>
      <c r="L464" s="80"/>
      <c r="M464" s="80"/>
      <c r="N464" s="80"/>
      <c r="O464" s="80"/>
      <c r="P464" s="80"/>
      <c r="Q464" s="80"/>
      <c r="R464" s="80"/>
      <c r="S464" s="80"/>
      <c r="T464" s="80" t="s">
        <v>261</v>
      </c>
      <c r="U464" s="49"/>
      <c r="V464" s="117"/>
      <c r="W464" s="117"/>
      <c r="X464" s="1981" t="s">
        <v>1169</v>
      </c>
      <c r="Y464" s="611" t="s">
        <v>1170</v>
      </c>
      <c r="Z464" s="625">
        <v>2</v>
      </c>
      <c r="AA464" s="595"/>
      <c r="AB464" s="701">
        <v>11</v>
      </c>
      <c r="AC464" s="701">
        <v>1</v>
      </c>
      <c r="AD464" s="595"/>
      <c r="AE464" s="600"/>
      <c r="AF464" s="599"/>
      <c r="AG464" s="599"/>
      <c r="AH464" s="599"/>
      <c r="AI464" s="599"/>
      <c r="AJ464" s="668"/>
      <c r="AK464" s="80"/>
      <c r="AL464" s="345"/>
    </row>
    <row r="465" spans="1:38" s="14" customFormat="1" ht="45.75" customHeight="1" outlineLevel="1">
      <c r="A465" s="49"/>
      <c r="B465" s="49"/>
      <c r="C465" s="49"/>
      <c r="D465" s="49"/>
      <c r="E465" s="49"/>
      <c r="F465" s="49"/>
      <c r="G465" s="49"/>
      <c r="H465" s="80" t="s">
        <v>325</v>
      </c>
      <c r="I465" s="80"/>
      <c r="J465" s="80"/>
      <c r="K465" s="80"/>
      <c r="L465" s="80"/>
      <c r="M465" s="80"/>
      <c r="N465" s="80"/>
      <c r="O465" s="80"/>
      <c r="P465" s="80"/>
      <c r="Q465" s="80"/>
      <c r="R465" s="80"/>
      <c r="S465" s="80"/>
      <c r="T465" s="80" t="s">
        <v>261</v>
      </c>
      <c r="U465" s="49"/>
      <c r="V465" s="117"/>
      <c r="W465" s="117"/>
      <c r="X465" s="1982" t="s">
        <v>1171</v>
      </c>
      <c r="Y465" s="611" t="s">
        <v>1172</v>
      </c>
      <c r="Z465" s="625">
        <v>2</v>
      </c>
      <c r="AA465" s="595"/>
      <c r="AB465" s="701">
        <v>12</v>
      </c>
      <c r="AC465" s="701">
        <v>1</v>
      </c>
      <c r="AD465" s="595"/>
      <c r="AE465" s="600"/>
      <c r="AF465" s="599"/>
      <c r="AG465" s="599"/>
      <c r="AH465" s="599"/>
      <c r="AI465" s="599"/>
      <c r="AJ465" s="668"/>
      <c r="AK465" s="80"/>
      <c r="AL465" s="345"/>
    </row>
    <row r="466" spans="1:38" s="14" customFormat="1" ht="60.75" customHeight="1" outlineLevel="1">
      <c r="A466" s="49"/>
      <c r="B466" s="49"/>
      <c r="C466" s="49"/>
      <c r="D466" s="49"/>
      <c r="E466" s="49"/>
      <c r="F466" s="49"/>
      <c r="G466" s="49"/>
      <c r="H466" s="80" t="s">
        <v>325</v>
      </c>
      <c r="I466" s="80"/>
      <c r="J466" s="80"/>
      <c r="K466" s="80"/>
      <c r="L466" s="80"/>
      <c r="M466" s="80"/>
      <c r="N466" s="80"/>
      <c r="O466" s="80"/>
      <c r="P466" s="80"/>
      <c r="Q466" s="80"/>
      <c r="R466" s="80"/>
      <c r="S466" s="80"/>
      <c r="T466" s="80" t="s">
        <v>261</v>
      </c>
      <c r="U466" s="49"/>
      <c r="V466" s="117"/>
      <c r="W466" s="117"/>
      <c r="X466" s="1983" t="s">
        <v>1173</v>
      </c>
      <c r="Y466" s="611" t="s">
        <v>1174</v>
      </c>
      <c r="Z466" s="625">
        <v>2</v>
      </c>
      <c r="AA466" s="595"/>
      <c r="AB466" s="701">
        <v>13</v>
      </c>
      <c r="AC466" s="701">
        <v>1</v>
      </c>
      <c r="AD466" s="595"/>
      <c r="AE466" s="600"/>
      <c r="AF466" s="599"/>
      <c r="AG466" s="599"/>
      <c r="AH466" s="599"/>
      <c r="AI466" s="599"/>
      <c r="AJ466" s="668"/>
      <c r="AK466" s="80"/>
      <c r="AL466" s="345"/>
    </row>
    <row r="467" spans="1:38" s="14" customFormat="1" ht="45.75" customHeight="1" outlineLevel="1">
      <c r="A467" s="49"/>
      <c r="B467" s="49"/>
      <c r="C467" s="49"/>
      <c r="D467" s="49"/>
      <c r="E467" s="49"/>
      <c r="F467" s="49"/>
      <c r="G467" s="49"/>
      <c r="H467" s="80" t="s">
        <v>325</v>
      </c>
      <c r="I467" s="80"/>
      <c r="J467" s="80"/>
      <c r="K467" s="80"/>
      <c r="L467" s="80"/>
      <c r="M467" s="80"/>
      <c r="N467" s="80"/>
      <c r="O467" s="80"/>
      <c r="P467" s="80"/>
      <c r="Q467" s="80"/>
      <c r="R467" s="80"/>
      <c r="S467" s="80"/>
      <c r="T467" s="80" t="s">
        <v>261</v>
      </c>
      <c r="U467" s="49"/>
      <c r="V467" s="117"/>
      <c r="W467" s="117"/>
      <c r="X467" s="1984" t="s">
        <v>1175</v>
      </c>
      <c r="Y467" s="611" t="s">
        <v>1176</v>
      </c>
      <c r="Z467" s="625">
        <v>2</v>
      </c>
      <c r="AA467" s="595"/>
      <c r="AB467" s="701">
        <v>14</v>
      </c>
      <c r="AC467" s="701">
        <v>1</v>
      </c>
      <c r="AD467" s="595"/>
      <c r="AE467" s="600"/>
      <c r="AF467" s="599"/>
      <c r="AG467" s="599"/>
      <c r="AH467" s="599"/>
      <c r="AI467" s="599"/>
      <c r="AJ467" s="668"/>
      <c r="AK467" s="80"/>
      <c r="AL467" s="345"/>
    </row>
    <row r="468" spans="1:38" s="14" customFormat="1" ht="45.75" customHeight="1" outlineLevel="1">
      <c r="A468" s="49"/>
      <c r="B468" s="49"/>
      <c r="C468" s="49"/>
      <c r="D468" s="49"/>
      <c r="E468" s="49"/>
      <c r="F468" s="49"/>
      <c r="G468" s="49"/>
      <c r="H468" s="80" t="s">
        <v>325</v>
      </c>
      <c r="I468" s="80"/>
      <c r="J468" s="80"/>
      <c r="K468" s="80"/>
      <c r="L468" s="80"/>
      <c r="M468" s="80"/>
      <c r="N468" s="80"/>
      <c r="O468" s="80"/>
      <c r="P468" s="80"/>
      <c r="Q468" s="80"/>
      <c r="R468" s="80"/>
      <c r="S468" s="80"/>
      <c r="T468" s="80" t="s">
        <v>261</v>
      </c>
      <c r="U468" s="49"/>
      <c r="V468" s="117"/>
      <c r="W468" s="117"/>
      <c r="X468" s="1985" t="s">
        <v>1177</v>
      </c>
      <c r="Y468" s="611" t="s">
        <v>1178</v>
      </c>
      <c r="Z468" s="625">
        <v>2</v>
      </c>
      <c r="AA468" s="595"/>
      <c r="AB468" s="701">
        <v>15</v>
      </c>
      <c r="AC468" s="701">
        <v>1</v>
      </c>
      <c r="AD468" s="595"/>
      <c r="AE468" s="600"/>
      <c r="AF468" s="599"/>
      <c r="AG468" s="599"/>
      <c r="AH468" s="599"/>
      <c r="AI468" s="599"/>
      <c r="AJ468" s="668"/>
      <c r="AK468" s="80"/>
      <c r="AL468" s="345"/>
    </row>
    <row r="469" spans="1:38" s="14" customFormat="1" ht="30.75" customHeight="1" outlineLevel="1">
      <c r="A469" s="49"/>
      <c r="B469" s="49"/>
      <c r="C469" s="49"/>
      <c r="D469" s="49"/>
      <c r="E469" s="49"/>
      <c r="F469" s="49"/>
      <c r="G469" s="49"/>
      <c r="H469" s="80" t="s">
        <v>325</v>
      </c>
      <c r="I469" s="80"/>
      <c r="J469" s="80"/>
      <c r="K469" s="80"/>
      <c r="L469" s="80"/>
      <c r="M469" s="80"/>
      <c r="N469" s="80"/>
      <c r="O469" s="80"/>
      <c r="P469" s="80"/>
      <c r="Q469" s="80"/>
      <c r="R469" s="80"/>
      <c r="S469" s="80"/>
      <c r="T469" s="80" t="s">
        <v>261</v>
      </c>
      <c r="U469" s="49"/>
      <c r="V469" s="117"/>
      <c r="W469" s="117"/>
      <c r="X469" s="1986" t="s">
        <v>1179</v>
      </c>
      <c r="Y469" s="611" t="s">
        <v>1180</v>
      </c>
      <c r="Z469" s="625">
        <v>3</v>
      </c>
      <c r="AA469" s="595"/>
      <c r="AB469" s="701">
        <v>16</v>
      </c>
      <c r="AC469" s="701">
        <v>1</v>
      </c>
      <c r="AD469" s="595"/>
      <c r="AE469" s="600"/>
      <c r="AF469" s="599"/>
      <c r="AG469" s="599"/>
      <c r="AH469" s="599"/>
      <c r="AI469" s="599"/>
      <c r="AJ469" s="668"/>
      <c r="AK469" s="80"/>
      <c r="AL469" s="345"/>
    </row>
    <row r="470" spans="1:38" s="14" customFormat="1" ht="30.75" customHeight="1" outlineLevel="1">
      <c r="A470" s="49"/>
      <c r="B470" s="49"/>
      <c r="C470" s="49"/>
      <c r="D470" s="49"/>
      <c r="E470" s="49"/>
      <c r="F470" s="49"/>
      <c r="G470" s="49"/>
      <c r="H470" s="80" t="s">
        <v>325</v>
      </c>
      <c r="I470" s="80"/>
      <c r="J470" s="80"/>
      <c r="K470" s="80"/>
      <c r="L470" s="80"/>
      <c r="M470" s="80"/>
      <c r="N470" s="80"/>
      <c r="O470" s="80"/>
      <c r="P470" s="80"/>
      <c r="Q470" s="80"/>
      <c r="R470" s="80"/>
      <c r="S470" s="80"/>
      <c r="T470" s="80" t="s">
        <v>261</v>
      </c>
      <c r="U470" s="49"/>
      <c r="V470" s="117"/>
      <c r="W470" s="117"/>
      <c r="X470" s="1987" t="s">
        <v>1181</v>
      </c>
      <c r="Y470" s="611" t="s">
        <v>1182</v>
      </c>
      <c r="Z470" s="625">
        <v>3</v>
      </c>
      <c r="AA470" s="595"/>
      <c r="AB470" s="701">
        <v>17</v>
      </c>
      <c r="AC470" s="701">
        <v>1</v>
      </c>
      <c r="AD470" s="595"/>
      <c r="AE470" s="600"/>
      <c r="AF470" s="599"/>
      <c r="AG470" s="599"/>
      <c r="AH470" s="599"/>
      <c r="AI470" s="599"/>
      <c r="AJ470" s="668"/>
      <c r="AK470" s="80"/>
      <c r="AL470" s="345"/>
    </row>
    <row r="471" spans="1:38" s="14" customFormat="1" ht="45.75" customHeight="1" outlineLevel="1">
      <c r="A471" s="49"/>
      <c r="B471" s="49"/>
      <c r="C471" s="49"/>
      <c r="D471" s="49"/>
      <c r="E471" s="49"/>
      <c r="F471" s="49"/>
      <c r="G471" s="49"/>
      <c r="H471" s="80" t="s">
        <v>325</v>
      </c>
      <c r="I471" s="80"/>
      <c r="J471" s="80"/>
      <c r="K471" s="80"/>
      <c r="L471" s="80"/>
      <c r="M471" s="80"/>
      <c r="N471" s="80"/>
      <c r="O471" s="80"/>
      <c r="P471" s="80"/>
      <c r="Q471" s="80"/>
      <c r="R471" s="80"/>
      <c r="S471" s="80"/>
      <c r="T471" s="80" t="s">
        <v>261</v>
      </c>
      <c r="U471" s="49"/>
      <c r="V471" s="117"/>
      <c r="W471" s="117"/>
      <c r="X471" s="1988" t="s">
        <v>1183</v>
      </c>
      <c r="Y471" s="611" t="s">
        <v>1184</v>
      </c>
      <c r="Z471" s="625">
        <v>3</v>
      </c>
      <c r="AA471" s="595"/>
      <c r="AB471" s="701">
        <v>18</v>
      </c>
      <c r="AC471" s="701">
        <v>1</v>
      </c>
      <c r="AD471" s="595"/>
      <c r="AE471" s="600"/>
      <c r="AF471" s="599"/>
      <c r="AG471" s="599"/>
      <c r="AH471" s="599"/>
      <c r="AI471" s="599"/>
      <c r="AJ471" s="668"/>
      <c r="AK471" s="80"/>
      <c r="AL471" s="345"/>
    </row>
    <row r="472" spans="1:38" s="14" customFormat="1" ht="45.75" customHeight="1" outlineLevel="1">
      <c r="A472" s="49"/>
      <c r="B472" s="49"/>
      <c r="C472" s="49"/>
      <c r="D472" s="49"/>
      <c r="E472" s="49"/>
      <c r="F472" s="49"/>
      <c r="G472" s="49"/>
      <c r="H472" s="80" t="s">
        <v>325</v>
      </c>
      <c r="I472" s="80"/>
      <c r="J472" s="80"/>
      <c r="K472" s="80"/>
      <c r="L472" s="80"/>
      <c r="M472" s="80"/>
      <c r="N472" s="80"/>
      <c r="O472" s="80"/>
      <c r="P472" s="80"/>
      <c r="Q472" s="80"/>
      <c r="R472" s="80"/>
      <c r="S472" s="80"/>
      <c r="T472" s="80" t="s">
        <v>261</v>
      </c>
      <c r="U472" s="49"/>
      <c r="V472" s="117"/>
      <c r="W472" s="117"/>
      <c r="X472" s="1989" t="s">
        <v>1185</v>
      </c>
      <c r="Y472" s="611" t="s">
        <v>1186</v>
      </c>
      <c r="Z472" s="625">
        <v>3</v>
      </c>
      <c r="AA472" s="595"/>
      <c r="AB472" s="701">
        <v>19</v>
      </c>
      <c r="AC472" s="701">
        <v>1</v>
      </c>
      <c r="AD472" s="595"/>
      <c r="AE472" s="600"/>
      <c r="AF472" s="599"/>
      <c r="AG472" s="599"/>
      <c r="AH472" s="599"/>
      <c r="AI472" s="599"/>
      <c r="AJ472" s="668"/>
      <c r="AK472" s="80"/>
      <c r="AL472" s="345"/>
    </row>
    <row r="473" spans="1:38" s="14" customFormat="1" ht="45.75" customHeight="1" outlineLevel="1">
      <c r="A473" s="49"/>
      <c r="B473" s="49"/>
      <c r="C473" s="49"/>
      <c r="D473" s="49"/>
      <c r="E473" s="49"/>
      <c r="F473" s="49"/>
      <c r="G473" s="49"/>
      <c r="H473" s="80" t="s">
        <v>325</v>
      </c>
      <c r="I473" s="80"/>
      <c r="J473" s="80"/>
      <c r="K473" s="80"/>
      <c r="L473" s="80"/>
      <c r="M473" s="80"/>
      <c r="N473" s="80"/>
      <c r="O473" s="80"/>
      <c r="P473" s="80"/>
      <c r="Q473" s="80"/>
      <c r="R473" s="80"/>
      <c r="S473" s="80"/>
      <c r="T473" s="80" t="s">
        <v>261</v>
      </c>
      <c r="U473" s="49"/>
      <c r="V473" s="117"/>
      <c r="W473" s="117"/>
      <c r="X473" s="1990" t="s">
        <v>1187</v>
      </c>
      <c r="Y473" s="702" t="s">
        <v>1188</v>
      </c>
      <c r="Z473" s="625">
        <v>3</v>
      </c>
      <c r="AA473" s="595"/>
      <c r="AB473" s="701">
        <v>20</v>
      </c>
      <c r="AC473" s="701">
        <v>1</v>
      </c>
      <c r="AD473" s="595"/>
      <c r="AE473" s="600"/>
      <c r="AF473" s="599"/>
      <c r="AG473" s="599"/>
      <c r="AH473" s="599"/>
      <c r="AI473" s="599"/>
      <c r="AJ473" s="668"/>
      <c r="AK473" s="80"/>
      <c r="AL473" s="345"/>
    </row>
    <row r="474" spans="1:38" s="14" customFormat="1" ht="45.75" customHeight="1" outlineLevel="1">
      <c r="A474" s="49"/>
      <c r="B474" s="49"/>
      <c r="C474" s="49"/>
      <c r="D474" s="49"/>
      <c r="E474" s="49"/>
      <c r="F474" s="49"/>
      <c r="G474" s="49"/>
      <c r="H474" s="80" t="s">
        <v>325</v>
      </c>
      <c r="I474" s="80"/>
      <c r="J474" s="80"/>
      <c r="K474" s="80"/>
      <c r="L474" s="80"/>
      <c r="M474" s="80"/>
      <c r="N474" s="80"/>
      <c r="O474" s="80"/>
      <c r="P474" s="80"/>
      <c r="Q474" s="80"/>
      <c r="R474" s="80"/>
      <c r="S474" s="80"/>
      <c r="T474" s="80" t="s">
        <v>261</v>
      </c>
      <c r="U474" s="49"/>
      <c r="V474" s="117"/>
      <c r="W474" s="117"/>
      <c r="X474" s="1991" t="s">
        <v>1189</v>
      </c>
      <c r="Y474" s="611" t="s">
        <v>1190</v>
      </c>
      <c r="Z474" s="625">
        <v>3</v>
      </c>
      <c r="AA474" s="595"/>
      <c r="AB474" s="701">
        <v>21</v>
      </c>
      <c r="AC474" s="701">
        <v>1</v>
      </c>
      <c r="AD474" s="595"/>
      <c r="AE474" s="600"/>
      <c r="AF474" s="599"/>
      <c r="AG474" s="599"/>
      <c r="AH474" s="599"/>
      <c r="AI474" s="599"/>
      <c r="AJ474" s="668"/>
      <c r="AK474" s="80"/>
      <c r="AL474" s="345"/>
    </row>
    <row r="475" spans="1:38" s="14" customFormat="1" ht="45.75" customHeight="1" outlineLevel="1">
      <c r="A475" s="49"/>
      <c r="B475" s="49"/>
      <c r="C475" s="49"/>
      <c r="D475" s="49"/>
      <c r="E475" s="49"/>
      <c r="F475" s="49"/>
      <c r="G475" s="49"/>
      <c r="H475" s="80" t="s">
        <v>325</v>
      </c>
      <c r="I475" s="80"/>
      <c r="J475" s="80"/>
      <c r="K475" s="80"/>
      <c r="L475" s="80"/>
      <c r="M475" s="80"/>
      <c r="N475" s="80"/>
      <c r="O475" s="80"/>
      <c r="P475" s="80"/>
      <c r="Q475" s="80"/>
      <c r="R475" s="80"/>
      <c r="S475" s="80"/>
      <c r="T475" s="80" t="s">
        <v>261</v>
      </c>
      <c r="U475" s="49"/>
      <c r="V475" s="117"/>
      <c r="W475" s="117"/>
      <c r="X475" s="1992" t="s">
        <v>1191</v>
      </c>
      <c r="Y475" s="611" t="s">
        <v>1192</v>
      </c>
      <c r="Z475" s="625">
        <v>3</v>
      </c>
      <c r="AA475" s="595"/>
      <c r="AB475" s="701">
        <v>22</v>
      </c>
      <c r="AC475" s="701">
        <v>1</v>
      </c>
      <c r="AD475" s="595"/>
      <c r="AE475" s="600"/>
      <c r="AF475" s="599"/>
      <c r="AG475" s="599"/>
      <c r="AH475" s="599"/>
      <c r="AI475" s="599"/>
      <c r="AJ475" s="668"/>
      <c r="AK475" s="80"/>
      <c r="AL475" s="345"/>
    </row>
    <row r="476" spans="1:38" s="14" customFormat="1" ht="45.75" customHeight="1" outlineLevel="1">
      <c r="A476" s="49"/>
      <c r="B476" s="49"/>
      <c r="C476" s="49"/>
      <c r="D476" s="49"/>
      <c r="E476" s="49"/>
      <c r="F476" s="49"/>
      <c r="G476" s="49"/>
      <c r="H476" s="80" t="s">
        <v>325</v>
      </c>
      <c r="I476" s="80"/>
      <c r="J476" s="80"/>
      <c r="K476" s="80"/>
      <c r="L476" s="80"/>
      <c r="M476" s="80"/>
      <c r="N476" s="80"/>
      <c r="O476" s="80"/>
      <c r="P476" s="80"/>
      <c r="Q476" s="80"/>
      <c r="R476" s="80"/>
      <c r="S476" s="80"/>
      <c r="T476" s="80" t="s">
        <v>261</v>
      </c>
      <c r="U476" s="49"/>
      <c r="V476" s="117"/>
      <c r="W476" s="117"/>
      <c r="X476" s="1993" t="s">
        <v>1193</v>
      </c>
      <c r="Y476" s="611" t="s">
        <v>1194</v>
      </c>
      <c r="Z476" s="625">
        <v>3</v>
      </c>
      <c r="AA476" s="595"/>
      <c r="AB476" s="701">
        <v>23</v>
      </c>
      <c r="AC476" s="701">
        <v>1</v>
      </c>
      <c r="AD476" s="595"/>
      <c r="AE476" s="600"/>
      <c r="AF476" s="599"/>
      <c r="AG476" s="599"/>
      <c r="AH476" s="599"/>
      <c r="AI476" s="599"/>
      <c r="AJ476" s="668"/>
      <c r="AK476" s="80"/>
      <c r="AL476" s="345"/>
    </row>
    <row r="477" spans="1:38" s="14" customFormat="1" ht="45.75" customHeight="1" outlineLevel="1">
      <c r="A477" s="49"/>
      <c r="B477" s="49"/>
      <c r="C477" s="49"/>
      <c r="D477" s="49"/>
      <c r="E477" s="49"/>
      <c r="F477" s="49"/>
      <c r="G477" s="49"/>
      <c r="H477" s="80" t="s">
        <v>325</v>
      </c>
      <c r="I477" s="80"/>
      <c r="J477" s="80"/>
      <c r="K477" s="80"/>
      <c r="L477" s="80"/>
      <c r="M477" s="80"/>
      <c r="N477" s="80"/>
      <c r="O477" s="80"/>
      <c r="P477" s="80"/>
      <c r="Q477" s="80"/>
      <c r="R477" s="80"/>
      <c r="S477" s="80"/>
      <c r="T477" s="80" t="s">
        <v>261</v>
      </c>
      <c r="U477" s="49"/>
      <c r="V477" s="117"/>
      <c r="W477" s="117"/>
      <c r="X477" s="1994" t="s">
        <v>1195</v>
      </c>
      <c r="Y477" s="702" t="s">
        <v>1196</v>
      </c>
      <c r="Z477" s="625">
        <v>4</v>
      </c>
      <c r="AA477" s="595"/>
      <c r="AB477" s="701">
        <v>24</v>
      </c>
      <c r="AC477" s="701">
        <v>1</v>
      </c>
      <c r="AD477" s="595"/>
      <c r="AE477" s="600"/>
      <c r="AF477" s="599"/>
      <c r="AG477" s="599"/>
      <c r="AH477" s="599"/>
      <c r="AI477" s="599"/>
      <c r="AJ477" s="668"/>
      <c r="AK477" s="80"/>
      <c r="AL477" s="345"/>
    </row>
    <row r="478" spans="1:38" s="14" customFormat="1" ht="45.75" customHeight="1" outlineLevel="1">
      <c r="A478" s="49"/>
      <c r="B478" s="49"/>
      <c r="C478" s="49"/>
      <c r="D478" s="49"/>
      <c r="E478" s="49"/>
      <c r="F478" s="49"/>
      <c r="G478" s="49"/>
      <c r="H478" s="80" t="s">
        <v>325</v>
      </c>
      <c r="I478" s="80"/>
      <c r="J478" s="80"/>
      <c r="K478" s="80"/>
      <c r="L478" s="80"/>
      <c r="M478" s="80"/>
      <c r="N478" s="80"/>
      <c r="O478" s="80"/>
      <c r="P478" s="80"/>
      <c r="Q478" s="80"/>
      <c r="R478" s="80"/>
      <c r="S478" s="80"/>
      <c r="T478" s="80" t="s">
        <v>261</v>
      </c>
      <c r="U478" s="49"/>
      <c r="V478" s="117"/>
      <c r="W478" s="117"/>
      <c r="X478" s="1995" t="s">
        <v>1197</v>
      </c>
      <c r="Y478" s="611" t="s">
        <v>1198</v>
      </c>
      <c r="Z478" s="625">
        <v>4</v>
      </c>
      <c r="AA478" s="595"/>
      <c r="AB478" s="701">
        <v>25</v>
      </c>
      <c r="AC478" s="701">
        <v>1</v>
      </c>
      <c r="AD478" s="595"/>
      <c r="AE478" s="600"/>
      <c r="AF478" s="599"/>
      <c r="AG478" s="599"/>
      <c r="AH478" s="599"/>
      <c r="AI478" s="599"/>
      <c r="AJ478" s="668"/>
      <c r="AK478" s="80"/>
      <c r="AL478" s="345"/>
    </row>
    <row r="479" spans="1:38" s="14" customFormat="1" ht="45.75" customHeight="1" outlineLevel="1">
      <c r="A479" s="49"/>
      <c r="B479" s="49"/>
      <c r="C479" s="49"/>
      <c r="D479" s="49"/>
      <c r="E479" s="49"/>
      <c r="F479" s="49"/>
      <c r="G479" s="49"/>
      <c r="H479" s="80" t="s">
        <v>325</v>
      </c>
      <c r="I479" s="80"/>
      <c r="J479" s="80"/>
      <c r="K479" s="80"/>
      <c r="L479" s="80"/>
      <c r="M479" s="80"/>
      <c r="N479" s="80"/>
      <c r="O479" s="80"/>
      <c r="P479" s="80"/>
      <c r="Q479" s="80"/>
      <c r="R479" s="80"/>
      <c r="S479" s="80"/>
      <c r="T479" s="80" t="s">
        <v>261</v>
      </c>
      <c r="U479" s="49"/>
      <c r="V479" s="117"/>
      <c r="W479" s="117"/>
      <c r="X479" s="1996" t="s">
        <v>1199</v>
      </c>
      <c r="Y479" s="611" t="s">
        <v>1200</v>
      </c>
      <c r="Z479" s="625">
        <v>4</v>
      </c>
      <c r="AA479" s="595"/>
      <c r="AB479" s="701">
        <v>26</v>
      </c>
      <c r="AC479" s="701">
        <v>1</v>
      </c>
      <c r="AD479" s="595"/>
      <c r="AE479" s="600"/>
      <c r="AF479" s="599"/>
      <c r="AG479" s="599"/>
      <c r="AH479" s="599"/>
      <c r="AI479" s="599"/>
      <c r="AJ479" s="668"/>
      <c r="AK479" s="80"/>
      <c r="AL479" s="345"/>
    </row>
    <row r="480" spans="1:38" s="14" customFormat="1" ht="45.75" customHeight="1" outlineLevel="1">
      <c r="A480" s="49"/>
      <c r="B480" s="49"/>
      <c r="C480" s="49"/>
      <c r="D480" s="49"/>
      <c r="E480" s="49"/>
      <c r="F480" s="49"/>
      <c r="G480" s="49"/>
      <c r="H480" s="80" t="s">
        <v>325</v>
      </c>
      <c r="I480" s="80"/>
      <c r="J480" s="80"/>
      <c r="K480" s="80"/>
      <c r="L480" s="80"/>
      <c r="M480" s="80"/>
      <c r="N480" s="80"/>
      <c r="O480" s="80"/>
      <c r="P480" s="80"/>
      <c r="Q480" s="80"/>
      <c r="R480" s="80"/>
      <c r="S480" s="80"/>
      <c r="T480" s="80" t="s">
        <v>261</v>
      </c>
      <c r="U480" s="49"/>
      <c r="V480" s="117"/>
      <c r="W480" s="117"/>
      <c r="X480" s="1997" t="s">
        <v>1201</v>
      </c>
      <c r="Y480" s="611" t="s">
        <v>1202</v>
      </c>
      <c r="Z480" s="625">
        <v>4</v>
      </c>
      <c r="AA480" s="595"/>
      <c r="AB480" s="701">
        <v>27</v>
      </c>
      <c r="AC480" s="701">
        <v>1</v>
      </c>
      <c r="AD480" s="595"/>
      <c r="AE480" s="600"/>
      <c r="AF480" s="599"/>
      <c r="AG480" s="599"/>
      <c r="AH480" s="599"/>
      <c r="AI480" s="599"/>
      <c r="AJ480" s="668"/>
      <c r="AK480" s="80"/>
      <c r="AL480" s="345"/>
    </row>
    <row r="481" spans="1:40" s="14" customFormat="1" ht="30.75" customHeight="1" outlineLevel="1">
      <c r="A481" s="49"/>
      <c r="B481" s="49"/>
      <c r="C481" s="49"/>
      <c r="D481" s="49"/>
      <c r="E481" s="49"/>
      <c r="F481" s="49"/>
      <c r="G481" s="49"/>
      <c r="H481" s="80" t="s">
        <v>325</v>
      </c>
      <c r="I481" s="80"/>
      <c r="J481" s="80"/>
      <c r="K481" s="80"/>
      <c r="L481" s="80"/>
      <c r="M481" s="80"/>
      <c r="N481" s="80"/>
      <c r="O481" s="80"/>
      <c r="P481" s="80"/>
      <c r="Q481" s="80"/>
      <c r="R481" s="80"/>
      <c r="S481" s="80"/>
      <c r="T481" s="80" t="s">
        <v>261</v>
      </c>
      <c r="U481" s="49"/>
      <c r="V481" s="117"/>
      <c r="W481" s="117"/>
      <c r="X481" s="1998" t="s">
        <v>1203</v>
      </c>
      <c r="Y481" s="611" t="s">
        <v>1204</v>
      </c>
      <c r="Z481" s="625">
        <v>4</v>
      </c>
      <c r="AA481" s="595"/>
      <c r="AB481" s="701">
        <v>28</v>
      </c>
      <c r="AC481" s="701">
        <v>1</v>
      </c>
      <c r="AD481" s="595"/>
      <c r="AE481" s="600"/>
      <c r="AF481" s="599"/>
      <c r="AG481" s="599"/>
      <c r="AH481" s="599"/>
      <c r="AI481" s="599"/>
      <c r="AJ481" s="668"/>
      <c r="AK481" s="80"/>
      <c r="AL481" s="345"/>
    </row>
    <row r="482" spans="1:40" s="14" customFormat="1" ht="30.75" customHeight="1" outlineLevel="1">
      <c r="A482" s="49"/>
      <c r="B482" s="49"/>
      <c r="C482" s="49"/>
      <c r="D482" s="49"/>
      <c r="E482" s="49"/>
      <c r="F482" s="49"/>
      <c r="G482" s="49"/>
      <c r="H482" s="80" t="s">
        <v>325</v>
      </c>
      <c r="I482" s="80"/>
      <c r="J482" s="80"/>
      <c r="K482" s="80"/>
      <c r="L482" s="80"/>
      <c r="M482" s="80"/>
      <c r="N482" s="80"/>
      <c r="O482" s="80"/>
      <c r="P482" s="80"/>
      <c r="Q482" s="80"/>
      <c r="R482" s="80"/>
      <c r="S482" s="80"/>
      <c r="T482" s="80" t="s">
        <v>261</v>
      </c>
      <c r="U482" s="49"/>
      <c r="V482" s="117"/>
      <c r="W482" s="117"/>
      <c r="X482" s="1999" t="s">
        <v>1205</v>
      </c>
      <c r="Y482" s="611" t="s">
        <v>1206</v>
      </c>
      <c r="Z482" s="625">
        <v>4</v>
      </c>
      <c r="AA482" s="595"/>
      <c r="AB482" s="701">
        <v>29</v>
      </c>
      <c r="AC482" s="701">
        <v>1</v>
      </c>
      <c r="AD482" s="595"/>
      <c r="AE482" s="600"/>
      <c r="AF482" s="599"/>
      <c r="AG482" s="599"/>
      <c r="AH482" s="599"/>
      <c r="AI482" s="599"/>
      <c r="AJ482" s="668"/>
      <c r="AK482" s="80"/>
      <c r="AL482" s="345"/>
    </row>
    <row r="483" spans="1:40" ht="45.75" customHeight="1" outlineLevel="1">
      <c r="H483" s="80" t="s">
        <v>325</v>
      </c>
      <c r="I483" s="80"/>
      <c r="J483" s="80"/>
      <c r="K483" s="80"/>
      <c r="L483" s="80"/>
      <c r="M483" s="80"/>
      <c r="N483" s="80"/>
      <c r="O483" s="80"/>
      <c r="P483" s="80"/>
      <c r="Q483" s="80"/>
      <c r="R483" s="80"/>
      <c r="S483" s="80"/>
      <c r="T483" s="80" t="s">
        <v>261</v>
      </c>
      <c r="V483" s="117"/>
      <c r="W483" s="117"/>
      <c r="X483" s="2000" t="s">
        <v>1207</v>
      </c>
      <c r="Y483" s="611" t="s">
        <v>1208</v>
      </c>
      <c r="Z483" s="625">
        <v>4</v>
      </c>
      <c r="AA483" s="595"/>
      <c r="AB483" s="701">
        <v>30</v>
      </c>
      <c r="AC483" s="701">
        <v>1</v>
      </c>
      <c r="AD483" s="595"/>
      <c r="AE483" s="600"/>
      <c r="AF483" s="599"/>
      <c r="AG483" s="599"/>
      <c r="AH483" s="599"/>
      <c r="AI483" s="599"/>
      <c r="AJ483" s="668"/>
      <c r="AK483" s="80"/>
      <c r="AL483" s="345"/>
      <c r="AM483" s="14"/>
      <c r="AN483" s="14"/>
    </row>
    <row r="484" spans="1:40" ht="14.25" customHeight="1">
      <c r="H484" s="80" t="s">
        <v>325</v>
      </c>
      <c r="I484" s="80"/>
      <c r="J484" s="80"/>
      <c r="K484" s="80"/>
      <c r="L484" s="80"/>
      <c r="M484" s="80"/>
      <c r="N484" s="80"/>
      <c r="O484" s="80"/>
      <c r="P484" s="80"/>
      <c r="Q484" s="80"/>
      <c r="R484" s="80"/>
      <c r="S484" s="80"/>
      <c r="T484" s="80" t="s">
        <v>261</v>
      </c>
      <c r="V484" s="117"/>
      <c r="W484" s="117"/>
      <c r="X484" s="2001" t="s">
        <v>1209</v>
      </c>
      <c r="Y484" s="644" t="s">
        <v>1210</v>
      </c>
      <c r="Z484" s="625">
        <v>7</v>
      </c>
      <c r="AA484" s="595">
        <v>0</v>
      </c>
      <c r="AB484" s="595">
        <f t="shared" ref="AB484:AB508" si="7">Z484*8+AA484</f>
        <v>56</v>
      </c>
      <c r="AC484" s="595">
        <v>8</v>
      </c>
      <c r="AD484" s="595"/>
      <c r="AE484" s="600" t="s">
        <v>1211</v>
      </c>
      <c r="AF484" s="599" t="s">
        <v>444</v>
      </c>
      <c r="AG484" s="599" t="s">
        <v>444</v>
      </c>
      <c r="AH484" s="599"/>
      <c r="AI484" s="599"/>
      <c r="AJ484" s="668"/>
      <c r="AK484" s="80"/>
    </row>
    <row r="485" spans="1:40" ht="18" customHeight="1" outlineLevel="1">
      <c r="A485" s="622">
        <v>97</v>
      </c>
      <c r="B485" s="622" t="s">
        <v>1212</v>
      </c>
      <c r="C485" s="622" t="s">
        <v>1213</v>
      </c>
      <c r="D485" s="622" t="s">
        <v>844</v>
      </c>
      <c r="E485" s="622">
        <v>8</v>
      </c>
      <c r="F485" s="622" t="s">
        <v>260</v>
      </c>
      <c r="G485" s="623"/>
      <c r="I485" s="622"/>
      <c r="J485" s="622"/>
      <c r="K485" s="622"/>
      <c r="L485" s="622"/>
      <c r="M485" s="622"/>
      <c r="N485" s="622"/>
      <c r="O485" s="622"/>
      <c r="P485" s="622" t="s">
        <v>325</v>
      </c>
      <c r="Q485" s="622"/>
      <c r="R485" s="622"/>
      <c r="S485" s="622"/>
      <c r="T485" s="622" t="s">
        <v>261</v>
      </c>
      <c r="U485" s="622"/>
      <c r="V485" s="597"/>
      <c r="W485" s="597"/>
      <c r="X485" s="597" t="s">
        <v>1214</v>
      </c>
      <c r="Y485" s="597"/>
      <c r="Z485" s="622"/>
      <c r="AA485" s="622"/>
      <c r="AB485" s="595">
        <f t="shared" si="7"/>
        <v>0</v>
      </c>
      <c r="AC485" s="622"/>
      <c r="AD485" s="622"/>
      <c r="AE485" s="608"/>
      <c r="AF485" s="622"/>
      <c r="AG485" s="622"/>
      <c r="AH485" s="622"/>
      <c r="AI485" s="622"/>
      <c r="AJ485" s="622"/>
      <c r="AK485" s="125"/>
    </row>
    <row r="486" spans="1:40" ht="30.75" customHeight="1" outlineLevel="1">
      <c r="A486" s="80"/>
      <c r="B486" s="80"/>
      <c r="C486" s="80"/>
      <c r="D486" s="80"/>
      <c r="E486" s="80"/>
      <c r="F486" s="80"/>
      <c r="I486" s="80"/>
      <c r="J486" s="80"/>
      <c r="K486" s="80"/>
      <c r="L486" s="80"/>
      <c r="M486" s="80"/>
      <c r="N486" s="80"/>
      <c r="O486" s="80"/>
      <c r="P486" s="80" t="s">
        <v>325</v>
      </c>
      <c r="Q486" s="80"/>
      <c r="R486" s="80"/>
      <c r="S486" s="80"/>
      <c r="T486" s="80" t="s">
        <v>261</v>
      </c>
      <c r="V486" s="117"/>
      <c r="W486" s="117"/>
      <c r="X486" s="2002" t="s">
        <v>532</v>
      </c>
      <c r="Y486" s="120" t="s">
        <v>1215</v>
      </c>
      <c r="Z486" s="123">
        <v>0</v>
      </c>
      <c r="AA486" s="71">
        <v>0</v>
      </c>
      <c r="AB486" s="595">
        <f t="shared" si="7"/>
        <v>0</v>
      </c>
      <c r="AC486" s="71">
        <v>16</v>
      </c>
      <c r="AD486" s="71"/>
      <c r="AE486" s="76"/>
      <c r="AF486" s="70"/>
      <c r="AG486" s="70"/>
      <c r="AH486" s="70"/>
      <c r="AI486" s="70"/>
      <c r="AJ486" s="156"/>
      <c r="AK486" s="80"/>
    </row>
    <row r="487" spans="1:40" ht="30.75" customHeight="1" outlineLevel="1">
      <c r="A487" s="80"/>
      <c r="B487" s="80"/>
      <c r="C487" s="80"/>
      <c r="D487" s="80"/>
      <c r="E487" s="80"/>
      <c r="F487" s="80"/>
      <c r="I487" s="80"/>
      <c r="J487" s="80"/>
      <c r="K487" s="80"/>
      <c r="L487" s="80"/>
      <c r="M487" s="80"/>
      <c r="N487" s="80"/>
      <c r="O487" s="80"/>
      <c r="P487" s="80" t="s">
        <v>325</v>
      </c>
      <c r="Q487" s="80"/>
      <c r="R487" s="80"/>
      <c r="S487" s="80"/>
      <c r="T487" s="80" t="s">
        <v>261</v>
      </c>
      <c r="V487" s="117"/>
      <c r="W487" s="117"/>
      <c r="X487" s="2003" t="s">
        <v>534</v>
      </c>
      <c r="Y487" s="644" t="s">
        <v>1216</v>
      </c>
      <c r="Z487" s="625">
        <v>2</v>
      </c>
      <c r="AA487" s="595">
        <v>0</v>
      </c>
      <c r="AB487" s="595">
        <f t="shared" si="7"/>
        <v>16</v>
      </c>
      <c r="AC487" s="595">
        <v>8</v>
      </c>
      <c r="AD487" s="595"/>
      <c r="AE487" s="600"/>
      <c r="AF487" s="599"/>
      <c r="AG487" s="599"/>
      <c r="AH487" s="599"/>
      <c r="AI487" s="599"/>
      <c r="AJ487" s="668" t="s">
        <v>536</v>
      </c>
      <c r="AK487" s="80"/>
    </row>
    <row r="488" spans="1:40" ht="45.75" customHeight="1" outlineLevel="1">
      <c r="A488" s="80"/>
      <c r="B488" s="80"/>
      <c r="C488" s="80"/>
      <c r="D488" s="80"/>
      <c r="E488" s="80"/>
      <c r="F488" s="80"/>
      <c r="I488" s="80"/>
      <c r="J488" s="80"/>
      <c r="K488" s="80"/>
      <c r="L488" s="80"/>
      <c r="M488" s="80"/>
      <c r="N488" s="80"/>
      <c r="O488" s="80"/>
      <c r="P488" s="80" t="s">
        <v>325</v>
      </c>
      <c r="Q488" s="80"/>
      <c r="R488" s="80"/>
      <c r="S488" s="80"/>
      <c r="T488" s="80" t="s">
        <v>261</v>
      </c>
      <c r="V488" s="117"/>
      <c r="W488" s="117"/>
      <c r="X488" s="2004" t="s">
        <v>537</v>
      </c>
      <c r="Y488" s="644" t="s">
        <v>1217</v>
      </c>
      <c r="Z488" s="625">
        <v>3</v>
      </c>
      <c r="AA488" s="595">
        <v>0</v>
      </c>
      <c r="AB488" s="595">
        <f t="shared" si="7"/>
        <v>24</v>
      </c>
      <c r="AC488" s="595">
        <v>8</v>
      </c>
      <c r="AD488" s="595"/>
      <c r="AE488" s="600"/>
      <c r="AF488" s="599"/>
      <c r="AG488" s="599"/>
      <c r="AH488" s="599"/>
      <c r="AI488" s="599"/>
      <c r="AJ488" s="668" t="s">
        <v>539</v>
      </c>
      <c r="AK488" s="80"/>
    </row>
    <row r="489" spans="1:40" ht="30.75" customHeight="1" outlineLevel="1">
      <c r="A489" s="80"/>
      <c r="B489" s="80"/>
      <c r="C489" s="80"/>
      <c r="D489" s="80"/>
      <c r="E489" s="80"/>
      <c r="F489" s="80"/>
      <c r="I489" s="80"/>
      <c r="J489" s="80"/>
      <c r="K489" s="80"/>
      <c r="L489" s="80"/>
      <c r="M489" s="80"/>
      <c r="N489" s="80"/>
      <c r="O489" s="80"/>
      <c r="P489" s="80" t="s">
        <v>325</v>
      </c>
      <c r="Q489" s="80"/>
      <c r="R489" s="80"/>
      <c r="S489" s="80"/>
      <c r="T489" s="80" t="s">
        <v>261</v>
      </c>
      <c r="V489" s="117"/>
      <c r="W489" s="117"/>
      <c r="X489" s="2005" t="s">
        <v>540</v>
      </c>
      <c r="Y489" s="644" t="s">
        <v>1218</v>
      </c>
      <c r="Z489" s="625">
        <v>4</v>
      </c>
      <c r="AA489" s="595">
        <v>0</v>
      </c>
      <c r="AB489" s="595">
        <f t="shared" si="7"/>
        <v>32</v>
      </c>
      <c r="AC489" s="595">
        <v>8</v>
      </c>
      <c r="AD489" s="595"/>
      <c r="AE489" s="600"/>
      <c r="AF489" s="599"/>
      <c r="AG489" s="599"/>
      <c r="AH489" s="599"/>
      <c r="AI489" s="599"/>
      <c r="AJ489" s="668" t="s">
        <v>542</v>
      </c>
      <c r="AK489" s="80"/>
    </row>
    <row r="490" spans="1:40" ht="14.25" customHeight="1">
      <c r="A490" s="80"/>
      <c r="B490" s="80"/>
      <c r="C490" s="80"/>
      <c r="D490" s="80"/>
      <c r="E490" s="80"/>
      <c r="F490" s="80"/>
      <c r="I490" s="80"/>
      <c r="J490" s="80"/>
      <c r="K490" s="80"/>
      <c r="L490" s="80"/>
      <c r="M490" s="80"/>
      <c r="N490" s="80"/>
      <c r="O490" s="80"/>
      <c r="P490" s="80" t="s">
        <v>325</v>
      </c>
      <c r="Q490" s="80"/>
      <c r="R490" s="80"/>
      <c r="S490" s="80"/>
      <c r="T490" s="80" t="s">
        <v>261</v>
      </c>
      <c r="V490" s="117"/>
      <c r="W490" s="117"/>
      <c r="X490" s="2006" t="s">
        <v>543</v>
      </c>
      <c r="Y490" s="644" t="s">
        <v>1219</v>
      </c>
      <c r="Z490" s="625">
        <v>5</v>
      </c>
      <c r="AA490" s="595">
        <v>0</v>
      </c>
      <c r="AB490" s="595">
        <f t="shared" si="7"/>
        <v>40</v>
      </c>
      <c r="AC490" s="595">
        <v>24</v>
      </c>
      <c r="AD490" s="595"/>
      <c r="AE490" s="600"/>
      <c r="AF490" s="599"/>
      <c r="AG490" s="599"/>
      <c r="AH490" s="599"/>
      <c r="AI490" s="599"/>
      <c r="AJ490" s="668" t="s">
        <v>545</v>
      </c>
      <c r="AK490" s="80"/>
    </row>
    <row r="491" spans="1:40" ht="18" customHeight="1" outlineLevel="1">
      <c r="A491" s="622">
        <v>98</v>
      </c>
      <c r="B491" s="622" t="s">
        <v>1212</v>
      </c>
      <c r="C491" s="622" t="s">
        <v>1220</v>
      </c>
      <c r="D491" s="622" t="s">
        <v>844</v>
      </c>
      <c r="E491" s="622">
        <v>8</v>
      </c>
      <c r="F491" s="622" t="s">
        <v>260</v>
      </c>
      <c r="G491" s="623"/>
      <c r="I491" s="622"/>
      <c r="J491" s="622"/>
      <c r="K491" s="622"/>
      <c r="L491" s="622"/>
      <c r="M491" s="622"/>
      <c r="N491" s="622"/>
      <c r="O491" s="622"/>
      <c r="P491" s="622" t="s">
        <v>325</v>
      </c>
      <c r="Q491" s="622"/>
      <c r="R491" s="622"/>
      <c r="S491" s="622"/>
      <c r="T491" s="622" t="s">
        <v>261</v>
      </c>
      <c r="U491" s="622"/>
      <c r="V491" s="597"/>
      <c r="W491" s="597"/>
      <c r="X491" s="597" t="s">
        <v>1221</v>
      </c>
      <c r="Y491" s="597"/>
      <c r="Z491" s="622"/>
      <c r="AA491" s="622"/>
      <c r="AB491" s="595">
        <f t="shared" si="7"/>
        <v>0</v>
      </c>
      <c r="AC491" s="622"/>
      <c r="AD491" s="622"/>
      <c r="AE491" s="608"/>
      <c r="AF491" s="622"/>
      <c r="AG491" s="622"/>
      <c r="AH491" s="622"/>
      <c r="AI491" s="622"/>
      <c r="AJ491" s="622"/>
      <c r="AK491" s="125"/>
    </row>
    <row r="492" spans="1:40" ht="45.75" customHeight="1" outlineLevel="1">
      <c r="A492" s="80"/>
      <c r="B492" s="80"/>
      <c r="C492" s="80"/>
      <c r="D492" s="80"/>
      <c r="E492" s="80"/>
      <c r="F492" s="80"/>
      <c r="I492" s="80"/>
      <c r="J492" s="80"/>
      <c r="K492" s="80"/>
      <c r="L492" s="80"/>
      <c r="M492" s="80"/>
      <c r="N492" s="80"/>
      <c r="O492" s="80"/>
      <c r="P492" s="80" t="s">
        <v>325</v>
      </c>
      <c r="Q492" s="80"/>
      <c r="R492" s="80"/>
      <c r="S492" s="80"/>
      <c r="T492" s="80" t="s">
        <v>261</v>
      </c>
      <c r="V492" s="117"/>
      <c r="W492" s="117"/>
      <c r="X492" s="2007" t="s">
        <v>549</v>
      </c>
      <c r="Y492" s="120" t="s">
        <v>1222</v>
      </c>
      <c r="Z492" s="123">
        <v>0</v>
      </c>
      <c r="AA492" s="71">
        <v>0</v>
      </c>
      <c r="AB492" s="595">
        <f t="shared" si="7"/>
        <v>0</v>
      </c>
      <c r="AC492" s="71">
        <v>8</v>
      </c>
      <c r="AD492" s="133"/>
      <c r="AE492" s="76" t="s">
        <v>551</v>
      </c>
      <c r="AF492" s="134"/>
      <c r="AG492" s="134"/>
      <c r="AH492" s="134"/>
      <c r="AI492" s="134"/>
      <c r="AJ492" s="179"/>
      <c r="AK492" s="59"/>
    </row>
    <row r="493" spans="1:40" ht="75.75" customHeight="1" outlineLevel="1">
      <c r="A493" s="80"/>
      <c r="B493" s="80"/>
      <c r="C493" s="80"/>
      <c r="D493" s="80"/>
      <c r="E493" s="80"/>
      <c r="F493" s="80"/>
      <c r="I493" s="80"/>
      <c r="J493" s="80"/>
      <c r="K493" s="80"/>
      <c r="L493" s="80"/>
      <c r="M493" s="80"/>
      <c r="N493" s="80"/>
      <c r="O493" s="80"/>
      <c r="P493" s="80" t="s">
        <v>325</v>
      </c>
      <c r="Q493" s="80"/>
      <c r="R493" s="80"/>
      <c r="S493" s="80"/>
      <c r="T493" s="80" t="s">
        <v>261</v>
      </c>
      <c r="V493" s="117"/>
      <c r="W493" s="117"/>
      <c r="X493" s="2008" t="s">
        <v>552</v>
      </c>
      <c r="Y493" s="644" t="s">
        <v>1223</v>
      </c>
      <c r="Z493" s="625">
        <v>1</v>
      </c>
      <c r="AA493" s="595">
        <v>0</v>
      </c>
      <c r="AB493" s="595">
        <f t="shared" si="7"/>
        <v>8</v>
      </c>
      <c r="AC493" s="595">
        <v>8</v>
      </c>
      <c r="AD493" s="609"/>
      <c r="AE493" s="600" t="s">
        <v>554</v>
      </c>
      <c r="AF493" s="646"/>
      <c r="AG493" s="646"/>
      <c r="AH493" s="646"/>
      <c r="AI493" s="646"/>
      <c r="AJ493" s="700"/>
      <c r="AK493" s="59"/>
    </row>
    <row r="494" spans="1:40" ht="75.75" customHeight="1" outlineLevel="1">
      <c r="A494" s="80"/>
      <c r="B494" s="80"/>
      <c r="C494" s="80"/>
      <c r="D494" s="80"/>
      <c r="E494" s="80"/>
      <c r="F494" s="80"/>
      <c r="I494" s="80"/>
      <c r="J494" s="80"/>
      <c r="K494" s="80"/>
      <c r="L494" s="80"/>
      <c r="M494" s="80"/>
      <c r="N494" s="80"/>
      <c r="O494" s="80"/>
      <c r="P494" s="80" t="s">
        <v>325</v>
      </c>
      <c r="Q494" s="80"/>
      <c r="R494" s="80"/>
      <c r="S494" s="80"/>
      <c r="T494" s="80" t="s">
        <v>261</v>
      </c>
      <c r="V494" s="117"/>
      <c r="W494" s="117"/>
      <c r="X494" s="2009" t="s">
        <v>555</v>
      </c>
      <c r="Y494" s="644" t="s">
        <v>1224</v>
      </c>
      <c r="Z494" s="625">
        <v>2</v>
      </c>
      <c r="AA494" s="595">
        <v>0</v>
      </c>
      <c r="AB494" s="595">
        <f t="shared" si="7"/>
        <v>16</v>
      </c>
      <c r="AC494" s="595">
        <v>8</v>
      </c>
      <c r="AD494" s="609"/>
      <c r="AE494" s="600" t="s">
        <v>557</v>
      </c>
      <c r="AF494" s="646"/>
      <c r="AG494" s="646"/>
      <c r="AH494" s="646"/>
      <c r="AI494" s="646"/>
      <c r="AJ494" s="700"/>
      <c r="AK494" s="59"/>
    </row>
    <row r="495" spans="1:40" ht="75.75" customHeight="1" outlineLevel="1">
      <c r="A495" s="80"/>
      <c r="B495" s="80"/>
      <c r="C495" s="80"/>
      <c r="D495" s="80"/>
      <c r="E495" s="80"/>
      <c r="F495" s="80"/>
      <c r="I495" s="80"/>
      <c r="J495" s="80"/>
      <c r="K495" s="80"/>
      <c r="L495" s="80"/>
      <c r="M495" s="80"/>
      <c r="N495" s="80"/>
      <c r="O495" s="80"/>
      <c r="P495" s="80" t="s">
        <v>325</v>
      </c>
      <c r="Q495" s="80"/>
      <c r="R495" s="80"/>
      <c r="S495" s="80"/>
      <c r="T495" s="80" t="s">
        <v>261</v>
      </c>
      <c r="V495" s="117"/>
      <c r="W495" s="117"/>
      <c r="X495" s="2010" t="s">
        <v>558</v>
      </c>
      <c r="Y495" s="644" t="s">
        <v>1225</v>
      </c>
      <c r="Z495" s="625">
        <v>3</v>
      </c>
      <c r="AA495" s="595">
        <v>0</v>
      </c>
      <c r="AB495" s="595">
        <f t="shared" si="7"/>
        <v>24</v>
      </c>
      <c r="AC495" s="595">
        <v>8</v>
      </c>
      <c r="AD495" s="609"/>
      <c r="AE495" s="600" t="s">
        <v>560</v>
      </c>
      <c r="AF495" s="646"/>
      <c r="AG495" s="646"/>
      <c r="AH495" s="646"/>
      <c r="AI495" s="646"/>
      <c r="AJ495" s="700"/>
      <c r="AK495" s="59"/>
    </row>
    <row r="496" spans="1:40" ht="45.75" customHeight="1" outlineLevel="1">
      <c r="A496" s="80"/>
      <c r="B496" s="80"/>
      <c r="C496" s="80"/>
      <c r="D496" s="80"/>
      <c r="E496" s="80"/>
      <c r="F496" s="80"/>
      <c r="I496" s="80"/>
      <c r="J496" s="80"/>
      <c r="K496" s="80"/>
      <c r="L496" s="80"/>
      <c r="M496" s="80"/>
      <c r="N496" s="80"/>
      <c r="O496" s="80"/>
      <c r="P496" s="80" t="s">
        <v>325</v>
      </c>
      <c r="Q496" s="80"/>
      <c r="R496" s="80"/>
      <c r="S496" s="80"/>
      <c r="T496" s="80" t="s">
        <v>261</v>
      </c>
      <c r="V496" s="117"/>
      <c r="W496" s="117"/>
      <c r="X496" s="2011" t="s">
        <v>561</v>
      </c>
      <c r="Y496" s="644" t="s">
        <v>1226</v>
      </c>
      <c r="Z496" s="625">
        <v>4</v>
      </c>
      <c r="AA496" s="595">
        <v>0</v>
      </c>
      <c r="AB496" s="595">
        <f t="shared" si="7"/>
        <v>32</v>
      </c>
      <c r="AC496" s="595">
        <v>8</v>
      </c>
      <c r="AD496" s="609"/>
      <c r="AE496" s="600" t="s">
        <v>563</v>
      </c>
      <c r="AF496" s="646"/>
      <c r="AG496" s="646"/>
      <c r="AH496" s="646"/>
      <c r="AI496" s="646"/>
      <c r="AJ496" s="700"/>
      <c r="AK496" s="59"/>
    </row>
    <row r="497" spans="1:37" ht="75.75" customHeight="1" outlineLevel="1">
      <c r="A497" s="80"/>
      <c r="B497" s="80"/>
      <c r="C497" s="80"/>
      <c r="D497" s="80"/>
      <c r="E497" s="80"/>
      <c r="F497" s="80"/>
      <c r="I497" s="80"/>
      <c r="J497" s="80"/>
      <c r="K497" s="80"/>
      <c r="L497" s="80"/>
      <c r="M497" s="80"/>
      <c r="N497" s="80"/>
      <c r="O497" s="80"/>
      <c r="P497" s="80" t="s">
        <v>325</v>
      </c>
      <c r="Q497" s="80"/>
      <c r="R497" s="80"/>
      <c r="S497" s="80"/>
      <c r="T497" s="80" t="s">
        <v>261</v>
      </c>
      <c r="V497" s="117"/>
      <c r="W497" s="117"/>
      <c r="X497" s="2012" t="s">
        <v>564</v>
      </c>
      <c r="Y497" s="644" t="s">
        <v>1227</v>
      </c>
      <c r="Z497" s="625">
        <v>5</v>
      </c>
      <c r="AA497" s="595">
        <v>0</v>
      </c>
      <c r="AB497" s="595">
        <f t="shared" si="7"/>
        <v>40</v>
      </c>
      <c r="AC497" s="595">
        <v>8</v>
      </c>
      <c r="AD497" s="609"/>
      <c r="AE497" s="600" t="s">
        <v>566</v>
      </c>
      <c r="AF497" s="646"/>
      <c r="AG497" s="646"/>
      <c r="AH497" s="646"/>
      <c r="AI497" s="646"/>
      <c r="AJ497" s="700"/>
      <c r="AK497" s="59"/>
    </row>
    <row r="498" spans="1:37" ht="75.75" customHeight="1" outlineLevel="1">
      <c r="A498" s="80"/>
      <c r="B498" s="80"/>
      <c r="C498" s="80"/>
      <c r="D498" s="80"/>
      <c r="E498" s="80"/>
      <c r="F498" s="80"/>
      <c r="I498" s="80"/>
      <c r="J498" s="80"/>
      <c r="K498" s="80"/>
      <c r="L498" s="80"/>
      <c r="M498" s="80"/>
      <c r="N498" s="80"/>
      <c r="O498" s="80"/>
      <c r="P498" s="80" t="s">
        <v>325</v>
      </c>
      <c r="Q498" s="80"/>
      <c r="R498" s="80"/>
      <c r="S498" s="80"/>
      <c r="T498" s="80" t="s">
        <v>261</v>
      </c>
      <c r="V498" s="117"/>
      <c r="W498" s="117"/>
      <c r="X498" s="2013" t="s">
        <v>567</v>
      </c>
      <c r="Y498" s="644" t="s">
        <v>1228</v>
      </c>
      <c r="Z498" s="625">
        <v>6</v>
      </c>
      <c r="AA498" s="595">
        <v>0</v>
      </c>
      <c r="AB498" s="595">
        <f t="shared" si="7"/>
        <v>48</v>
      </c>
      <c r="AC498" s="595">
        <v>8</v>
      </c>
      <c r="AD498" s="609"/>
      <c r="AE498" s="600" t="s">
        <v>569</v>
      </c>
      <c r="AF498" s="646"/>
      <c r="AG498" s="646"/>
      <c r="AH498" s="646"/>
      <c r="AI498" s="646"/>
      <c r="AJ498" s="700"/>
      <c r="AK498" s="59"/>
    </row>
    <row r="499" spans="1:37" ht="14.25" customHeight="1">
      <c r="A499" s="80"/>
      <c r="B499" s="80"/>
      <c r="C499" s="80"/>
      <c r="D499" s="80"/>
      <c r="E499" s="80"/>
      <c r="F499" s="80"/>
      <c r="I499" s="80"/>
      <c r="J499" s="80"/>
      <c r="K499" s="80"/>
      <c r="L499" s="80"/>
      <c r="M499" s="80"/>
      <c r="N499" s="80"/>
      <c r="O499" s="80"/>
      <c r="P499" s="80" t="s">
        <v>325</v>
      </c>
      <c r="Q499" s="80"/>
      <c r="R499" s="80"/>
      <c r="S499" s="80"/>
      <c r="T499" s="80" t="s">
        <v>261</v>
      </c>
      <c r="V499" s="117"/>
      <c r="W499" s="117"/>
      <c r="X499" s="2014" t="s">
        <v>570</v>
      </c>
      <c r="Y499" s="644" t="s">
        <v>1229</v>
      </c>
      <c r="Z499" s="625">
        <v>7</v>
      </c>
      <c r="AA499" s="595">
        <v>0</v>
      </c>
      <c r="AB499" s="595">
        <f t="shared" si="7"/>
        <v>56</v>
      </c>
      <c r="AC499" s="595">
        <v>8</v>
      </c>
      <c r="AD499" s="609"/>
      <c r="AE499" s="600" t="s">
        <v>572</v>
      </c>
      <c r="AF499" s="646"/>
      <c r="AG499" s="646"/>
      <c r="AH499" s="646"/>
      <c r="AI499" s="646"/>
      <c r="AJ499" s="700"/>
      <c r="AK499" s="59"/>
    </row>
    <row r="500" spans="1:37" ht="18" customHeight="1" outlineLevel="1">
      <c r="A500" s="622">
        <v>99</v>
      </c>
      <c r="B500" s="622" t="s">
        <v>1212</v>
      </c>
      <c r="C500" s="622" t="s">
        <v>1230</v>
      </c>
      <c r="D500" s="622" t="s">
        <v>844</v>
      </c>
      <c r="E500" s="622">
        <v>8</v>
      </c>
      <c r="F500" s="622" t="s">
        <v>260</v>
      </c>
      <c r="G500" s="623"/>
      <c r="I500" s="622"/>
      <c r="J500" s="622"/>
      <c r="K500" s="622"/>
      <c r="L500" s="622"/>
      <c r="M500" s="622"/>
      <c r="N500" s="622"/>
      <c r="O500" s="622"/>
      <c r="P500" s="622" t="s">
        <v>325</v>
      </c>
      <c r="Q500" s="622"/>
      <c r="R500" s="622"/>
      <c r="S500" s="622"/>
      <c r="T500" s="622" t="s">
        <v>261</v>
      </c>
      <c r="U500" s="622"/>
      <c r="V500" s="597"/>
      <c r="W500" s="597"/>
      <c r="X500" s="597" t="s">
        <v>1231</v>
      </c>
      <c r="Y500" s="597"/>
      <c r="Z500" s="622"/>
      <c r="AA500" s="622"/>
      <c r="AB500" s="595">
        <f t="shared" si="7"/>
        <v>0</v>
      </c>
      <c r="AC500" s="622"/>
      <c r="AD500" s="622"/>
      <c r="AE500" s="608"/>
      <c r="AF500" s="622"/>
      <c r="AG500" s="622"/>
      <c r="AH500" s="622"/>
      <c r="AI500" s="622"/>
      <c r="AJ500" s="622"/>
      <c r="AK500" s="125"/>
    </row>
    <row r="501" spans="1:37" ht="45.75" customHeight="1" outlineLevel="1">
      <c r="A501" s="80"/>
      <c r="B501" s="80"/>
      <c r="C501" s="80"/>
      <c r="D501" s="80"/>
      <c r="E501" s="80"/>
      <c r="F501" s="80"/>
      <c r="I501" s="80"/>
      <c r="J501" s="80"/>
      <c r="K501" s="80"/>
      <c r="L501" s="80"/>
      <c r="M501" s="80"/>
      <c r="N501" s="80"/>
      <c r="O501" s="80"/>
      <c r="P501" s="80" t="s">
        <v>325</v>
      </c>
      <c r="Q501" s="80"/>
      <c r="R501" s="80"/>
      <c r="S501" s="80"/>
      <c r="T501" s="80" t="s">
        <v>261</v>
      </c>
      <c r="V501" s="117"/>
      <c r="W501" s="117"/>
      <c r="X501" s="2015" t="s">
        <v>576</v>
      </c>
      <c r="Y501" s="120" t="s">
        <v>1232</v>
      </c>
      <c r="Z501" s="123">
        <v>0</v>
      </c>
      <c r="AA501" s="71">
        <v>0</v>
      </c>
      <c r="AB501" s="595">
        <f t="shared" si="7"/>
        <v>0</v>
      </c>
      <c r="AC501" s="71">
        <v>8</v>
      </c>
      <c r="AD501" s="71"/>
      <c r="AE501" s="76" t="s">
        <v>578</v>
      </c>
      <c r="AF501" s="70"/>
      <c r="AG501" s="70"/>
      <c r="AH501" s="70"/>
      <c r="AI501" s="70"/>
      <c r="AJ501" s="156"/>
      <c r="AK501" s="80"/>
    </row>
    <row r="502" spans="1:37" ht="75.75" customHeight="1" outlineLevel="1">
      <c r="A502" s="80"/>
      <c r="B502" s="80"/>
      <c r="C502" s="80"/>
      <c r="D502" s="80"/>
      <c r="E502" s="80"/>
      <c r="F502" s="80"/>
      <c r="I502" s="80"/>
      <c r="J502" s="80"/>
      <c r="K502" s="80"/>
      <c r="L502" s="80"/>
      <c r="M502" s="80"/>
      <c r="N502" s="80"/>
      <c r="O502" s="80"/>
      <c r="P502" s="80" t="s">
        <v>325</v>
      </c>
      <c r="Q502" s="80"/>
      <c r="R502" s="80"/>
      <c r="S502" s="80"/>
      <c r="T502" s="80" t="s">
        <v>261</v>
      </c>
      <c r="V502" s="117"/>
      <c r="W502" s="117"/>
      <c r="X502" s="2016" t="s">
        <v>579</v>
      </c>
      <c r="Y502" s="123" t="s">
        <v>1233</v>
      </c>
      <c r="Z502" s="625">
        <v>1</v>
      </c>
      <c r="AA502" s="595">
        <v>0</v>
      </c>
      <c r="AB502" s="595">
        <f t="shared" si="7"/>
        <v>8</v>
      </c>
      <c r="AC502" s="595">
        <v>8</v>
      </c>
      <c r="AD502" s="595"/>
      <c r="AE502" s="600" t="s">
        <v>554</v>
      </c>
      <c r="AF502" s="599"/>
      <c r="AG502" s="599"/>
      <c r="AH502" s="599"/>
      <c r="AI502" s="599"/>
      <c r="AJ502" s="668"/>
      <c r="AK502" s="80"/>
    </row>
    <row r="503" spans="1:37" ht="75.75" customHeight="1" outlineLevel="1">
      <c r="A503" s="80"/>
      <c r="B503" s="80"/>
      <c r="C503" s="80"/>
      <c r="D503" s="80"/>
      <c r="E503" s="80"/>
      <c r="F503" s="80"/>
      <c r="I503" s="80"/>
      <c r="J503" s="80"/>
      <c r="K503" s="80"/>
      <c r="L503" s="80"/>
      <c r="M503" s="80"/>
      <c r="N503" s="80"/>
      <c r="O503" s="80"/>
      <c r="P503" s="80" t="s">
        <v>325</v>
      </c>
      <c r="Q503" s="80"/>
      <c r="R503" s="80"/>
      <c r="S503" s="80"/>
      <c r="T503" s="80" t="s">
        <v>261</v>
      </c>
      <c r="V503" s="117"/>
      <c r="W503" s="117"/>
      <c r="X503" s="2017" t="s">
        <v>581</v>
      </c>
      <c r="Y503" s="123" t="s">
        <v>1234</v>
      </c>
      <c r="Z503" s="625">
        <v>2</v>
      </c>
      <c r="AA503" s="595">
        <v>0</v>
      </c>
      <c r="AB503" s="595">
        <f t="shared" si="7"/>
        <v>16</v>
      </c>
      <c r="AC503" s="595">
        <v>8</v>
      </c>
      <c r="AD503" s="595"/>
      <c r="AE503" s="600" t="s">
        <v>557</v>
      </c>
      <c r="AF503" s="599"/>
      <c r="AG503" s="599"/>
      <c r="AH503" s="599"/>
      <c r="AI503" s="599"/>
      <c r="AJ503" s="668"/>
      <c r="AK503" s="80"/>
    </row>
    <row r="504" spans="1:37" ht="14.25" customHeight="1">
      <c r="A504" s="80"/>
      <c r="B504" s="80"/>
      <c r="C504" s="80"/>
      <c r="D504" s="80"/>
      <c r="E504" s="80"/>
      <c r="F504" s="80"/>
      <c r="I504" s="80"/>
      <c r="J504" s="80"/>
      <c r="K504" s="80"/>
      <c r="L504" s="80"/>
      <c r="M504" s="80"/>
      <c r="N504" s="80"/>
      <c r="O504" s="80"/>
      <c r="P504" s="80" t="s">
        <v>325</v>
      </c>
      <c r="Q504" s="80"/>
      <c r="R504" s="80"/>
      <c r="S504" s="80"/>
      <c r="T504" s="80" t="s">
        <v>261</v>
      </c>
      <c r="V504" s="117"/>
      <c r="W504" s="117"/>
      <c r="X504" s="2018" t="s">
        <v>583</v>
      </c>
      <c r="Y504" s="123" t="s">
        <v>1235</v>
      </c>
      <c r="Z504" s="625">
        <v>3</v>
      </c>
      <c r="AA504" s="595">
        <v>0</v>
      </c>
      <c r="AB504" s="595">
        <f t="shared" si="7"/>
        <v>24</v>
      </c>
      <c r="AC504" s="595">
        <v>8</v>
      </c>
      <c r="AD504" s="595"/>
      <c r="AE504" s="600" t="s">
        <v>560</v>
      </c>
      <c r="AF504" s="599"/>
      <c r="AG504" s="599"/>
      <c r="AH504" s="599"/>
      <c r="AI504" s="599"/>
      <c r="AJ504" s="668"/>
      <c r="AK504" s="80"/>
    </row>
    <row r="505" spans="1:37" ht="18" customHeight="1" outlineLevel="1">
      <c r="A505" s="622">
        <v>100</v>
      </c>
      <c r="B505" s="622" t="s">
        <v>1212</v>
      </c>
      <c r="C505" s="622" t="s">
        <v>1236</v>
      </c>
      <c r="D505" s="622" t="s">
        <v>617</v>
      </c>
      <c r="E505" s="622">
        <v>8</v>
      </c>
      <c r="F505" s="622" t="s">
        <v>260</v>
      </c>
      <c r="G505" s="623"/>
      <c r="H505" s="622"/>
      <c r="I505" s="622"/>
      <c r="J505" s="622"/>
      <c r="K505" s="622"/>
      <c r="L505" s="622"/>
      <c r="M505" s="622"/>
      <c r="N505" s="622"/>
      <c r="O505" s="622"/>
      <c r="P505" s="622" t="s">
        <v>325</v>
      </c>
      <c r="Q505" s="622"/>
      <c r="R505" s="622"/>
      <c r="S505" s="622"/>
      <c r="T505" s="622" t="s">
        <v>261</v>
      </c>
      <c r="U505" s="622"/>
      <c r="V505" s="597"/>
      <c r="W505" s="597"/>
      <c r="X505" s="597" t="s">
        <v>974</v>
      </c>
      <c r="Y505" s="597"/>
      <c r="Z505" s="622"/>
      <c r="AA505" s="622"/>
      <c r="AB505" s="595">
        <f t="shared" si="7"/>
        <v>0</v>
      </c>
      <c r="AC505" s="622"/>
      <c r="AD505" s="622"/>
      <c r="AE505" s="608"/>
      <c r="AF505" s="622"/>
      <c r="AG505" s="622"/>
      <c r="AH505" s="622"/>
      <c r="AI505" s="622"/>
      <c r="AJ505" s="622"/>
      <c r="AK505" s="125"/>
    </row>
    <row r="506" spans="1:37" ht="14.25" customHeight="1">
      <c r="P506" s="80" t="s">
        <v>325</v>
      </c>
      <c r="Q506" s="80"/>
      <c r="R506" s="80"/>
      <c r="S506" s="80"/>
      <c r="T506" s="80" t="s">
        <v>261</v>
      </c>
      <c r="X506" s="66" t="s">
        <v>619</v>
      </c>
      <c r="Y506" s="142"/>
      <c r="Z506" s="161"/>
      <c r="AA506" s="92"/>
      <c r="AB506" s="595">
        <f t="shared" si="7"/>
        <v>0</v>
      </c>
      <c r="AC506" s="92"/>
      <c r="AD506" s="133"/>
      <c r="AE506" s="133"/>
      <c r="AF506" s="133"/>
      <c r="AG506" s="133"/>
      <c r="AH506" s="133"/>
      <c r="AI506" s="133"/>
      <c r="AJ506" s="180"/>
    </row>
    <row r="507" spans="1:37" ht="18" customHeight="1" outlineLevel="1">
      <c r="A507" s="622">
        <v>101</v>
      </c>
      <c r="B507" s="622" t="s">
        <v>1237</v>
      </c>
      <c r="C507" s="622" t="s">
        <v>1238</v>
      </c>
      <c r="D507" s="622" t="s">
        <v>617</v>
      </c>
      <c r="E507" s="622">
        <v>8</v>
      </c>
      <c r="F507" s="622" t="s">
        <v>260</v>
      </c>
      <c r="G507" s="623"/>
      <c r="H507" s="622"/>
      <c r="I507" s="622"/>
      <c r="J507" s="622"/>
      <c r="K507" s="622"/>
      <c r="L507" s="622"/>
      <c r="M507" s="622"/>
      <c r="N507" s="622"/>
      <c r="O507" s="622"/>
      <c r="P507" s="622" t="s">
        <v>261</v>
      </c>
      <c r="Q507" s="622"/>
      <c r="R507" s="622"/>
      <c r="S507" s="622"/>
      <c r="T507" s="622" t="s">
        <v>325</v>
      </c>
      <c r="U507" s="622"/>
      <c r="V507" s="597"/>
      <c r="W507" s="597"/>
      <c r="X507" s="597" t="s">
        <v>976</v>
      </c>
      <c r="Y507" s="597"/>
      <c r="Z507" s="622"/>
      <c r="AA507" s="622"/>
      <c r="AB507" s="595">
        <f t="shared" si="7"/>
        <v>0</v>
      </c>
      <c r="AC507" s="622"/>
      <c r="AD507" s="622"/>
      <c r="AE507" s="608"/>
      <c r="AF507" s="622"/>
      <c r="AG507" s="622"/>
      <c r="AH507" s="622"/>
      <c r="AI507" s="622"/>
      <c r="AJ507" s="622"/>
      <c r="AK507" s="125"/>
    </row>
    <row r="508" spans="1:37" ht="15.75" customHeight="1">
      <c r="P508" s="80" t="s">
        <v>261</v>
      </c>
      <c r="Q508" s="80"/>
      <c r="R508" s="80"/>
      <c r="S508" s="80"/>
      <c r="T508" s="80" t="s">
        <v>325</v>
      </c>
      <c r="X508" s="66" t="s">
        <v>619</v>
      </c>
      <c r="Z508" s="94"/>
      <c r="AA508" s="94"/>
      <c r="AB508" s="595">
        <f t="shared" si="7"/>
        <v>0</v>
      </c>
      <c r="AC508" s="94"/>
    </row>
    <row r="509" spans="1:37" ht="52.5" customHeight="1" outlineLevel="1">
      <c r="A509" s="622">
        <v>101</v>
      </c>
      <c r="B509" s="622" t="s">
        <v>1239</v>
      </c>
      <c r="C509" s="622" t="s">
        <v>1240</v>
      </c>
      <c r="D509" s="622" t="s">
        <v>259</v>
      </c>
      <c r="E509" s="622">
        <v>8</v>
      </c>
      <c r="F509" s="622" t="s">
        <v>1241</v>
      </c>
      <c r="G509" s="623"/>
      <c r="H509" s="622"/>
      <c r="I509" s="622"/>
      <c r="J509" s="622"/>
      <c r="K509" s="622"/>
      <c r="L509" s="622"/>
      <c r="M509" s="622"/>
      <c r="N509" s="622"/>
      <c r="O509" s="622"/>
      <c r="P509" s="622" t="s">
        <v>325</v>
      </c>
      <c r="Q509" s="622"/>
      <c r="R509" s="622"/>
      <c r="S509" s="622"/>
      <c r="T509" s="622"/>
      <c r="U509" s="622"/>
      <c r="V509" s="622" t="s">
        <v>261</v>
      </c>
      <c r="W509" s="622"/>
      <c r="X509" s="597" t="s">
        <v>1242</v>
      </c>
      <c r="Y509" s="597"/>
      <c r="Z509" s="622"/>
      <c r="AA509" s="622"/>
      <c r="AB509" s="595"/>
      <c r="AC509" s="622"/>
      <c r="AD509" s="622"/>
      <c r="AE509" s="608"/>
      <c r="AF509" s="622"/>
      <c r="AG509" s="622"/>
      <c r="AH509" s="622"/>
      <c r="AI509" s="622"/>
      <c r="AJ509" s="622"/>
      <c r="AK509" s="125"/>
    </row>
    <row r="510" spans="1:37" ht="30.75" customHeight="1" outlineLevel="1">
      <c r="P510" s="80" t="s">
        <v>325</v>
      </c>
      <c r="Q510" s="80"/>
      <c r="R510" s="80"/>
      <c r="S510" s="80"/>
      <c r="T510" s="80"/>
      <c r="V510" s="94" t="s">
        <v>261</v>
      </c>
      <c r="W510" s="94"/>
      <c r="X510" s="2019" t="s">
        <v>1243</v>
      </c>
      <c r="Y510" s="56" t="s">
        <v>1244</v>
      </c>
      <c r="Z510" s="94"/>
      <c r="AA510" s="94"/>
      <c r="AB510" s="703" t="s">
        <v>103</v>
      </c>
      <c r="AC510" s="703" t="s">
        <v>187</v>
      </c>
      <c r="AD510" s="703" t="s">
        <v>407</v>
      </c>
      <c r="AE510" s="669"/>
      <c r="AF510" s="703" t="s">
        <v>1245</v>
      </c>
      <c r="AG510" s="703" t="s">
        <v>1246</v>
      </c>
      <c r="AI510" s="703" t="s">
        <v>1246</v>
      </c>
      <c r="AJ510" s="703" t="s">
        <v>1007</v>
      </c>
    </row>
    <row r="511" spans="1:37" ht="30.75" customHeight="1" outlineLevel="1">
      <c r="P511" s="80" t="s">
        <v>325</v>
      </c>
      <c r="Q511" s="80"/>
      <c r="R511" s="80"/>
      <c r="S511" s="80"/>
      <c r="T511" s="80"/>
      <c r="V511" s="94" t="s">
        <v>261</v>
      </c>
      <c r="W511" s="94"/>
      <c r="X511" s="2020" t="s">
        <v>1247</v>
      </c>
      <c r="Y511" s="56" t="s">
        <v>1248</v>
      </c>
      <c r="Z511" s="94"/>
      <c r="AA511" s="94"/>
      <c r="AB511" s="703" t="s">
        <v>218</v>
      </c>
      <c r="AC511" s="703" t="s">
        <v>187</v>
      </c>
      <c r="AD511" s="703" t="s">
        <v>407</v>
      </c>
      <c r="AE511" s="669"/>
      <c r="AF511" s="703" t="s">
        <v>1245</v>
      </c>
      <c r="AG511" s="703" t="s">
        <v>1246</v>
      </c>
      <c r="AI511" s="703" t="s">
        <v>1246</v>
      </c>
      <c r="AJ511" s="703" t="s">
        <v>1007</v>
      </c>
    </row>
    <row r="512" spans="1:37" ht="30.75" customHeight="1" outlineLevel="1">
      <c r="P512" s="80" t="s">
        <v>325</v>
      </c>
      <c r="Q512" s="80"/>
      <c r="R512" s="80"/>
      <c r="S512" s="80"/>
      <c r="T512" s="80"/>
      <c r="V512" s="94" t="s">
        <v>261</v>
      </c>
      <c r="W512" s="94"/>
      <c r="X512" s="2021" t="s">
        <v>1249</v>
      </c>
      <c r="Y512" s="56" t="s">
        <v>1250</v>
      </c>
      <c r="Z512" s="94"/>
      <c r="AA512" s="94"/>
      <c r="AB512" s="703" t="s">
        <v>1251</v>
      </c>
      <c r="AC512" s="703" t="s">
        <v>187</v>
      </c>
      <c r="AD512" s="703" t="s">
        <v>407</v>
      </c>
      <c r="AE512" s="669"/>
      <c r="AF512" s="703" t="s">
        <v>1245</v>
      </c>
      <c r="AG512" s="703" t="s">
        <v>1246</v>
      </c>
      <c r="AI512" s="703" t="s">
        <v>1246</v>
      </c>
      <c r="AJ512" s="703" t="s">
        <v>1007</v>
      </c>
    </row>
    <row r="513" spans="1:37" ht="30.75" customHeight="1">
      <c r="P513" s="80" t="s">
        <v>325</v>
      </c>
      <c r="Q513" s="80"/>
      <c r="R513" s="80"/>
      <c r="S513" s="80"/>
      <c r="T513" s="80"/>
      <c r="V513" s="94" t="s">
        <v>261</v>
      </c>
      <c r="W513" s="94"/>
      <c r="X513" s="2022" t="s">
        <v>1252</v>
      </c>
      <c r="Y513" s="56" t="s">
        <v>1253</v>
      </c>
      <c r="Z513" s="94"/>
      <c r="AA513" s="94"/>
      <c r="AB513" s="703" t="s">
        <v>1254</v>
      </c>
      <c r="AC513" s="703" t="s">
        <v>187</v>
      </c>
      <c r="AD513" s="703" t="s">
        <v>407</v>
      </c>
      <c r="AE513" s="669"/>
      <c r="AF513" s="703" t="s">
        <v>1245</v>
      </c>
      <c r="AG513" s="703" t="s">
        <v>1246</v>
      </c>
      <c r="AI513" s="703" t="s">
        <v>1246</v>
      </c>
      <c r="AJ513" s="703" t="s">
        <v>1007</v>
      </c>
    </row>
    <row r="514" spans="1:37" ht="52.5" customHeight="1" outlineLevel="1">
      <c r="A514" s="622">
        <v>101</v>
      </c>
      <c r="B514" s="622" t="s">
        <v>1239</v>
      </c>
      <c r="C514" s="622" t="s">
        <v>1255</v>
      </c>
      <c r="D514" s="622" t="s">
        <v>259</v>
      </c>
      <c r="E514" s="622">
        <v>8</v>
      </c>
      <c r="F514" s="622" t="s">
        <v>1241</v>
      </c>
      <c r="G514" s="623"/>
      <c r="H514" s="622"/>
      <c r="I514" s="622"/>
      <c r="J514" s="622"/>
      <c r="K514" s="622"/>
      <c r="L514" s="622"/>
      <c r="M514" s="622"/>
      <c r="N514" s="622"/>
      <c r="O514" s="622"/>
      <c r="P514" s="139" t="s">
        <v>325</v>
      </c>
      <c r="Q514" s="622"/>
      <c r="R514" s="622"/>
      <c r="S514" s="622"/>
      <c r="T514" s="622"/>
      <c r="U514" s="622"/>
      <c r="V514" s="181" t="s">
        <v>261</v>
      </c>
      <c r="W514" s="181"/>
      <c r="X514" s="597" t="s">
        <v>1256</v>
      </c>
      <c r="Y514" s="597"/>
      <c r="Z514" s="622"/>
      <c r="AA514" s="622"/>
      <c r="AB514" s="595"/>
      <c r="AC514" s="622"/>
      <c r="AD514" s="622"/>
      <c r="AE514" s="608"/>
      <c r="AF514" s="622"/>
      <c r="AG514" s="622"/>
      <c r="AH514" s="622"/>
      <c r="AI514" s="622"/>
      <c r="AJ514" s="622"/>
      <c r="AK514" s="125"/>
    </row>
    <row r="515" spans="1:37" ht="30.75" customHeight="1" outlineLevel="1">
      <c r="P515" s="80" t="s">
        <v>325</v>
      </c>
      <c r="Q515" s="80"/>
      <c r="R515" s="80"/>
      <c r="S515" s="80"/>
      <c r="T515" s="80"/>
      <c r="V515" s="94" t="s">
        <v>261</v>
      </c>
      <c r="W515" s="94"/>
      <c r="X515" s="2023" t="s">
        <v>1257</v>
      </c>
      <c r="Y515" s="56" t="s">
        <v>1258</v>
      </c>
      <c r="Z515" s="94"/>
      <c r="AA515" s="94"/>
      <c r="AB515" s="703" t="s">
        <v>103</v>
      </c>
      <c r="AC515" s="703" t="s">
        <v>187</v>
      </c>
      <c r="AD515" s="703" t="s">
        <v>407</v>
      </c>
      <c r="AE515" s="669"/>
      <c r="AF515" s="703" t="s">
        <v>1245</v>
      </c>
      <c r="AG515" s="703" t="s">
        <v>1246</v>
      </c>
      <c r="AI515" s="703" t="s">
        <v>1246</v>
      </c>
      <c r="AJ515" s="703" t="s">
        <v>1007</v>
      </c>
    </row>
    <row r="516" spans="1:37" ht="30.75" customHeight="1" outlineLevel="1">
      <c r="P516" s="80" t="s">
        <v>325</v>
      </c>
      <c r="Q516" s="80"/>
      <c r="R516" s="80"/>
      <c r="S516" s="80"/>
      <c r="T516" s="80"/>
      <c r="V516" s="94" t="s">
        <v>261</v>
      </c>
      <c r="W516" s="94"/>
      <c r="X516" s="2024" t="s">
        <v>1259</v>
      </c>
      <c r="Y516" s="56" t="s">
        <v>1260</v>
      </c>
      <c r="Z516" s="94"/>
      <c r="AA516" s="94"/>
      <c r="AB516" s="703" t="s">
        <v>218</v>
      </c>
      <c r="AC516" s="703" t="s">
        <v>187</v>
      </c>
      <c r="AD516" s="703" t="s">
        <v>407</v>
      </c>
      <c r="AE516" s="669"/>
      <c r="AF516" s="703" t="s">
        <v>1245</v>
      </c>
      <c r="AG516" s="703" t="s">
        <v>1246</v>
      </c>
      <c r="AI516" s="703" t="s">
        <v>1246</v>
      </c>
      <c r="AJ516" s="703" t="s">
        <v>1007</v>
      </c>
    </row>
    <row r="517" spans="1:37" ht="30.75" customHeight="1" outlineLevel="1">
      <c r="P517" s="80" t="s">
        <v>325</v>
      </c>
      <c r="Q517" s="80"/>
      <c r="R517" s="80"/>
      <c r="S517" s="80"/>
      <c r="T517" s="80"/>
      <c r="V517" s="94" t="s">
        <v>261</v>
      </c>
      <c r="W517" s="94"/>
      <c r="X517" s="2025" t="s">
        <v>1261</v>
      </c>
      <c r="Y517" s="56" t="s">
        <v>1262</v>
      </c>
      <c r="Z517" s="94"/>
      <c r="AA517" s="94"/>
      <c r="AB517" s="703" t="s">
        <v>1251</v>
      </c>
      <c r="AC517" s="703" t="s">
        <v>187</v>
      </c>
      <c r="AD517" s="703" t="s">
        <v>407</v>
      </c>
      <c r="AE517" s="669"/>
      <c r="AF517" s="703" t="s">
        <v>1245</v>
      </c>
      <c r="AG517" s="703" t="s">
        <v>1246</v>
      </c>
      <c r="AI517" s="703" t="s">
        <v>1246</v>
      </c>
      <c r="AJ517" s="703" t="s">
        <v>1007</v>
      </c>
    </row>
    <row r="518" spans="1:37" ht="30.75" customHeight="1" outlineLevel="1">
      <c r="P518" s="80" t="s">
        <v>325</v>
      </c>
      <c r="Q518" s="80"/>
      <c r="R518" s="80"/>
      <c r="S518" s="80"/>
      <c r="T518" s="80"/>
      <c r="V518" s="94" t="s">
        <v>261</v>
      </c>
      <c r="W518" s="94"/>
      <c r="X518" s="2026" t="s">
        <v>1263</v>
      </c>
      <c r="Y518" s="56" t="s">
        <v>1264</v>
      </c>
      <c r="Z518" s="94"/>
      <c r="AA518" s="94"/>
      <c r="AB518" s="703" t="s">
        <v>1265</v>
      </c>
      <c r="AC518" s="703" t="s">
        <v>1266</v>
      </c>
      <c r="AD518" s="703" t="s">
        <v>407</v>
      </c>
      <c r="AE518" s="669"/>
      <c r="AF518" s="703" t="s">
        <v>1267</v>
      </c>
      <c r="AG518" s="703" t="s">
        <v>1246</v>
      </c>
      <c r="AI518" s="703"/>
      <c r="AJ518" s="703"/>
    </row>
    <row r="519" spans="1:37" ht="30.75" customHeight="1">
      <c r="P519" s="80" t="s">
        <v>325</v>
      </c>
      <c r="Q519" s="80"/>
      <c r="R519" s="80"/>
      <c r="S519" s="80"/>
      <c r="T519" s="80"/>
      <c r="V519" s="94" t="s">
        <v>261</v>
      </c>
      <c r="W519" s="94"/>
      <c r="X519" s="2027" t="s">
        <v>1268</v>
      </c>
      <c r="Y519" s="56" t="s">
        <v>1269</v>
      </c>
      <c r="Z519" s="94"/>
      <c r="AA519" s="94"/>
      <c r="AB519" s="703" t="s">
        <v>1254</v>
      </c>
      <c r="AC519" s="703" t="s">
        <v>1266</v>
      </c>
      <c r="AD519" s="703" t="s">
        <v>407</v>
      </c>
      <c r="AF519" s="703" t="s">
        <v>1267</v>
      </c>
      <c r="AG519" s="703" t="s">
        <v>1246</v>
      </c>
    </row>
    <row r="520" spans="1:37" ht="52.5" customHeight="1" outlineLevel="1">
      <c r="A520" s="622">
        <v>101</v>
      </c>
      <c r="B520" s="622" t="s">
        <v>1239</v>
      </c>
      <c r="C520" s="622" t="s">
        <v>1270</v>
      </c>
      <c r="D520" s="622" t="s">
        <v>259</v>
      </c>
      <c r="E520" s="622">
        <v>8</v>
      </c>
      <c r="F520" s="622" t="s">
        <v>1241</v>
      </c>
      <c r="G520" s="623"/>
      <c r="H520" s="622"/>
      <c r="I520" s="622"/>
      <c r="J520" s="622"/>
      <c r="K520" s="622"/>
      <c r="L520" s="622"/>
      <c r="M520" s="622"/>
      <c r="N520" s="622"/>
      <c r="O520" s="622"/>
      <c r="P520" s="139" t="s">
        <v>325</v>
      </c>
      <c r="Q520" s="622"/>
      <c r="R520" s="622"/>
      <c r="S520" s="622"/>
      <c r="T520" s="622"/>
      <c r="U520" s="622"/>
      <c r="V520" s="181" t="s">
        <v>261</v>
      </c>
      <c r="W520" s="181"/>
      <c r="X520" s="597" t="s">
        <v>1271</v>
      </c>
      <c r="Y520" s="597"/>
      <c r="Z520" s="622"/>
      <c r="AA520" s="622"/>
      <c r="AB520" s="595"/>
      <c r="AC520" s="622"/>
      <c r="AD520" s="622"/>
      <c r="AE520" s="608"/>
      <c r="AF520" s="622"/>
      <c r="AG520" s="622"/>
      <c r="AH520" s="622"/>
      <c r="AI520" s="622"/>
      <c r="AJ520" s="622"/>
      <c r="AK520" s="125"/>
    </row>
    <row r="521" spans="1:37" ht="14.25" customHeight="1" outlineLevel="1">
      <c r="P521" s="80" t="s">
        <v>325</v>
      </c>
      <c r="Q521" s="80"/>
      <c r="R521" s="80"/>
      <c r="S521" s="80"/>
      <c r="T521" s="80"/>
      <c r="V521" s="94" t="s">
        <v>261</v>
      </c>
      <c r="W521" s="94"/>
      <c r="X521" s="70" t="s">
        <v>1272</v>
      </c>
      <c r="Y521" s="56" t="s">
        <v>1273</v>
      </c>
      <c r="Z521" s="607"/>
      <c r="AA521" s="607"/>
      <c r="AB521" s="704" t="s">
        <v>103</v>
      </c>
      <c r="AC521" s="703" t="s">
        <v>105</v>
      </c>
      <c r="AD521" s="703" t="s">
        <v>407</v>
      </c>
      <c r="AE521" s="705"/>
      <c r="AF521" s="703" t="s">
        <v>1267</v>
      </c>
      <c r="AG521" s="703" t="s">
        <v>1246</v>
      </c>
      <c r="AH521" s="706"/>
      <c r="AI521" s="609"/>
      <c r="AJ521" s="609"/>
    </row>
    <row r="522" spans="1:37" ht="15.75" customHeight="1" outlineLevel="1">
      <c r="P522" s="80" t="s">
        <v>325</v>
      </c>
      <c r="Q522" s="80"/>
      <c r="R522" s="80"/>
      <c r="S522" s="80"/>
      <c r="T522" s="80"/>
      <c r="V522" s="94" t="s">
        <v>261</v>
      </c>
      <c r="W522" s="94"/>
      <c r="X522" s="70" t="s">
        <v>1274</v>
      </c>
      <c r="Y522" s="56" t="s">
        <v>1275</v>
      </c>
      <c r="Z522" s="607"/>
      <c r="AA522" s="607"/>
      <c r="AB522" s="704" t="s">
        <v>167</v>
      </c>
      <c r="AC522" s="703" t="s">
        <v>95</v>
      </c>
      <c r="AD522" s="703" t="s">
        <v>407</v>
      </c>
      <c r="AE522" s="705"/>
      <c r="AF522" s="703" t="s">
        <v>1267</v>
      </c>
      <c r="AG522" s="703" t="s">
        <v>1246</v>
      </c>
      <c r="AH522" s="706"/>
      <c r="AI522" s="609"/>
      <c r="AJ522" s="609"/>
    </row>
    <row r="523" spans="1:37" ht="30.75" customHeight="1" outlineLevel="1">
      <c r="P523" s="80" t="s">
        <v>325</v>
      </c>
      <c r="Q523" s="80"/>
      <c r="R523" s="80"/>
      <c r="S523" s="80"/>
      <c r="T523" s="80"/>
      <c r="V523" s="94" t="s">
        <v>261</v>
      </c>
      <c r="W523" s="94"/>
      <c r="X523" s="2028" t="s">
        <v>1276</v>
      </c>
      <c r="Y523" s="56" t="s">
        <v>1277</v>
      </c>
      <c r="Z523" s="607"/>
      <c r="AA523" s="607"/>
      <c r="AB523" s="704" t="s">
        <v>179</v>
      </c>
      <c r="AC523" s="703" t="s">
        <v>506</v>
      </c>
      <c r="AD523" s="703" t="s">
        <v>407</v>
      </c>
      <c r="AE523" s="2029" t="s">
        <v>1278</v>
      </c>
      <c r="AF523" s="703" t="s">
        <v>1267</v>
      </c>
      <c r="AG523" s="703" t="s">
        <v>1246</v>
      </c>
      <c r="AH523" s="706"/>
      <c r="AI523" s="609"/>
      <c r="AJ523" s="609"/>
    </row>
    <row r="524" spans="1:37" ht="30.75" customHeight="1" outlineLevel="1">
      <c r="P524" s="80" t="s">
        <v>325</v>
      </c>
      <c r="Q524" s="80"/>
      <c r="R524" s="80"/>
      <c r="S524" s="80"/>
      <c r="T524" s="80"/>
      <c r="V524" s="94" t="s">
        <v>261</v>
      </c>
      <c r="W524" s="94"/>
      <c r="X524" s="2030" t="s">
        <v>1279</v>
      </c>
      <c r="Y524" s="56" t="s">
        <v>1280</v>
      </c>
      <c r="Z524" s="607"/>
      <c r="AA524" s="607"/>
      <c r="AB524" s="704" t="s">
        <v>183</v>
      </c>
      <c r="AC524" s="703" t="s">
        <v>506</v>
      </c>
      <c r="AD524" s="703" t="s">
        <v>407</v>
      </c>
      <c r="AE524" s="2031" t="s">
        <v>1278</v>
      </c>
      <c r="AF524" s="703" t="s">
        <v>1267</v>
      </c>
      <c r="AG524" s="703" t="s">
        <v>1246</v>
      </c>
      <c r="AH524" s="706"/>
      <c r="AI524" s="609"/>
      <c r="AJ524" s="609"/>
    </row>
    <row r="525" spans="1:37" ht="30.75" customHeight="1" outlineLevel="1">
      <c r="P525" s="80" t="s">
        <v>325</v>
      </c>
      <c r="Q525" s="80"/>
      <c r="R525" s="80"/>
      <c r="S525" s="80"/>
      <c r="T525" s="80"/>
      <c r="V525" s="94" t="s">
        <v>261</v>
      </c>
      <c r="W525" s="94"/>
      <c r="X525" s="2032" t="s">
        <v>1281</v>
      </c>
      <c r="Y525" s="56" t="s">
        <v>1282</v>
      </c>
      <c r="Z525" s="607"/>
      <c r="AA525" s="607"/>
      <c r="AB525" s="704" t="s">
        <v>218</v>
      </c>
      <c r="AC525" s="703" t="s">
        <v>222</v>
      </c>
      <c r="AD525" s="703" t="s">
        <v>407</v>
      </c>
      <c r="AE525" s="705"/>
      <c r="AF525" s="703" t="s">
        <v>1245</v>
      </c>
      <c r="AG525" s="703" t="s">
        <v>1283</v>
      </c>
      <c r="AH525" s="706"/>
      <c r="AI525" s="609"/>
      <c r="AJ525" s="707" t="s">
        <v>98</v>
      </c>
    </row>
    <row r="526" spans="1:37" ht="30.75" customHeight="1">
      <c r="P526" s="80" t="s">
        <v>325</v>
      </c>
      <c r="Q526" s="80"/>
      <c r="R526" s="80"/>
      <c r="S526" s="80"/>
      <c r="T526" s="80"/>
      <c r="V526" s="94" t="s">
        <v>261</v>
      </c>
      <c r="W526" s="94"/>
      <c r="X526" s="2033" t="s">
        <v>1284</v>
      </c>
      <c r="Y526" s="56" t="s">
        <v>1285</v>
      </c>
      <c r="Z526" s="607"/>
      <c r="AA526" s="607"/>
      <c r="AB526" s="704" t="s">
        <v>1286</v>
      </c>
      <c r="AC526" s="703" t="s">
        <v>187</v>
      </c>
      <c r="AD526" s="703" t="s">
        <v>407</v>
      </c>
      <c r="AE526" s="705"/>
      <c r="AF526" s="703" t="s">
        <v>1245</v>
      </c>
      <c r="AG526" s="703" t="s">
        <v>1246</v>
      </c>
      <c r="AH526" s="706"/>
      <c r="AI526" s="609"/>
      <c r="AJ526" s="707" t="s">
        <v>1007</v>
      </c>
    </row>
    <row r="527" spans="1:37" ht="52.5" customHeight="1" outlineLevel="1">
      <c r="A527" s="622">
        <v>101</v>
      </c>
      <c r="B527" s="622" t="s">
        <v>1239</v>
      </c>
      <c r="C527" s="622" t="s">
        <v>1287</v>
      </c>
      <c r="D527" s="622" t="s">
        <v>259</v>
      </c>
      <c r="E527" s="622">
        <v>8</v>
      </c>
      <c r="F527" s="622" t="s">
        <v>1241</v>
      </c>
      <c r="G527" s="623" t="s">
        <v>325</v>
      </c>
      <c r="H527" s="622"/>
      <c r="I527" s="622"/>
      <c r="J527" s="622"/>
      <c r="K527" s="622"/>
      <c r="L527" s="622"/>
      <c r="M527" s="622"/>
      <c r="N527" s="622"/>
      <c r="O527" s="622"/>
      <c r="P527" s="139" t="s">
        <v>325</v>
      </c>
      <c r="Q527" s="622"/>
      <c r="R527" s="622"/>
      <c r="S527" s="622"/>
      <c r="T527" s="622"/>
      <c r="U527" s="622"/>
      <c r="V527" s="181" t="s">
        <v>261</v>
      </c>
      <c r="W527" s="181"/>
      <c r="X527" s="597" t="s">
        <v>1288</v>
      </c>
      <c r="Y527" s="597"/>
      <c r="Z527" s="622"/>
      <c r="AA527" s="622"/>
      <c r="AB527" s="595"/>
      <c r="AC527" s="622"/>
      <c r="AD527" s="622"/>
      <c r="AE527" s="608"/>
      <c r="AF527" s="622"/>
      <c r="AG527" s="622"/>
      <c r="AH527" s="622"/>
      <c r="AI527" s="622"/>
      <c r="AJ527" s="622"/>
      <c r="AK527" s="125"/>
    </row>
    <row r="528" spans="1:37" ht="45.75" customHeight="1" outlineLevel="1">
      <c r="G528" s="49" t="s">
        <v>325</v>
      </c>
      <c r="P528" s="80" t="s">
        <v>325</v>
      </c>
      <c r="Q528" s="80"/>
      <c r="R528" s="80"/>
      <c r="S528" s="80"/>
      <c r="T528" s="80"/>
      <c r="V528" s="94" t="s">
        <v>261</v>
      </c>
      <c r="W528" s="94"/>
      <c r="X528" s="2034" t="s">
        <v>1289</v>
      </c>
      <c r="Y528" s="669" t="s">
        <v>1290</v>
      </c>
      <c r="Z528" s="708"/>
      <c r="AA528" s="607"/>
      <c r="AB528" s="709">
        <v>0</v>
      </c>
      <c r="AC528" s="692">
        <v>1</v>
      </c>
      <c r="AD528" s="707" t="s">
        <v>407</v>
      </c>
      <c r="AE528" s="2035" t="s">
        <v>1291</v>
      </c>
      <c r="AF528" s="609"/>
      <c r="AG528" s="609"/>
      <c r="AH528" s="609"/>
      <c r="AI528" s="609"/>
      <c r="AJ528" s="609"/>
    </row>
    <row r="529" spans="7:36" ht="45.75" customHeight="1" outlineLevel="1">
      <c r="G529" s="49" t="s">
        <v>325</v>
      </c>
      <c r="P529" s="80" t="s">
        <v>325</v>
      </c>
      <c r="Q529" s="80"/>
      <c r="R529" s="80"/>
      <c r="S529" s="80"/>
      <c r="T529" s="80"/>
      <c r="V529" s="94" t="s">
        <v>261</v>
      </c>
      <c r="W529" s="94"/>
      <c r="X529" s="2036" t="s">
        <v>1292</v>
      </c>
      <c r="Y529" s="669" t="s">
        <v>1293</v>
      </c>
      <c r="Z529" s="708"/>
      <c r="AA529" s="607"/>
      <c r="AB529" s="709">
        <v>1</v>
      </c>
      <c r="AC529" s="692">
        <v>1</v>
      </c>
      <c r="AD529" s="707" t="s">
        <v>407</v>
      </c>
      <c r="AE529" s="2037" t="s">
        <v>1291</v>
      </c>
      <c r="AF529" s="609"/>
      <c r="AG529" s="609"/>
      <c r="AH529" s="609"/>
      <c r="AI529" s="609"/>
      <c r="AJ529" s="609"/>
    </row>
    <row r="530" spans="7:36" ht="45.75" customHeight="1" outlineLevel="1">
      <c r="G530" s="49" t="s">
        <v>325</v>
      </c>
      <c r="P530" s="80" t="s">
        <v>325</v>
      </c>
      <c r="Q530" s="80"/>
      <c r="R530" s="80"/>
      <c r="S530" s="80"/>
      <c r="T530" s="80"/>
      <c r="V530" s="94" t="s">
        <v>261</v>
      </c>
      <c r="W530" s="94"/>
      <c r="X530" s="2038" t="s">
        <v>1294</v>
      </c>
      <c r="Y530" s="669" t="s">
        <v>1295</v>
      </c>
      <c r="Z530" s="708"/>
      <c r="AA530" s="607"/>
      <c r="AB530" s="709">
        <v>2</v>
      </c>
      <c r="AC530" s="692">
        <v>1</v>
      </c>
      <c r="AD530" s="707" t="s">
        <v>407</v>
      </c>
      <c r="AE530" s="2039" t="s">
        <v>1291</v>
      </c>
      <c r="AF530" s="609"/>
      <c r="AG530" s="609"/>
      <c r="AH530" s="609"/>
      <c r="AI530" s="609"/>
      <c r="AJ530" s="609"/>
    </row>
    <row r="531" spans="7:36" ht="30.75" customHeight="1" outlineLevel="1">
      <c r="G531" s="49" t="s">
        <v>325</v>
      </c>
      <c r="P531" s="80" t="s">
        <v>325</v>
      </c>
      <c r="Q531" s="80"/>
      <c r="R531" s="80"/>
      <c r="S531" s="80"/>
      <c r="T531" s="80"/>
      <c r="V531" s="94" t="s">
        <v>261</v>
      </c>
      <c r="W531" s="94"/>
      <c r="X531" s="2040" t="s">
        <v>1296</v>
      </c>
      <c r="Y531" s="669" t="s">
        <v>1297</v>
      </c>
      <c r="Z531" s="708"/>
      <c r="AA531" s="607"/>
      <c r="AB531" s="709">
        <v>3</v>
      </c>
      <c r="AC531" s="692">
        <v>1</v>
      </c>
      <c r="AD531" s="707" t="s">
        <v>407</v>
      </c>
      <c r="AE531" s="2041" t="s">
        <v>1291</v>
      </c>
      <c r="AF531" s="609"/>
      <c r="AG531" s="609"/>
      <c r="AH531" s="609"/>
      <c r="AI531" s="609"/>
      <c r="AJ531" s="609"/>
    </row>
    <row r="532" spans="7:36" ht="30.75" customHeight="1" outlineLevel="1">
      <c r="G532" s="49" t="s">
        <v>325</v>
      </c>
      <c r="P532" s="80" t="s">
        <v>325</v>
      </c>
      <c r="Q532" s="80"/>
      <c r="R532" s="80"/>
      <c r="S532" s="80"/>
      <c r="T532" s="80"/>
      <c r="V532" s="94" t="s">
        <v>261</v>
      </c>
      <c r="W532" s="94"/>
      <c r="X532" s="2042" t="s">
        <v>1298</v>
      </c>
      <c r="Y532" s="669" t="s">
        <v>1299</v>
      </c>
      <c r="Z532" s="708"/>
      <c r="AA532" s="607"/>
      <c r="AB532" s="709">
        <v>4</v>
      </c>
      <c r="AC532" s="692">
        <v>1</v>
      </c>
      <c r="AD532" s="707" t="s">
        <v>407</v>
      </c>
      <c r="AE532" s="2043" t="s">
        <v>1291</v>
      </c>
      <c r="AF532" s="609"/>
      <c r="AG532" s="609"/>
      <c r="AH532" s="609"/>
      <c r="AI532" s="609"/>
      <c r="AJ532" s="609"/>
    </row>
    <row r="533" spans="7:36" ht="45.75" customHeight="1" outlineLevel="1">
      <c r="G533" s="49" t="s">
        <v>325</v>
      </c>
      <c r="P533" s="80" t="s">
        <v>325</v>
      </c>
      <c r="Q533" s="80"/>
      <c r="R533" s="80"/>
      <c r="S533" s="80"/>
      <c r="T533" s="80"/>
      <c r="V533" s="94" t="s">
        <v>261</v>
      </c>
      <c r="W533" s="94"/>
      <c r="X533" s="2044" t="s">
        <v>1300</v>
      </c>
      <c r="Y533" s="669" t="s">
        <v>1301</v>
      </c>
      <c r="Z533" s="708"/>
      <c r="AA533" s="607"/>
      <c r="AB533" s="709">
        <v>5</v>
      </c>
      <c r="AC533" s="692">
        <v>1</v>
      </c>
      <c r="AD533" s="707" t="s">
        <v>407</v>
      </c>
      <c r="AE533" s="2045" t="s">
        <v>1291</v>
      </c>
      <c r="AF533" s="609"/>
      <c r="AG533" s="609"/>
      <c r="AH533" s="609"/>
      <c r="AI533" s="609"/>
      <c r="AJ533" s="609"/>
    </row>
    <row r="534" spans="7:36" ht="45.75" customHeight="1" outlineLevel="1">
      <c r="G534" s="49" t="s">
        <v>325</v>
      </c>
      <c r="P534" s="80" t="s">
        <v>325</v>
      </c>
      <c r="Q534" s="80"/>
      <c r="R534" s="80"/>
      <c r="S534" s="80"/>
      <c r="T534" s="80"/>
      <c r="V534" s="94" t="s">
        <v>261</v>
      </c>
      <c r="W534" s="94"/>
      <c r="X534" s="2046" t="s">
        <v>1302</v>
      </c>
      <c r="Y534" s="669" t="s">
        <v>1303</v>
      </c>
      <c r="Z534" s="708"/>
      <c r="AA534" s="607"/>
      <c r="AB534" s="709">
        <v>6</v>
      </c>
      <c r="AC534" s="692">
        <v>1</v>
      </c>
      <c r="AD534" s="707" t="s">
        <v>407</v>
      </c>
      <c r="AE534" s="2047" t="s">
        <v>1291</v>
      </c>
      <c r="AF534" s="609"/>
      <c r="AG534" s="609"/>
      <c r="AH534" s="609"/>
      <c r="AI534" s="609"/>
      <c r="AJ534" s="609"/>
    </row>
    <row r="535" spans="7:36" ht="45.75" customHeight="1" outlineLevel="1">
      <c r="G535" s="49" t="s">
        <v>325</v>
      </c>
      <c r="P535" s="80" t="s">
        <v>325</v>
      </c>
      <c r="Q535" s="80"/>
      <c r="R535" s="80"/>
      <c r="S535" s="80"/>
      <c r="T535" s="80"/>
      <c r="V535" s="94" t="s">
        <v>261</v>
      </c>
      <c r="W535" s="94"/>
      <c r="X535" s="2048" t="s">
        <v>1304</v>
      </c>
      <c r="Y535" s="669" t="s">
        <v>1305</v>
      </c>
      <c r="Z535" s="708"/>
      <c r="AA535" s="607"/>
      <c r="AB535" s="709">
        <v>7</v>
      </c>
      <c r="AC535" s="692">
        <v>1</v>
      </c>
      <c r="AD535" s="707" t="s">
        <v>407</v>
      </c>
      <c r="AE535" s="2049" t="s">
        <v>1291</v>
      </c>
      <c r="AF535" s="609"/>
      <c r="AG535" s="609"/>
      <c r="AH535" s="609"/>
      <c r="AI535" s="609"/>
      <c r="AJ535" s="609"/>
    </row>
    <row r="536" spans="7:36" ht="30.75" customHeight="1" outlineLevel="1">
      <c r="G536" s="49" t="s">
        <v>325</v>
      </c>
      <c r="P536" s="80" t="s">
        <v>325</v>
      </c>
      <c r="Q536" s="80"/>
      <c r="R536" s="80"/>
      <c r="S536" s="80"/>
      <c r="T536" s="80"/>
      <c r="V536" s="94" t="s">
        <v>261</v>
      </c>
      <c r="W536" s="94"/>
      <c r="X536" s="2050" t="s">
        <v>1306</v>
      </c>
      <c r="Y536" s="669" t="s">
        <v>1307</v>
      </c>
      <c r="Z536" s="708"/>
      <c r="AA536" s="607"/>
      <c r="AB536" s="709">
        <v>13</v>
      </c>
      <c r="AC536" s="692">
        <v>1</v>
      </c>
      <c r="AD536" s="707" t="s">
        <v>407</v>
      </c>
      <c r="AE536" s="2051" t="s">
        <v>1291</v>
      </c>
      <c r="AF536" s="609"/>
      <c r="AG536" s="609"/>
      <c r="AH536" s="609"/>
      <c r="AI536" s="609"/>
      <c r="AJ536" s="609"/>
    </row>
    <row r="537" spans="7:36" ht="45.75" customHeight="1" outlineLevel="1">
      <c r="G537" s="49" t="s">
        <v>325</v>
      </c>
      <c r="P537" s="80" t="s">
        <v>325</v>
      </c>
      <c r="Q537" s="80"/>
      <c r="R537" s="80"/>
      <c r="S537" s="80"/>
      <c r="T537" s="80"/>
      <c r="V537" s="94" t="s">
        <v>261</v>
      </c>
      <c r="W537" s="94"/>
      <c r="X537" s="2052" t="s">
        <v>1308</v>
      </c>
      <c r="Y537" s="669" t="s">
        <v>1309</v>
      </c>
      <c r="Z537" s="708"/>
      <c r="AA537" s="607"/>
      <c r="AB537" s="709">
        <v>14</v>
      </c>
      <c r="AC537" s="692">
        <v>1</v>
      </c>
      <c r="AD537" s="707" t="s">
        <v>407</v>
      </c>
      <c r="AE537" s="2053" t="s">
        <v>1291</v>
      </c>
      <c r="AF537" s="609"/>
      <c r="AG537" s="609"/>
      <c r="AH537" s="609"/>
      <c r="AI537" s="609"/>
      <c r="AJ537" s="609"/>
    </row>
    <row r="538" spans="7:36" ht="45.75" customHeight="1" outlineLevel="1">
      <c r="G538" s="49" t="s">
        <v>325</v>
      </c>
      <c r="P538" s="80" t="s">
        <v>325</v>
      </c>
      <c r="Q538" s="80"/>
      <c r="R538" s="80"/>
      <c r="S538" s="80"/>
      <c r="T538" s="80"/>
      <c r="V538" s="94" t="s">
        <v>261</v>
      </c>
      <c r="W538" s="94"/>
      <c r="X538" s="2054" t="s">
        <v>1310</v>
      </c>
      <c r="Y538" s="669" t="s">
        <v>1311</v>
      </c>
      <c r="Z538" s="708"/>
      <c r="AA538" s="607"/>
      <c r="AB538" s="709">
        <v>15</v>
      </c>
      <c r="AC538" s="692">
        <v>1</v>
      </c>
      <c r="AD538" s="707" t="s">
        <v>407</v>
      </c>
      <c r="AE538" s="2055" t="s">
        <v>1291</v>
      </c>
      <c r="AF538" s="609"/>
      <c r="AG538" s="609"/>
      <c r="AH538" s="609"/>
      <c r="AI538" s="609"/>
      <c r="AJ538" s="609"/>
    </row>
    <row r="539" spans="7:36" ht="30.75" customHeight="1" outlineLevel="1">
      <c r="G539" s="49" t="s">
        <v>325</v>
      </c>
      <c r="P539" s="80" t="s">
        <v>325</v>
      </c>
      <c r="Q539" s="80"/>
      <c r="R539" s="80"/>
      <c r="S539" s="80"/>
      <c r="T539" s="80"/>
      <c r="V539" s="94" t="s">
        <v>261</v>
      </c>
      <c r="W539" s="94"/>
      <c r="X539" s="2056" t="s">
        <v>1312</v>
      </c>
      <c r="Y539" s="669" t="s">
        <v>1313</v>
      </c>
      <c r="Z539" s="708"/>
      <c r="AA539" s="607"/>
      <c r="AB539" s="709">
        <v>48</v>
      </c>
      <c r="AC539" s="692">
        <v>1</v>
      </c>
      <c r="AD539" s="707" t="s">
        <v>407</v>
      </c>
      <c r="AE539" s="2057" t="s">
        <v>1291</v>
      </c>
      <c r="AF539" s="609"/>
      <c r="AG539" s="609"/>
      <c r="AH539" s="609"/>
      <c r="AI539" s="609"/>
      <c r="AJ539" s="609"/>
    </row>
    <row r="540" spans="7:36" ht="30.75" customHeight="1" outlineLevel="1">
      <c r="G540" s="49" t="s">
        <v>325</v>
      </c>
      <c r="P540" s="80" t="s">
        <v>325</v>
      </c>
      <c r="Q540" s="80"/>
      <c r="R540" s="80"/>
      <c r="S540" s="80"/>
      <c r="T540" s="80"/>
      <c r="V540" s="94" t="s">
        <v>261</v>
      </c>
      <c r="W540" s="94"/>
      <c r="X540" s="2058" t="s">
        <v>1314</v>
      </c>
      <c r="Y540" s="669" t="s">
        <v>1315</v>
      </c>
      <c r="Z540" s="708"/>
      <c r="AA540" s="607"/>
      <c r="AB540" s="709">
        <v>49</v>
      </c>
      <c r="AC540" s="692">
        <v>1</v>
      </c>
      <c r="AD540" s="707" t="s">
        <v>407</v>
      </c>
      <c r="AE540" s="2059" t="s">
        <v>1291</v>
      </c>
      <c r="AF540" s="609"/>
      <c r="AG540" s="609"/>
      <c r="AH540" s="609"/>
      <c r="AI540" s="609"/>
      <c r="AJ540" s="609"/>
    </row>
    <row r="541" spans="7:36" ht="30.75" customHeight="1" outlineLevel="1">
      <c r="G541" s="49" t="s">
        <v>325</v>
      </c>
      <c r="P541" s="80" t="s">
        <v>325</v>
      </c>
      <c r="Q541" s="80"/>
      <c r="R541" s="80"/>
      <c r="S541" s="80"/>
      <c r="T541" s="80"/>
      <c r="V541" s="94" t="s">
        <v>261</v>
      </c>
      <c r="W541" s="94"/>
      <c r="X541" s="2060" t="s">
        <v>1316</v>
      </c>
      <c r="Y541" s="669" t="s">
        <v>1317</v>
      </c>
      <c r="Z541" s="708"/>
      <c r="AA541" s="607"/>
      <c r="AB541" s="709">
        <v>50</v>
      </c>
      <c r="AC541" s="692">
        <v>1</v>
      </c>
      <c r="AD541" s="707" t="s">
        <v>407</v>
      </c>
      <c r="AE541" s="2061" t="s">
        <v>1291</v>
      </c>
      <c r="AF541" s="609"/>
      <c r="AG541" s="609"/>
      <c r="AH541" s="609"/>
      <c r="AI541" s="609"/>
      <c r="AJ541" s="609"/>
    </row>
    <row r="542" spans="7:36" ht="30.75" customHeight="1" outlineLevel="1">
      <c r="G542" s="49" t="s">
        <v>325</v>
      </c>
      <c r="P542" s="80" t="s">
        <v>325</v>
      </c>
      <c r="Q542" s="80"/>
      <c r="R542" s="80"/>
      <c r="S542" s="80"/>
      <c r="T542" s="80"/>
      <c r="V542" s="94" t="s">
        <v>261</v>
      </c>
      <c r="W542" s="94"/>
      <c r="X542" s="2062" t="s">
        <v>1318</v>
      </c>
      <c r="Y542" s="669" t="s">
        <v>1319</v>
      </c>
      <c r="Z542" s="708"/>
      <c r="AA542" s="607"/>
      <c r="AB542" s="709">
        <v>51</v>
      </c>
      <c r="AC542" s="692">
        <v>1</v>
      </c>
      <c r="AD542" s="707" t="s">
        <v>407</v>
      </c>
      <c r="AE542" s="2063" t="s">
        <v>1291</v>
      </c>
      <c r="AF542" s="609"/>
      <c r="AG542" s="609"/>
      <c r="AH542" s="609"/>
      <c r="AI542" s="609"/>
      <c r="AJ542" s="609"/>
    </row>
    <row r="543" spans="7:36" ht="30.75" customHeight="1" outlineLevel="1">
      <c r="G543" s="49" t="s">
        <v>325</v>
      </c>
      <c r="P543" s="80" t="s">
        <v>325</v>
      </c>
      <c r="Q543" s="80"/>
      <c r="R543" s="80"/>
      <c r="S543" s="80"/>
      <c r="T543" s="80"/>
      <c r="V543" s="94" t="s">
        <v>261</v>
      </c>
      <c r="W543" s="94"/>
      <c r="X543" s="2064" t="s">
        <v>1320</v>
      </c>
      <c r="Y543" s="669" t="s">
        <v>1321</v>
      </c>
      <c r="Z543" s="708"/>
      <c r="AA543" s="607"/>
      <c r="AB543" s="709">
        <v>52</v>
      </c>
      <c r="AC543" s="692">
        <v>1</v>
      </c>
      <c r="AD543" s="707" t="s">
        <v>407</v>
      </c>
      <c r="AE543" s="2065" t="s">
        <v>1291</v>
      </c>
      <c r="AF543" s="609"/>
      <c r="AG543" s="609"/>
      <c r="AH543" s="609"/>
      <c r="AI543" s="609"/>
      <c r="AJ543" s="609"/>
    </row>
    <row r="544" spans="7:36" ht="30.75" customHeight="1" outlineLevel="1">
      <c r="G544" s="49" t="s">
        <v>325</v>
      </c>
      <c r="P544" s="80" t="s">
        <v>325</v>
      </c>
      <c r="Q544" s="80"/>
      <c r="R544" s="80"/>
      <c r="S544" s="80"/>
      <c r="T544" s="80"/>
      <c r="V544" s="94" t="s">
        <v>261</v>
      </c>
      <c r="W544" s="94"/>
      <c r="X544" s="2066" t="s">
        <v>1322</v>
      </c>
      <c r="Y544" s="669" t="s">
        <v>1323</v>
      </c>
      <c r="Z544" s="708"/>
      <c r="AA544" s="607"/>
      <c r="AB544" s="709">
        <v>53</v>
      </c>
      <c r="AC544" s="692">
        <v>1</v>
      </c>
      <c r="AD544" s="707" t="s">
        <v>407</v>
      </c>
      <c r="AE544" s="2067" t="s">
        <v>1291</v>
      </c>
      <c r="AF544" s="609"/>
      <c r="AG544" s="609"/>
      <c r="AH544" s="609"/>
      <c r="AI544" s="609"/>
      <c r="AJ544" s="609"/>
    </row>
    <row r="545" spans="1:37" ht="30.75" customHeight="1" outlineLevel="1">
      <c r="G545" s="49" t="s">
        <v>325</v>
      </c>
      <c r="P545" s="80" t="s">
        <v>325</v>
      </c>
      <c r="Q545" s="80"/>
      <c r="R545" s="80"/>
      <c r="S545" s="80"/>
      <c r="T545" s="80"/>
      <c r="V545" s="94" t="s">
        <v>261</v>
      </c>
      <c r="W545" s="94"/>
      <c r="X545" s="2068" t="s">
        <v>1324</v>
      </c>
      <c r="Y545" s="669" t="s">
        <v>1325</v>
      </c>
      <c r="Z545" s="708"/>
      <c r="AA545" s="607"/>
      <c r="AB545" s="709">
        <v>54</v>
      </c>
      <c r="AC545" s="692">
        <v>1</v>
      </c>
      <c r="AD545" s="707" t="s">
        <v>407</v>
      </c>
      <c r="AE545" s="2069" t="s">
        <v>1291</v>
      </c>
      <c r="AF545" s="609"/>
      <c r="AG545" s="609"/>
      <c r="AH545" s="609"/>
      <c r="AI545" s="609"/>
      <c r="AJ545" s="609"/>
    </row>
    <row r="546" spans="1:37" ht="30.75" customHeight="1" outlineLevel="1">
      <c r="G546" s="49" t="s">
        <v>325</v>
      </c>
      <c r="P546" s="80" t="s">
        <v>325</v>
      </c>
      <c r="Q546" s="80"/>
      <c r="R546" s="80"/>
      <c r="S546" s="80"/>
      <c r="T546" s="80"/>
      <c r="V546" s="94" t="s">
        <v>261</v>
      </c>
      <c r="W546" s="94"/>
      <c r="X546" s="2070" t="s">
        <v>1326</v>
      </c>
      <c r="Y546" s="669" t="s">
        <v>1327</v>
      </c>
      <c r="Z546" s="708"/>
      <c r="AA546" s="607"/>
      <c r="AB546" s="709">
        <v>55</v>
      </c>
      <c r="AC546" s="692">
        <v>1</v>
      </c>
      <c r="AD546" s="707" t="s">
        <v>407</v>
      </c>
      <c r="AE546" s="2071" t="s">
        <v>1291</v>
      </c>
      <c r="AF546" s="609"/>
      <c r="AG546" s="609"/>
      <c r="AH546" s="609"/>
      <c r="AI546" s="609"/>
      <c r="AJ546" s="609"/>
    </row>
    <row r="547" spans="1:37" ht="30.75" customHeight="1" outlineLevel="1">
      <c r="G547" s="49" t="s">
        <v>325</v>
      </c>
      <c r="P547" s="80" t="s">
        <v>325</v>
      </c>
      <c r="Q547" s="80"/>
      <c r="R547" s="80"/>
      <c r="S547" s="80"/>
      <c r="T547" s="80"/>
      <c r="V547" s="94" t="s">
        <v>261</v>
      </c>
      <c r="W547" s="94"/>
      <c r="X547" s="2072" t="s">
        <v>1328</v>
      </c>
      <c r="Y547" s="669" t="s">
        <v>1329</v>
      </c>
      <c r="Z547" s="708"/>
      <c r="AA547" s="607"/>
      <c r="AB547" s="709">
        <v>56</v>
      </c>
      <c r="AC547" s="692">
        <v>1</v>
      </c>
      <c r="AD547" s="707" t="s">
        <v>407</v>
      </c>
      <c r="AE547" s="2073" t="s">
        <v>1291</v>
      </c>
      <c r="AF547" s="609"/>
      <c r="AG547" s="609"/>
      <c r="AH547" s="609"/>
      <c r="AI547" s="609"/>
      <c r="AJ547" s="609"/>
    </row>
    <row r="548" spans="1:37" ht="30.75" customHeight="1" outlineLevel="1">
      <c r="G548" s="49" t="s">
        <v>325</v>
      </c>
      <c r="P548" s="80" t="s">
        <v>325</v>
      </c>
      <c r="Q548" s="80"/>
      <c r="R548" s="80"/>
      <c r="S548" s="80"/>
      <c r="T548" s="80"/>
      <c r="V548" s="94" t="s">
        <v>261</v>
      </c>
      <c r="W548" s="94"/>
      <c r="X548" s="2074" t="s">
        <v>1330</v>
      </c>
      <c r="Y548" s="669" t="s">
        <v>1331</v>
      </c>
      <c r="Z548" s="708"/>
      <c r="AA548" s="607"/>
      <c r="AB548" s="709">
        <v>57</v>
      </c>
      <c r="AC548" s="692">
        <v>1</v>
      </c>
      <c r="AD548" s="707" t="s">
        <v>407</v>
      </c>
      <c r="AE548" s="2075" t="s">
        <v>1291</v>
      </c>
      <c r="AF548" s="609"/>
      <c r="AG548" s="609"/>
      <c r="AH548" s="609"/>
      <c r="AI548" s="609"/>
      <c r="AJ548" s="609"/>
    </row>
    <row r="549" spans="1:37" ht="45.75" customHeight="1" outlineLevel="1">
      <c r="G549" s="49" t="s">
        <v>325</v>
      </c>
      <c r="P549" s="80" t="s">
        <v>325</v>
      </c>
      <c r="Q549" s="80"/>
      <c r="R549" s="80"/>
      <c r="S549" s="80"/>
      <c r="T549" s="80"/>
      <c r="V549" s="94" t="s">
        <v>261</v>
      </c>
      <c r="W549" s="94"/>
      <c r="X549" s="2076" t="s">
        <v>1332</v>
      </c>
      <c r="Y549" s="669" t="s">
        <v>1333</v>
      </c>
      <c r="Z549" s="708"/>
      <c r="AA549" s="607"/>
      <c r="AB549" s="709">
        <v>58</v>
      </c>
      <c r="AC549" s="692">
        <v>1</v>
      </c>
      <c r="AD549" s="707" t="s">
        <v>407</v>
      </c>
      <c r="AE549" s="2077" t="s">
        <v>1291</v>
      </c>
      <c r="AF549" s="609"/>
      <c r="AG549" s="609"/>
      <c r="AH549" s="609"/>
      <c r="AI549" s="609"/>
      <c r="AJ549" s="609"/>
    </row>
    <row r="550" spans="1:37" ht="45.75" customHeight="1" outlineLevel="1">
      <c r="G550" s="49" t="s">
        <v>325</v>
      </c>
      <c r="P550" s="80" t="s">
        <v>325</v>
      </c>
      <c r="Q550" s="80"/>
      <c r="R550" s="80"/>
      <c r="S550" s="80"/>
      <c r="T550" s="80"/>
      <c r="V550" s="94" t="s">
        <v>261</v>
      </c>
      <c r="W550" s="94"/>
      <c r="X550" s="2078" t="s">
        <v>1334</v>
      </c>
      <c r="Y550" s="669" t="s">
        <v>1335</v>
      </c>
      <c r="Z550" s="708"/>
      <c r="AA550" s="607"/>
      <c r="AB550" s="709">
        <v>59</v>
      </c>
      <c r="AC550" s="692">
        <v>1</v>
      </c>
      <c r="AD550" s="707" t="s">
        <v>407</v>
      </c>
      <c r="AE550" s="2079" t="s">
        <v>1291</v>
      </c>
      <c r="AF550" s="609"/>
      <c r="AG550" s="609"/>
      <c r="AH550" s="609"/>
      <c r="AI550" s="609"/>
      <c r="AJ550" s="609"/>
    </row>
    <row r="551" spans="1:37" ht="30.75" customHeight="1" outlineLevel="1">
      <c r="G551" s="49" t="s">
        <v>325</v>
      </c>
      <c r="P551" s="80" t="s">
        <v>325</v>
      </c>
      <c r="Q551" s="80"/>
      <c r="R551" s="80"/>
      <c r="S551" s="80"/>
      <c r="T551" s="80"/>
      <c r="V551" s="94" t="s">
        <v>261</v>
      </c>
      <c r="W551" s="94"/>
      <c r="X551" s="2080" t="s">
        <v>1336</v>
      </c>
      <c r="Y551" s="669" t="s">
        <v>1337</v>
      </c>
      <c r="Z551" s="708"/>
      <c r="AA551" s="607"/>
      <c r="AB551" s="709">
        <v>60</v>
      </c>
      <c r="AC551" s="692">
        <v>1</v>
      </c>
      <c r="AD551" s="707" t="s">
        <v>407</v>
      </c>
      <c r="AE551" s="2081" t="s">
        <v>1291</v>
      </c>
      <c r="AF551" s="609"/>
      <c r="AG551" s="609"/>
      <c r="AH551" s="609"/>
      <c r="AI551" s="609"/>
      <c r="AJ551" s="609"/>
    </row>
    <row r="552" spans="1:37" ht="30.75" customHeight="1" outlineLevel="1">
      <c r="G552" s="49" t="s">
        <v>325</v>
      </c>
      <c r="P552" s="80" t="s">
        <v>325</v>
      </c>
      <c r="Q552" s="80"/>
      <c r="R552" s="80"/>
      <c r="S552" s="80"/>
      <c r="T552" s="80"/>
      <c r="V552" s="94" t="s">
        <v>261</v>
      </c>
      <c r="W552" s="94"/>
      <c r="X552" s="2082" t="s">
        <v>1338</v>
      </c>
      <c r="Y552" s="669" t="s">
        <v>1339</v>
      </c>
      <c r="Z552" s="708"/>
      <c r="AA552" s="607"/>
      <c r="AB552" s="709">
        <v>61</v>
      </c>
      <c r="AC552" s="692">
        <v>1</v>
      </c>
      <c r="AD552" s="707" t="s">
        <v>407</v>
      </c>
      <c r="AE552" s="2083" t="s">
        <v>1291</v>
      </c>
      <c r="AF552" s="609"/>
      <c r="AG552" s="609"/>
      <c r="AH552" s="609"/>
      <c r="AI552" s="609"/>
      <c r="AJ552" s="609"/>
    </row>
    <row r="553" spans="1:37" ht="30.75" customHeight="1" outlineLevel="1">
      <c r="G553" s="49" t="s">
        <v>325</v>
      </c>
      <c r="P553" s="80" t="s">
        <v>325</v>
      </c>
      <c r="Q553" s="80"/>
      <c r="R553" s="80"/>
      <c r="S553" s="80"/>
      <c r="T553" s="80"/>
      <c r="V553" s="94" t="s">
        <v>261</v>
      </c>
      <c r="W553" s="94"/>
      <c r="X553" s="2084" t="s">
        <v>1340</v>
      </c>
      <c r="Y553" s="669" t="s">
        <v>1341</v>
      </c>
      <c r="Z553" s="708"/>
      <c r="AA553" s="607"/>
      <c r="AB553" s="709">
        <v>62</v>
      </c>
      <c r="AC553" s="692">
        <v>1</v>
      </c>
      <c r="AD553" s="707" t="s">
        <v>407</v>
      </c>
      <c r="AE553" s="2085" t="s">
        <v>1291</v>
      </c>
      <c r="AF553" s="609"/>
      <c r="AG553" s="609"/>
      <c r="AH553" s="609"/>
      <c r="AI553" s="609"/>
      <c r="AJ553" s="609"/>
    </row>
    <row r="554" spans="1:37" ht="30.75" customHeight="1">
      <c r="G554" s="49" t="s">
        <v>325</v>
      </c>
      <c r="P554" s="80" t="s">
        <v>325</v>
      </c>
      <c r="Q554" s="80"/>
      <c r="R554" s="80"/>
      <c r="S554" s="80"/>
      <c r="T554" s="80"/>
      <c r="V554" s="94" t="s">
        <v>261</v>
      </c>
      <c r="W554" s="94"/>
      <c r="X554" s="2086" t="s">
        <v>1342</v>
      </c>
      <c r="Y554" s="669" t="s">
        <v>1343</v>
      </c>
      <c r="Z554" s="708"/>
      <c r="AA554" s="607"/>
      <c r="AB554" s="709">
        <v>63</v>
      </c>
      <c r="AC554" s="692">
        <v>1</v>
      </c>
      <c r="AD554" s="707" t="s">
        <v>407</v>
      </c>
      <c r="AE554" s="2087" t="s">
        <v>1291</v>
      </c>
      <c r="AF554" s="609"/>
      <c r="AG554" s="609"/>
      <c r="AH554" s="609"/>
      <c r="AI554" s="609"/>
      <c r="AJ554" s="609"/>
    </row>
    <row r="555" spans="1:37" ht="52.5" customHeight="1" outlineLevel="1">
      <c r="A555" s="622">
        <v>101</v>
      </c>
      <c r="B555" s="622" t="s">
        <v>1239</v>
      </c>
      <c r="C555" s="622" t="s">
        <v>1344</v>
      </c>
      <c r="D555" s="622" t="s">
        <v>259</v>
      </c>
      <c r="E555" s="622">
        <v>8</v>
      </c>
      <c r="F555" s="622" t="s">
        <v>1241</v>
      </c>
      <c r="G555" s="623"/>
      <c r="H555" s="622"/>
      <c r="I555" s="622"/>
      <c r="J555" s="622"/>
      <c r="K555" s="622"/>
      <c r="L555" s="622"/>
      <c r="M555" s="622"/>
      <c r="N555" s="622"/>
      <c r="O555" s="622"/>
      <c r="P555" s="139" t="s">
        <v>325</v>
      </c>
      <c r="Q555" s="622"/>
      <c r="R555" s="622"/>
      <c r="S555" s="622"/>
      <c r="T555" s="622"/>
      <c r="U555" s="622"/>
      <c r="V555" s="181" t="s">
        <v>261</v>
      </c>
      <c r="W555" s="181"/>
      <c r="X555" s="597" t="s">
        <v>1345</v>
      </c>
      <c r="Y555" s="544"/>
      <c r="Z555" s="536"/>
      <c r="AA555" s="536"/>
      <c r="AB555" s="540"/>
      <c r="AC555" s="536"/>
      <c r="AD555" s="536"/>
      <c r="AE555" s="545"/>
      <c r="AF555" s="536"/>
      <c r="AG555" s="536"/>
      <c r="AH555" s="536"/>
      <c r="AI555" s="536"/>
      <c r="AJ555" s="536"/>
      <c r="AK555" s="125"/>
    </row>
    <row r="556" spans="1:37" ht="14.25" customHeight="1" outlineLevel="1">
      <c r="P556" s="80" t="s">
        <v>325</v>
      </c>
      <c r="Q556" s="80"/>
      <c r="R556" s="80"/>
      <c r="S556" s="80"/>
      <c r="T556" s="80"/>
      <c r="V556" s="94" t="s">
        <v>261</v>
      </c>
      <c r="W556" s="94"/>
      <c r="X556" s="70" t="s">
        <v>1272</v>
      </c>
      <c r="Y556" s="56" t="s">
        <v>1346</v>
      </c>
      <c r="Z556" s="607"/>
      <c r="AA556" s="607"/>
      <c r="AB556" s="707" t="s">
        <v>103</v>
      </c>
      <c r="AC556" s="707" t="s">
        <v>105</v>
      </c>
      <c r="AD556" s="707" t="s">
        <v>407</v>
      </c>
      <c r="AE556" s="710"/>
      <c r="AF556" s="707" t="s">
        <v>1267</v>
      </c>
      <c r="AG556" s="707" t="s">
        <v>1246</v>
      </c>
      <c r="AH556" s="609"/>
      <c r="AI556" s="609">
        <v>0</v>
      </c>
      <c r="AJ556" s="609"/>
    </row>
    <row r="557" spans="1:37" ht="15.75" customHeight="1" outlineLevel="1">
      <c r="P557" s="80" t="s">
        <v>325</v>
      </c>
      <c r="Q557" s="80"/>
      <c r="R557" s="80"/>
      <c r="S557" s="80"/>
      <c r="T557" s="80"/>
      <c r="V557" s="94" t="s">
        <v>261</v>
      </c>
      <c r="W557" s="94"/>
      <c r="X557" s="70" t="s">
        <v>1274</v>
      </c>
      <c r="Y557" s="56" t="s">
        <v>1347</v>
      </c>
      <c r="Z557" s="607"/>
      <c r="AA557" s="607"/>
      <c r="AB557" s="707" t="s">
        <v>167</v>
      </c>
      <c r="AC557" s="707" t="s">
        <v>95</v>
      </c>
      <c r="AD557" s="707" t="s">
        <v>407</v>
      </c>
      <c r="AE557" s="710"/>
      <c r="AF557" s="707" t="s">
        <v>1267</v>
      </c>
      <c r="AG557" s="707" t="s">
        <v>1246</v>
      </c>
      <c r="AH557" s="609"/>
      <c r="AI557" s="609">
        <v>0</v>
      </c>
      <c r="AJ557" s="609"/>
    </row>
    <row r="558" spans="1:37" ht="41.25" customHeight="1" outlineLevel="1">
      <c r="P558" s="80" t="s">
        <v>325</v>
      </c>
      <c r="Q558" s="80"/>
      <c r="R558" s="80"/>
      <c r="S558" s="80"/>
      <c r="T558" s="80"/>
      <c r="V558" s="94" t="s">
        <v>261</v>
      </c>
      <c r="W558" s="94"/>
      <c r="X558" s="2088" t="s">
        <v>1348</v>
      </c>
      <c r="Y558" s="56" t="s">
        <v>1349</v>
      </c>
      <c r="Z558" s="607"/>
      <c r="AA558" s="607"/>
      <c r="AB558" s="707" t="s">
        <v>175</v>
      </c>
      <c r="AC558" s="707" t="s">
        <v>1350</v>
      </c>
      <c r="AD558" s="707" t="s">
        <v>407</v>
      </c>
      <c r="AE558" s="2089" t="s">
        <v>1351</v>
      </c>
      <c r="AF558" s="707" t="s">
        <v>1267</v>
      </c>
      <c r="AG558" s="707" t="s">
        <v>1246</v>
      </c>
      <c r="AH558" s="609"/>
      <c r="AI558" s="609">
        <v>0</v>
      </c>
      <c r="AJ558" s="609"/>
    </row>
    <row r="559" spans="1:37" ht="30.75" customHeight="1" outlineLevel="1">
      <c r="P559" s="80" t="s">
        <v>325</v>
      </c>
      <c r="Q559" s="80"/>
      <c r="R559" s="80"/>
      <c r="S559" s="80"/>
      <c r="T559" s="80"/>
      <c r="V559" s="94" t="s">
        <v>261</v>
      </c>
      <c r="W559" s="94"/>
      <c r="X559" s="2090" t="s">
        <v>1352</v>
      </c>
      <c r="Y559" s="56" t="s">
        <v>1353</v>
      </c>
      <c r="Z559" s="607"/>
      <c r="AA559" s="607"/>
      <c r="AB559" s="707" t="s">
        <v>218</v>
      </c>
      <c r="AC559" s="707" t="s">
        <v>222</v>
      </c>
      <c r="AD559" s="707" t="s">
        <v>407</v>
      </c>
      <c r="AE559" s="710"/>
      <c r="AF559" s="707" t="s">
        <v>1245</v>
      </c>
      <c r="AG559" s="707" t="s">
        <v>1283</v>
      </c>
      <c r="AH559" s="609"/>
      <c r="AI559" s="609">
        <v>0</v>
      </c>
      <c r="AJ559" s="707" t="s">
        <v>98</v>
      </c>
    </row>
    <row r="560" spans="1:37" ht="30.75" customHeight="1" outlineLevel="1">
      <c r="P560" s="80" t="s">
        <v>325</v>
      </c>
      <c r="Q560" s="80"/>
      <c r="R560" s="80"/>
      <c r="S560" s="80"/>
      <c r="T560" s="80"/>
      <c r="V560" s="94" t="s">
        <v>261</v>
      </c>
      <c r="W560" s="94"/>
      <c r="X560" s="2091" t="s">
        <v>1354</v>
      </c>
      <c r="Y560" s="56" t="s">
        <v>1355</v>
      </c>
      <c r="Z560" s="607"/>
      <c r="AA560" s="607"/>
      <c r="AB560" s="707" t="s">
        <v>1286</v>
      </c>
      <c r="AC560" s="707" t="s">
        <v>187</v>
      </c>
      <c r="AD560" s="707" t="s">
        <v>407</v>
      </c>
      <c r="AE560" s="710"/>
      <c r="AF560" s="707" t="s">
        <v>1245</v>
      </c>
      <c r="AG560" s="707" t="s">
        <v>1246</v>
      </c>
      <c r="AH560" s="609"/>
      <c r="AI560" s="609">
        <v>0</v>
      </c>
      <c r="AJ560" s="707" t="s">
        <v>1007</v>
      </c>
    </row>
    <row r="561" spans="1:37" ht="45.75" customHeight="1">
      <c r="P561" s="80" t="s">
        <v>325</v>
      </c>
      <c r="Q561" s="80"/>
      <c r="R561" s="80"/>
      <c r="S561" s="80"/>
      <c r="T561" s="80"/>
      <c r="V561" s="94" t="s">
        <v>261</v>
      </c>
      <c r="W561" s="94"/>
      <c r="X561" s="2092" t="s">
        <v>1356</v>
      </c>
      <c r="Y561" s="56" t="s">
        <v>1357</v>
      </c>
      <c r="Z561" s="607"/>
      <c r="AA561" s="607"/>
      <c r="AB561" s="707" t="s">
        <v>1358</v>
      </c>
      <c r="AC561" s="707" t="s">
        <v>105</v>
      </c>
      <c r="AD561" s="707" t="s">
        <v>407</v>
      </c>
      <c r="AE561" s="710" t="s">
        <v>1359</v>
      </c>
      <c r="AF561" s="707" t="s">
        <v>1267</v>
      </c>
      <c r="AG561" s="707" t="s">
        <v>1246</v>
      </c>
      <c r="AH561" s="609"/>
      <c r="AI561" s="609">
        <v>255</v>
      </c>
      <c r="AJ561" s="707" t="s">
        <v>409</v>
      </c>
    </row>
    <row r="562" spans="1:37" ht="52.5" customHeight="1" outlineLevel="1">
      <c r="A562" s="622">
        <v>101</v>
      </c>
      <c r="B562" s="622" t="s">
        <v>1239</v>
      </c>
      <c r="C562" s="622" t="s">
        <v>1360</v>
      </c>
      <c r="D562" s="622" t="s">
        <v>259</v>
      </c>
      <c r="E562" s="622">
        <v>8</v>
      </c>
      <c r="F562" s="622" t="s">
        <v>1241</v>
      </c>
      <c r="G562" s="623"/>
      <c r="H562" s="622"/>
      <c r="I562" s="622"/>
      <c r="J562" s="622"/>
      <c r="K562" s="622"/>
      <c r="L562" s="622"/>
      <c r="M562" s="622"/>
      <c r="N562" s="622"/>
      <c r="O562" s="622"/>
      <c r="P562" s="139" t="s">
        <v>325</v>
      </c>
      <c r="Q562" s="622"/>
      <c r="R562" s="622"/>
      <c r="S562" s="622"/>
      <c r="T562" s="622"/>
      <c r="U562" s="622"/>
      <c r="V562" s="181" t="s">
        <v>261</v>
      </c>
      <c r="W562" s="181"/>
      <c r="X562" s="597" t="s">
        <v>1361</v>
      </c>
      <c r="Y562" s="544"/>
      <c r="Z562" s="536"/>
      <c r="AA562" s="536"/>
      <c r="AB562" s="540"/>
      <c r="AC562" s="536"/>
      <c r="AD562" s="536"/>
      <c r="AE562" s="545"/>
      <c r="AF562" s="536"/>
      <c r="AG562" s="536"/>
      <c r="AH562" s="536"/>
      <c r="AI562" s="536"/>
      <c r="AJ562" s="536"/>
      <c r="AK562" s="125"/>
    </row>
    <row r="563" spans="1:37" ht="45.75" customHeight="1" outlineLevel="1">
      <c r="P563" s="80" t="s">
        <v>325</v>
      </c>
      <c r="Q563" s="80"/>
      <c r="R563" s="80"/>
      <c r="S563" s="80"/>
      <c r="T563" s="80"/>
      <c r="V563" s="94" t="s">
        <v>261</v>
      </c>
      <c r="W563" s="94"/>
      <c r="X563" s="2093" t="s">
        <v>1362</v>
      </c>
      <c r="Y563" s="56" t="s">
        <v>1363</v>
      </c>
      <c r="Z563" s="607"/>
      <c r="AA563" s="607"/>
      <c r="AB563" s="707" t="s">
        <v>103</v>
      </c>
      <c r="AC563" s="707" t="s">
        <v>187</v>
      </c>
      <c r="AD563" s="707" t="s">
        <v>407</v>
      </c>
      <c r="AE563" s="705" t="s">
        <v>1364</v>
      </c>
      <c r="AF563" s="707" t="s">
        <v>1267</v>
      </c>
      <c r="AG563" s="707" t="s">
        <v>1246</v>
      </c>
      <c r="AH563" s="609"/>
      <c r="AI563" s="609"/>
      <c r="AJ563" s="703"/>
    </row>
    <row r="564" spans="1:37" ht="45.75" customHeight="1" outlineLevel="1">
      <c r="P564" s="80" t="s">
        <v>325</v>
      </c>
      <c r="Q564" s="80"/>
      <c r="R564" s="80"/>
      <c r="S564" s="80"/>
      <c r="T564" s="80"/>
      <c r="V564" s="94" t="s">
        <v>261</v>
      </c>
      <c r="W564" s="94"/>
      <c r="X564" s="2094" t="s">
        <v>1365</v>
      </c>
      <c r="Y564" s="56" t="s">
        <v>1366</v>
      </c>
      <c r="Z564" s="607"/>
      <c r="AA564" s="607"/>
      <c r="AB564" s="707" t="s">
        <v>218</v>
      </c>
      <c r="AC564" s="707" t="s">
        <v>175</v>
      </c>
      <c r="AD564" s="707" t="s">
        <v>407</v>
      </c>
      <c r="AE564" s="705"/>
      <c r="AF564" s="707" t="s">
        <v>1367</v>
      </c>
      <c r="AG564" s="707" t="s">
        <v>1246</v>
      </c>
      <c r="AH564" s="609"/>
      <c r="AI564" s="609"/>
      <c r="AJ564" s="703" t="s">
        <v>98</v>
      </c>
    </row>
    <row r="565" spans="1:37" ht="30.75" customHeight="1" outlineLevel="1">
      <c r="P565" s="80" t="s">
        <v>325</v>
      </c>
      <c r="Q565" s="80"/>
      <c r="R565" s="80"/>
      <c r="S565" s="80"/>
      <c r="T565" s="80"/>
      <c r="V565" s="94" t="s">
        <v>261</v>
      </c>
      <c r="W565" s="94"/>
      <c r="X565" s="2095" t="s">
        <v>1368</v>
      </c>
      <c r="Y565" s="56" t="s">
        <v>1369</v>
      </c>
      <c r="Z565" s="607"/>
      <c r="AA565" s="607"/>
      <c r="AB565" s="707" t="s">
        <v>1370</v>
      </c>
      <c r="AC565" s="707" t="s">
        <v>175</v>
      </c>
      <c r="AD565" s="707" t="s">
        <v>407</v>
      </c>
      <c r="AE565" s="705"/>
      <c r="AF565" s="707" t="s">
        <v>1367</v>
      </c>
      <c r="AG565" s="707" t="s">
        <v>1246</v>
      </c>
      <c r="AH565" s="609"/>
      <c r="AI565" s="609"/>
      <c r="AJ565" s="703" t="s">
        <v>98</v>
      </c>
    </row>
    <row r="566" spans="1:37" ht="30.75" customHeight="1">
      <c r="P566" s="80" t="s">
        <v>325</v>
      </c>
      <c r="Q566" s="80"/>
      <c r="R566" s="80"/>
      <c r="S566" s="80"/>
      <c r="T566" s="80"/>
      <c r="V566" s="94" t="s">
        <v>261</v>
      </c>
      <c r="W566" s="94"/>
      <c r="X566" s="2096" t="s">
        <v>1371</v>
      </c>
      <c r="Y566" s="56" t="s">
        <v>1372</v>
      </c>
      <c r="Z566" s="607"/>
      <c r="AA566" s="607"/>
      <c r="AB566" s="707" t="s">
        <v>1373</v>
      </c>
      <c r="AC566" s="707" t="s">
        <v>506</v>
      </c>
      <c r="AD566" s="707" t="s">
        <v>407</v>
      </c>
      <c r="AE566" s="2097" t="s">
        <v>1374</v>
      </c>
      <c r="AF566" s="707" t="s">
        <v>1267</v>
      </c>
      <c r="AG566" s="707" t="s">
        <v>1246</v>
      </c>
      <c r="AH566" s="609"/>
      <c r="AI566" s="609"/>
      <c r="AJ566" s="703"/>
    </row>
    <row r="567" spans="1:37" ht="52.5" customHeight="1" outlineLevel="1">
      <c r="A567" s="622">
        <v>101</v>
      </c>
      <c r="B567" s="622" t="s">
        <v>1239</v>
      </c>
      <c r="C567" s="622" t="s">
        <v>1375</v>
      </c>
      <c r="D567" s="622" t="s">
        <v>259</v>
      </c>
      <c r="E567" s="622">
        <v>8</v>
      </c>
      <c r="F567" s="622" t="s">
        <v>1241</v>
      </c>
      <c r="G567" s="623"/>
      <c r="H567" s="622"/>
      <c r="I567" s="622"/>
      <c r="J567" s="622"/>
      <c r="K567" s="622"/>
      <c r="L567" s="622"/>
      <c r="M567" s="622"/>
      <c r="N567" s="622"/>
      <c r="O567" s="622"/>
      <c r="P567" s="139" t="s">
        <v>325</v>
      </c>
      <c r="Q567" s="622"/>
      <c r="R567" s="622"/>
      <c r="S567" s="622"/>
      <c r="T567" s="622"/>
      <c r="U567" s="622"/>
      <c r="V567" s="181" t="s">
        <v>261</v>
      </c>
      <c r="W567" s="181"/>
      <c r="X567" s="597" t="s">
        <v>1376</v>
      </c>
      <c r="Y567" s="544"/>
      <c r="Z567" s="536"/>
      <c r="AA567" s="536"/>
      <c r="AB567" s="540"/>
      <c r="AC567" s="536"/>
      <c r="AD567" s="536"/>
      <c r="AE567" s="545"/>
      <c r="AF567" s="536"/>
      <c r="AG567" s="536"/>
      <c r="AH567" s="536"/>
      <c r="AI567" s="536"/>
      <c r="AJ567" s="536"/>
      <c r="AK567" s="125"/>
    </row>
    <row r="568" spans="1:37" ht="30.75" customHeight="1" outlineLevel="1">
      <c r="P568" s="80" t="s">
        <v>325</v>
      </c>
      <c r="Q568" s="80"/>
      <c r="R568" s="80"/>
      <c r="S568" s="80"/>
      <c r="T568" s="80"/>
      <c r="V568" s="94" t="s">
        <v>261</v>
      </c>
      <c r="W568" s="94"/>
      <c r="X568" s="2098" t="s">
        <v>1377</v>
      </c>
      <c r="Y568" s="56" t="s">
        <v>1378</v>
      </c>
      <c r="Z568" s="94"/>
      <c r="AA568" s="94"/>
      <c r="AB568" s="703" t="s">
        <v>103</v>
      </c>
      <c r="AC568" s="703" t="s">
        <v>105</v>
      </c>
      <c r="AD568" s="703" t="s">
        <v>407</v>
      </c>
      <c r="AE568" s="711"/>
      <c r="AF568" s="609"/>
      <c r="AG568" s="609"/>
      <c r="AH568" s="609"/>
      <c r="AI568" s="609"/>
      <c r="AJ568" s="609"/>
    </row>
    <row r="569" spans="1:37" ht="30.75" customHeight="1" outlineLevel="1">
      <c r="P569" s="80" t="s">
        <v>325</v>
      </c>
      <c r="Q569" s="80"/>
      <c r="R569" s="80"/>
      <c r="S569" s="80"/>
      <c r="T569" s="80"/>
      <c r="V569" s="94" t="s">
        <v>261</v>
      </c>
      <c r="W569" s="94"/>
      <c r="X569" s="2099" t="s">
        <v>1379</v>
      </c>
      <c r="Y569" s="56" t="s">
        <v>1380</v>
      </c>
      <c r="Z569" s="94"/>
      <c r="AA569" s="94"/>
      <c r="AB569" s="703" t="s">
        <v>105</v>
      </c>
      <c r="AC569" s="703" t="s">
        <v>506</v>
      </c>
      <c r="AD569" s="703" t="s">
        <v>407</v>
      </c>
      <c r="AE569" s="2100" t="s">
        <v>1381</v>
      </c>
      <c r="AF569" s="609"/>
      <c r="AG569" s="609"/>
      <c r="AH569" s="609"/>
      <c r="AI569" s="609"/>
      <c r="AJ569" s="609"/>
    </row>
    <row r="570" spans="1:37" ht="30.75" customHeight="1" outlineLevel="1">
      <c r="P570" s="80" t="s">
        <v>325</v>
      </c>
      <c r="Q570" s="80"/>
      <c r="R570" s="80"/>
      <c r="S570" s="80"/>
      <c r="T570" s="80"/>
      <c r="V570" s="94" t="s">
        <v>261</v>
      </c>
      <c r="W570" s="94"/>
      <c r="X570" s="2101" t="s">
        <v>1382</v>
      </c>
      <c r="Y570" s="56" t="s">
        <v>1383</v>
      </c>
      <c r="Z570" s="94"/>
      <c r="AA570" s="94"/>
      <c r="AB570" s="703" t="s">
        <v>171</v>
      </c>
      <c r="AC570" s="703" t="s">
        <v>506</v>
      </c>
      <c r="AD570" s="703" t="s">
        <v>407</v>
      </c>
      <c r="AE570" s="2102" t="s">
        <v>1384</v>
      </c>
      <c r="AF570" s="609"/>
      <c r="AG570" s="609"/>
      <c r="AH570" s="609"/>
      <c r="AI570" s="609"/>
      <c r="AJ570" s="609"/>
    </row>
    <row r="571" spans="1:37" ht="30.75" customHeight="1" outlineLevel="1">
      <c r="P571" s="80" t="s">
        <v>325</v>
      </c>
      <c r="Q571" s="80"/>
      <c r="R571" s="80"/>
      <c r="S571" s="80"/>
      <c r="T571" s="80"/>
      <c r="V571" s="94" t="s">
        <v>261</v>
      </c>
      <c r="W571" s="94"/>
      <c r="X571" s="2103" t="s">
        <v>1385</v>
      </c>
      <c r="Y571" s="56" t="s">
        <v>1386</v>
      </c>
      <c r="Z571" s="94"/>
      <c r="AA571" s="94"/>
      <c r="AB571" s="703" t="s">
        <v>179</v>
      </c>
      <c r="AC571" s="703" t="s">
        <v>506</v>
      </c>
      <c r="AD571" s="703" t="s">
        <v>407</v>
      </c>
      <c r="AE571" s="2104" t="s">
        <v>1387</v>
      </c>
      <c r="AF571" s="609"/>
      <c r="AG571" s="609"/>
      <c r="AH571" s="609"/>
      <c r="AI571" s="609"/>
      <c r="AJ571" s="609"/>
    </row>
    <row r="572" spans="1:37" ht="122.25" customHeight="1" outlineLevel="1">
      <c r="P572" s="80" t="s">
        <v>325</v>
      </c>
      <c r="Q572" s="80"/>
      <c r="R572" s="80"/>
      <c r="S572" s="80"/>
      <c r="T572" s="80"/>
      <c r="V572" s="94" t="s">
        <v>261</v>
      </c>
      <c r="W572" s="94"/>
      <c r="X572" s="2105" t="s">
        <v>1388</v>
      </c>
      <c r="Y572" s="56" t="s">
        <v>1389</v>
      </c>
      <c r="Z572" s="94"/>
      <c r="AA572" s="94"/>
      <c r="AB572" s="703" t="s">
        <v>207</v>
      </c>
      <c r="AC572" s="703" t="s">
        <v>1390</v>
      </c>
      <c r="AD572" s="703" t="s">
        <v>407</v>
      </c>
      <c r="AE572" s="2106" t="s">
        <v>1391</v>
      </c>
      <c r="AF572" s="609"/>
      <c r="AG572" s="609"/>
      <c r="AH572" s="609"/>
      <c r="AI572" s="609"/>
      <c r="AJ572" s="609"/>
    </row>
    <row r="573" spans="1:37" ht="30.75" customHeight="1" outlineLevel="1">
      <c r="P573" s="80" t="s">
        <v>325</v>
      </c>
      <c r="Q573" s="80"/>
      <c r="R573" s="80"/>
      <c r="S573" s="80"/>
      <c r="T573" s="80"/>
      <c r="V573" s="94" t="s">
        <v>261</v>
      </c>
      <c r="W573" s="94"/>
      <c r="X573" s="2107" t="s">
        <v>1392</v>
      </c>
      <c r="Y573" s="56" t="s">
        <v>1393</v>
      </c>
      <c r="Z573" s="94"/>
      <c r="AA573" s="94"/>
      <c r="AB573" s="703" t="s">
        <v>214</v>
      </c>
      <c r="AC573" s="703" t="s">
        <v>506</v>
      </c>
      <c r="AD573" s="703" t="s">
        <v>407</v>
      </c>
      <c r="AE573" s="2108" t="s">
        <v>1394</v>
      </c>
      <c r="AF573" s="609"/>
      <c r="AG573" s="609"/>
      <c r="AH573" s="609"/>
      <c r="AI573" s="609"/>
      <c r="AJ573" s="609"/>
    </row>
    <row r="574" spans="1:37" ht="45.75" customHeight="1" outlineLevel="1">
      <c r="P574" s="80" t="s">
        <v>325</v>
      </c>
      <c r="Q574" s="80"/>
      <c r="R574" s="80"/>
      <c r="S574" s="80"/>
      <c r="T574" s="80"/>
      <c r="V574" s="94" t="s">
        <v>261</v>
      </c>
      <c r="W574" s="94"/>
      <c r="X574" s="2109" t="s">
        <v>1395</v>
      </c>
      <c r="Y574" s="56" t="s">
        <v>1396</v>
      </c>
      <c r="Z574" s="94"/>
      <c r="AA574" s="94"/>
      <c r="AB574" s="703" t="s">
        <v>226</v>
      </c>
      <c r="AC574" s="703" t="s">
        <v>506</v>
      </c>
      <c r="AD574" s="703" t="s">
        <v>407</v>
      </c>
      <c r="AE574" s="2110" t="s">
        <v>1374</v>
      </c>
      <c r="AF574" s="609"/>
      <c r="AG574" s="609"/>
      <c r="AH574" s="609"/>
      <c r="AI574" s="609"/>
      <c r="AJ574" s="609"/>
    </row>
    <row r="575" spans="1:37" ht="60.75" customHeight="1" outlineLevel="1">
      <c r="P575" s="80" t="s">
        <v>325</v>
      </c>
      <c r="Q575" s="80"/>
      <c r="R575" s="80"/>
      <c r="S575" s="80"/>
      <c r="T575" s="80"/>
      <c r="V575" s="94" t="s">
        <v>261</v>
      </c>
      <c r="W575" s="94"/>
      <c r="X575" s="2111" t="s">
        <v>1397</v>
      </c>
      <c r="Y575" s="56" t="s">
        <v>1398</v>
      </c>
      <c r="Z575" s="94"/>
      <c r="AA575" s="94"/>
      <c r="AB575" s="703" t="s">
        <v>1399</v>
      </c>
      <c r="AC575" s="703" t="s">
        <v>506</v>
      </c>
      <c r="AD575" s="703" t="s">
        <v>407</v>
      </c>
      <c r="AE575" s="2112" t="s">
        <v>1374</v>
      </c>
      <c r="AF575" s="609"/>
      <c r="AG575" s="609"/>
      <c r="AH575" s="609"/>
      <c r="AI575" s="609"/>
      <c r="AJ575" s="609"/>
    </row>
    <row r="576" spans="1:37" ht="45.75" customHeight="1" outlineLevel="1">
      <c r="P576" s="80" t="s">
        <v>325</v>
      </c>
      <c r="Q576" s="80"/>
      <c r="R576" s="80"/>
      <c r="S576" s="80"/>
      <c r="T576" s="80"/>
      <c r="V576" s="94" t="s">
        <v>261</v>
      </c>
      <c r="W576" s="94"/>
      <c r="X576" s="2113" t="s">
        <v>1400</v>
      </c>
      <c r="Y576" s="56" t="s">
        <v>1401</v>
      </c>
      <c r="Z576" s="94"/>
      <c r="AA576" s="94"/>
      <c r="AB576" s="703" t="s">
        <v>1402</v>
      </c>
      <c r="AC576" s="703" t="s">
        <v>506</v>
      </c>
      <c r="AD576" s="703" t="s">
        <v>407</v>
      </c>
      <c r="AE576" s="2114" t="s">
        <v>1374</v>
      </c>
      <c r="AF576" s="609"/>
      <c r="AG576" s="609"/>
      <c r="AH576" s="609"/>
      <c r="AI576" s="609"/>
      <c r="AJ576" s="609"/>
    </row>
    <row r="577" spans="1:37" ht="45.75" customHeight="1" outlineLevel="1">
      <c r="P577" s="80" t="s">
        <v>325</v>
      </c>
      <c r="Q577" s="80"/>
      <c r="R577" s="80"/>
      <c r="S577" s="80"/>
      <c r="T577" s="80"/>
      <c r="V577" s="94" t="s">
        <v>261</v>
      </c>
      <c r="W577" s="94"/>
      <c r="X577" s="2115" t="s">
        <v>1403</v>
      </c>
      <c r="Y577" s="56" t="s">
        <v>1404</v>
      </c>
      <c r="Z577" s="94"/>
      <c r="AA577" s="94"/>
      <c r="AB577" s="703" t="s">
        <v>1405</v>
      </c>
      <c r="AC577" s="703" t="s">
        <v>506</v>
      </c>
      <c r="AD577" s="703" t="s">
        <v>407</v>
      </c>
      <c r="AE577" s="2116" t="s">
        <v>1374</v>
      </c>
      <c r="AF577" s="609"/>
      <c r="AG577" s="609"/>
      <c r="AH577" s="609"/>
      <c r="AI577" s="609"/>
      <c r="AJ577" s="609"/>
    </row>
    <row r="578" spans="1:37" ht="45.75" customHeight="1" outlineLevel="1">
      <c r="P578" s="80" t="s">
        <v>325</v>
      </c>
      <c r="Q578" s="80"/>
      <c r="R578" s="80"/>
      <c r="S578" s="80"/>
      <c r="T578" s="80"/>
      <c r="V578" s="94" t="s">
        <v>261</v>
      </c>
      <c r="W578" s="94"/>
      <c r="X578" s="2117" t="s">
        <v>1406</v>
      </c>
      <c r="Y578" s="56" t="s">
        <v>1407</v>
      </c>
      <c r="Z578" s="94"/>
      <c r="AA578" s="94"/>
      <c r="AB578" s="703" t="s">
        <v>1408</v>
      </c>
      <c r="AC578" s="703" t="s">
        <v>506</v>
      </c>
      <c r="AD578" s="703" t="s">
        <v>407</v>
      </c>
      <c r="AE578" s="2118" t="s">
        <v>1374</v>
      </c>
      <c r="AF578" s="609"/>
      <c r="AG578" s="609"/>
      <c r="AH578" s="609"/>
      <c r="AI578" s="609"/>
      <c r="AJ578" s="609"/>
    </row>
    <row r="579" spans="1:37" ht="45.75" customHeight="1" outlineLevel="1">
      <c r="P579" s="80" t="s">
        <v>325</v>
      </c>
      <c r="Q579" s="80"/>
      <c r="R579" s="80"/>
      <c r="S579" s="80"/>
      <c r="T579" s="80"/>
      <c r="V579" s="94" t="s">
        <v>261</v>
      </c>
      <c r="W579" s="94"/>
      <c r="X579" s="2119" t="s">
        <v>1409</v>
      </c>
      <c r="Y579" s="56" t="s">
        <v>1410</v>
      </c>
      <c r="Z579" s="94"/>
      <c r="AA579" s="94"/>
      <c r="AB579" s="703" t="s">
        <v>1411</v>
      </c>
      <c r="AC579" s="703" t="s">
        <v>506</v>
      </c>
      <c r="AD579" s="703" t="s">
        <v>407</v>
      </c>
      <c r="AE579" s="2120" t="s">
        <v>1374</v>
      </c>
      <c r="AF579" s="609"/>
      <c r="AG579" s="609"/>
      <c r="AH579" s="609"/>
      <c r="AI579" s="609"/>
      <c r="AJ579" s="609"/>
    </row>
    <row r="580" spans="1:37" ht="30.75" customHeight="1" outlineLevel="1">
      <c r="P580" s="80" t="s">
        <v>325</v>
      </c>
      <c r="Q580" s="80"/>
      <c r="R580" s="80"/>
      <c r="S580" s="80"/>
      <c r="T580" s="80"/>
      <c r="V580" s="94" t="s">
        <v>261</v>
      </c>
      <c r="W580" s="94"/>
      <c r="X580" s="2121" t="s">
        <v>1412</v>
      </c>
      <c r="Y580" s="56" t="s">
        <v>1413</v>
      </c>
      <c r="Z580" s="94"/>
      <c r="AA580" s="94"/>
      <c r="AB580" s="703" t="s">
        <v>1414</v>
      </c>
      <c r="AC580" s="703" t="s">
        <v>506</v>
      </c>
      <c r="AD580" s="703" t="s">
        <v>407</v>
      </c>
      <c r="AE580" s="2122" t="s">
        <v>1374</v>
      </c>
      <c r="AF580" s="609"/>
      <c r="AG580" s="609"/>
      <c r="AH580" s="609"/>
      <c r="AI580" s="609"/>
      <c r="AJ580" s="609"/>
    </row>
    <row r="581" spans="1:37" ht="30.75" customHeight="1" outlineLevel="1">
      <c r="P581" s="80" t="s">
        <v>325</v>
      </c>
      <c r="Q581" s="80"/>
      <c r="R581" s="80"/>
      <c r="S581" s="80"/>
      <c r="T581" s="80"/>
      <c r="V581" s="94" t="s">
        <v>261</v>
      </c>
      <c r="W581" s="94"/>
      <c r="X581" s="2123" t="s">
        <v>1415</v>
      </c>
      <c r="Y581" s="56" t="s">
        <v>1416</v>
      </c>
      <c r="Z581" s="94"/>
      <c r="AA581" s="94"/>
      <c r="AB581" s="703" t="s">
        <v>1417</v>
      </c>
      <c r="AC581" s="703" t="s">
        <v>506</v>
      </c>
      <c r="AD581" s="703" t="s">
        <v>407</v>
      </c>
      <c r="AE581" s="2124" t="s">
        <v>1374</v>
      </c>
      <c r="AF581" s="609"/>
      <c r="AG581" s="609"/>
      <c r="AH581" s="609"/>
      <c r="AI581" s="609"/>
      <c r="AJ581" s="609"/>
    </row>
    <row r="582" spans="1:37" ht="30.75" customHeight="1">
      <c r="P582" s="80" t="s">
        <v>325</v>
      </c>
      <c r="Q582" s="80"/>
      <c r="R582" s="80"/>
      <c r="S582" s="80"/>
      <c r="T582" s="80"/>
      <c r="V582" s="94" t="s">
        <v>261</v>
      </c>
      <c r="W582" s="94"/>
      <c r="X582" s="2125" t="s">
        <v>1418</v>
      </c>
      <c r="Y582" s="56" t="s">
        <v>1419</v>
      </c>
      <c r="Z582" s="94"/>
      <c r="AA582" s="94"/>
      <c r="AB582" s="703" t="s">
        <v>1420</v>
      </c>
      <c r="AC582" s="703" t="s">
        <v>506</v>
      </c>
      <c r="AD582" s="703" t="s">
        <v>407</v>
      </c>
      <c r="AE582" s="2126" t="s">
        <v>1374</v>
      </c>
      <c r="AF582" s="609"/>
      <c r="AG582" s="609"/>
      <c r="AH582" s="609"/>
      <c r="AI582" s="609"/>
      <c r="AJ582" s="609"/>
    </row>
    <row r="583" spans="1:37" ht="52.5" customHeight="1" outlineLevel="1">
      <c r="A583" s="622">
        <v>101</v>
      </c>
      <c r="B583" s="622" t="s">
        <v>1239</v>
      </c>
      <c r="C583" s="622" t="s">
        <v>1421</v>
      </c>
      <c r="D583" s="622" t="s">
        <v>259</v>
      </c>
      <c r="E583" s="622">
        <v>8</v>
      </c>
      <c r="F583" s="622" t="s">
        <v>1241</v>
      </c>
      <c r="G583" s="623"/>
      <c r="H583" s="622"/>
      <c r="I583" s="622"/>
      <c r="J583" s="622"/>
      <c r="K583" s="622"/>
      <c r="L583" s="622"/>
      <c r="M583" s="622"/>
      <c r="N583" s="622"/>
      <c r="O583" s="622"/>
      <c r="P583" s="139" t="s">
        <v>325</v>
      </c>
      <c r="Q583" s="622"/>
      <c r="R583" s="622"/>
      <c r="S583" s="622"/>
      <c r="T583" s="622"/>
      <c r="U583" s="622"/>
      <c r="V583" s="181" t="s">
        <v>261</v>
      </c>
      <c r="W583" s="181"/>
      <c r="X583" s="597" t="s">
        <v>1422</v>
      </c>
      <c r="Y583" s="544"/>
      <c r="Z583" s="536"/>
      <c r="AA583" s="536"/>
      <c r="AB583" s="540"/>
      <c r="AC583" s="536"/>
      <c r="AD583" s="536"/>
      <c r="AE583" s="545"/>
      <c r="AF583" s="536"/>
      <c r="AG583" s="536"/>
      <c r="AH583" s="536"/>
      <c r="AI583" s="536"/>
      <c r="AJ583" s="536"/>
      <c r="AK583" s="125"/>
    </row>
    <row r="584" spans="1:37" ht="15.75" customHeight="1" outlineLevel="1">
      <c r="P584" s="80" t="s">
        <v>325</v>
      </c>
      <c r="Q584" s="80"/>
      <c r="R584" s="80"/>
      <c r="S584" s="80"/>
      <c r="T584" s="80"/>
      <c r="V584" s="94" t="s">
        <v>261</v>
      </c>
      <c r="W584" s="94"/>
      <c r="X584" s="70" t="s">
        <v>1272</v>
      </c>
      <c r="Y584" s="596" t="s">
        <v>1423</v>
      </c>
      <c r="Z584" s="94"/>
      <c r="AA584" s="94"/>
      <c r="AB584" s="703" t="s">
        <v>103</v>
      </c>
      <c r="AC584" s="703" t="s">
        <v>105</v>
      </c>
      <c r="AD584" s="703" t="s">
        <v>407</v>
      </c>
      <c r="AE584" s="711"/>
      <c r="AF584" s="707" t="s">
        <v>1267</v>
      </c>
      <c r="AG584" s="707" t="s">
        <v>1246</v>
      </c>
      <c r="AH584" s="609"/>
      <c r="AI584" s="712"/>
      <c r="AJ584" s="703"/>
    </row>
    <row r="585" spans="1:37" ht="30.75" customHeight="1" outlineLevel="1">
      <c r="P585" s="80" t="s">
        <v>325</v>
      </c>
      <c r="Q585" s="80"/>
      <c r="R585" s="80"/>
      <c r="S585" s="80"/>
      <c r="T585" s="80"/>
      <c r="V585" s="94" t="s">
        <v>261</v>
      </c>
      <c r="W585" s="94"/>
      <c r="X585" s="70" t="s">
        <v>1274</v>
      </c>
      <c r="Y585" s="596" t="s">
        <v>1424</v>
      </c>
      <c r="Z585" s="94"/>
      <c r="AA585" s="94"/>
      <c r="AB585" s="703" t="s">
        <v>167</v>
      </c>
      <c r="AC585" s="703" t="s">
        <v>95</v>
      </c>
      <c r="AD585" s="703" t="s">
        <v>407</v>
      </c>
      <c r="AE585" s="711"/>
      <c r="AF585" s="707" t="s">
        <v>1267</v>
      </c>
      <c r="AG585" s="707" t="s">
        <v>1246</v>
      </c>
      <c r="AH585" s="609"/>
      <c r="AI585" s="712"/>
      <c r="AJ585" s="703"/>
    </row>
    <row r="586" spans="1:37" ht="30.75" customHeight="1" outlineLevel="1">
      <c r="P586" s="80" t="s">
        <v>325</v>
      </c>
      <c r="Q586" s="80"/>
      <c r="R586" s="80"/>
      <c r="S586" s="80"/>
      <c r="T586" s="80"/>
      <c r="V586" s="94" t="s">
        <v>261</v>
      </c>
      <c r="W586" s="94"/>
      <c r="X586" s="2127" t="s">
        <v>1425</v>
      </c>
      <c r="Y586" s="596" t="s">
        <v>1426</v>
      </c>
      <c r="Z586" s="94"/>
      <c r="AA586" s="94"/>
      <c r="AB586" s="703" t="s">
        <v>171</v>
      </c>
      <c r="AC586" s="703" t="s">
        <v>506</v>
      </c>
      <c r="AD586" s="703" t="s">
        <v>407</v>
      </c>
      <c r="AE586" s="2128" t="s">
        <v>1291</v>
      </c>
      <c r="AF586" s="707" t="s">
        <v>1267</v>
      </c>
      <c r="AG586" s="707" t="s">
        <v>1246</v>
      </c>
      <c r="AH586" s="609"/>
      <c r="AI586" s="712"/>
      <c r="AJ586" s="703"/>
    </row>
    <row r="587" spans="1:37" ht="81.75" customHeight="1" outlineLevel="1">
      <c r="P587" s="80" t="s">
        <v>325</v>
      </c>
      <c r="Q587" s="80"/>
      <c r="R587" s="80"/>
      <c r="S587" s="80"/>
      <c r="T587" s="80"/>
      <c r="V587" s="94" t="s">
        <v>261</v>
      </c>
      <c r="W587" s="94"/>
      <c r="X587" s="2129" t="s">
        <v>1427</v>
      </c>
      <c r="Y587" s="596" t="s">
        <v>1428</v>
      </c>
      <c r="Z587" s="94"/>
      <c r="AA587" s="94"/>
      <c r="AB587" s="703" t="s">
        <v>183</v>
      </c>
      <c r="AC587" s="703" t="s">
        <v>1266</v>
      </c>
      <c r="AD587" s="703" t="s">
        <v>407</v>
      </c>
      <c r="AE587" s="2130" t="s">
        <v>1429</v>
      </c>
      <c r="AF587" s="707" t="s">
        <v>1267</v>
      </c>
      <c r="AG587" s="707" t="s">
        <v>1246</v>
      </c>
      <c r="AH587" s="609"/>
      <c r="AI587" s="712"/>
      <c r="AJ587" s="703"/>
    </row>
    <row r="588" spans="1:37" ht="41.25" customHeight="1" outlineLevel="1">
      <c r="P588" s="80" t="s">
        <v>325</v>
      </c>
      <c r="Q588" s="80"/>
      <c r="R588" s="80"/>
      <c r="S588" s="80"/>
      <c r="T588" s="80"/>
      <c r="V588" s="94" t="s">
        <v>261</v>
      </c>
      <c r="W588" s="94"/>
      <c r="X588" s="2131" t="s">
        <v>1430</v>
      </c>
      <c r="Y588" s="596" t="s">
        <v>1431</v>
      </c>
      <c r="Z588" s="94"/>
      <c r="AA588" s="94"/>
      <c r="AB588" s="703" t="s">
        <v>191</v>
      </c>
      <c r="AC588" s="703" t="s">
        <v>1350</v>
      </c>
      <c r="AD588" s="703" t="s">
        <v>407</v>
      </c>
      <c r="AE588" s="2132" t="s">
        <v>1432</v>
      </c>
      <c r="AF588" s="707" t="s">
        <v>1267</v>
      </c>
      <c r="AG588" s="707" t="s">
        <v>1246</v>
      </c>
      <c r="AH588" s="609"/>
      <c r="AI588" s="712"/>
      <c r="AJ588" s="703"/>
    </row>
    <row r="589" spans="1:37" ht="41.25" customHeight="1" outlineLevel="1">
      <c r="P589" s="80" t="s">
        <v>325</v>
      </c>
      <c r="Q589" s="80"/>
      <c r="R589" s="80"/>
      <c r="S589" s="80"/>
      <c r="T589" s="80"/>
      <c r="V589" s="94" t="s">
        <v>261</v>
      </c>
      <c r="W589" s="94"/>
      <c r="X589" s="2133" t="s">
        <v>1433</v>
      </c>
      <c r="Y589" s="596" t="s">
        <v>1434</v>
      </c>
      <c r="Z589" s="94"/>
      <c r="AA589" s="94"/>
      <c r="AB589" s="703" t="s">
        <v>199</v>
      </c>
      <c r="AC589" s="703" t="s">
        <v>1350</v>
      </c>
      <c r="AD589" s="703" t="s">
        <v>407</v>
      </c>
      <c r="AE589" s="2134" t="s">
        <v>1432</v>
      </c>
      <c r="AF589" s="707" t="s">
        <v>1267</v>
      </c>
      <c r="AG589" s="707" t="s">
        <v>1246</v>
      </c>
      <c r="AH589" s="609"/>
      <c r="AI589" s="712"/>
      <c r="AJ589" s="703"/>
    </row>
    <row r="590" spans="1:37" ht="41.25" customHeight="1" outlineLevel="1">
      <c r="P590" s="80" t="s">
        <v>325</v>
      </c>
      <c r="Q590" s="80"/>
      <c r="R590" s="80"/>
      <c r="S590" s="80"/>
      <c r="T590" s="80"/>
      <c r="V590" s="94" t="s">
        <v>261</v>
      </c>
      <c r="W590" s="94"/>
      <c r="X590" s="2135" t="s">
        <v>1435</v>
      </c>
      <c r="Y590" s="596" t="s">
        <v>1436</v>
      </c>
      <c r="Z590" s="94"/>
      <c r="AA590" s="94"/>
      <c r="AB590" s="703" t="s">
        <v>207</v>
      </c>
      <c r="AC590" s="703" t="s">
        <v>1350</v>
      </c>
      <c r="AD590" s="703" t="s">
        <v>407</v>
      </c>
      <c r="AE590" s="2136" t="s">
        <v>1437</v>
      </c>
      <c r="AF590" s="707" t="s">
        <v>1267</v>
      </c>
      <c r="AG590" s="707" t="s">
        <v>1246</v>
      </c>
      <c r="AH590" s="609"/>
      <c r="AI590" s="712"/>
      <c r="AJ590" s="703"/>
    </row>
    <row r="591" spans="1:37" ht="54.75" customHeight="1" outlineLevel="1">
      <c r="P591" s="80" t="s">
        <v>325</v>
      </c>
      <c r="Q591" s="80"/>
      <c r="R591" s="80"/>
      <c r="S591" s="80"/>
      <c r="T591" s="80"/>
      <c r="V591" s="94" t="s">
        <v>261</v>
      </c>
      <c r="W591" s="94"/>
      <c r="X591" s="2137" t="s">
        <v>1438</v>
      </c>
      <c r="Y591" s="596" t="s">
        <v>1439</v>
      </c>
      <c r="Z591" s="94"/>
      <c r="AA591" s="94"/>
      <c r="AB591" s="703" t="s">
        <v>218</v>
      </c>
      <c r="AC591" s="703" t="s">
        <v>1350</v>
      </c>
      <c r="AD591" s="703" t="s">
        <v>407</v>
      </c>
      <c r="AE591" s="2138" t="s">
        <v>1440</v>
      </c>
      <c r="AF591" s="707" t="s">
        <v>1267</v>
      </c>
      <c r="AG591" s="707" t="s">
        <v>1246</v>
      </c>
      <c r="AH591" s="609"/>
      <c r="AI591" s="712"/>
      <c r="AJ591" s="703"/>
    </row>
    <row r="592" spans="1:37" ht="30.75" customHeight="1" outlineLevel="1">
      <c r="P592" s="80" t="s">
        <v>325</v>
      </c>
      <c r="Q592" s="80"/>
      <c r="R592" s="80"/>
      <c r="S592" s="80"/>
      <c r="T592" s="80"/>
      <c r="V592" s="94" t="s">
        <v>261</v>
      </c>
      <c r="W592" s="94"/>
      <c r="X592" s="2139" t="s">
        <v>1441</v>
      </c>
      <c r="Y592" s="596" t="s">
        <v>1442</v>
      </c>
      <c r="Z592" s="94"/>
      <c r="AA592" s="94"/>
      <c r="AB592" s="703" t="s">
        <v>1402</v>
      </c>
      <c r="AC592" s="703" t="s">
        <v>506</v>
      </c>
      <c r="AD592" s="703" t="s">
        <v>407</v>
      </c>
      <c r="AE592" s="2140" t="s">
        <v>1443</v>
      </c>
      <c r="AF592" s="707" t="s">
        <v>1267</v>
      </c>
      <c r="AG592" s="707" t="s">
        <v>1246</v>
      </c>
      <c r="AH592" s="609"/>
      <c r="AI592" s="712"/>
      <c r="AJ592" s="703"/>
    </row>
    <row r="593" spans="1:37" ht="30.75" customHeight="1" outlineLevel="1">
      <c r="P593" s="80" t="s">
        <v>325</v>
      </c>
      <c r="Q593" s="80"/>
      <c r="R593" s="80"/>
      <c r="S593" s="80"/>
      <c r="T593" s="80"/>
      <c r="V593" s="94" t="s">
        <v>261</v>
      </c>
      <c r="W593" s="94"/>
      <c r="X593" s="2141" t="s">
        <v>1444</v>
      </c>
      <c r="Y593" s="596" t="s">
        <v>1445</v>
      </c>
      <c r="Z593" s="94"/>
      <c r="AA593" s="94"/>
      <c r="AB593" s="703" t="s">
        <v>1405</v>
      </c>
      <c r="AC593" s="703" t="s">
        <v>506</v>
      </c>
      <c r="AD593" s="703" t="s">
        <v>407</v>
      </c>
      <c r="AE593" s="2142" t="s">
        <v>1443</v>
      </c>
      <c r="AF593" s="707" t="s">
        <v>1267</v>
      </c>
      <c r="AG593" s="707" t="s">
        <v>1246</v>
      </c>
      <c r="AH593" s="609"/>
      <c r="AI593" s="712"/>
      <c r="AJ593" s="703"/>
    </row>
    <row r="594" spans="1:37" ht="30.75" customHeight="1" outlineLevel="1">
      <c r="P594" s="80" t="s">
        <v>325</v>
      </c>
      <c r="Q594" s="80"/>
      <c r="R594" s="80"/>
      <c r="S594" s="80"/>
      <c r="T594" s="80"/>
      <c r="V594" s="94" t="s">
        <v>261</v>
      </c>
      <c r="W594" s="94"/>
      <c r="X594" s="2143" t="s">
        <v>1446</v>
      </c>
      <c r="Y594" s="596" t="s">
        <v>1447</v>
      </c>
      <c r="Z594" s="94"/>
      <c r="AA594" s="94"/>
      <c r="AB594" s="703" t="s">
        <v>1408</v>
      </c>
      <c r="AC594" s="703" t="s">
        <v>506</v>
      </c>
      <c r="AD594" s="703" t="s">
        <v>407</v>
      </c>
      <c r="AE594" s="2144" t="s">
        <v>1443</v>
      </c>
      <c r="AF594" s="707" t="s">
        <v>1267</v>
      </c>
      <c r="AG594" s="707" t="s">
        <v>1246</v>
      </c>
      <c r="AH594" s="609"/>
      <c r="AI594" s="712"/>
      <c r="AJ594" s="703"/>
    </row>
    <row r="595" spans="1:37" ht="30.75" customHeight="1" outlineLevel="1">
      <c r="P595" s="80" t="s">
        <v>325</v>
      </c>
      <c r="Q595" s="80"/>
      <c r="R595" s="80"/>
      <c r="S595" s="80"/>
      <c r="T595" s="80"/>
      <c r="V595" s="94" t="s">
        <v>261</v>
      </c>
      <c r="W595" s="94"/>
      <c r="X595" s="2145" t="s">
        <v>1448</v>
      </c>
      <c r="Y595" s="596" t="s">
        <v>1449</v>
      </c>
      <c r="Z595" s="94"/>
      <c r="AA595" s="94"/>
      <c r="AB595" s="703" t="s">
        <v>1411</v>
      </c>
      <c r="AC595" s="703" t="s">
        <v>506</v>
      </c>
      <c r="AD595" s="703" t="s">
        <v>407</v>
      </c>
      <c r="AE595" s="2146" t="s">
        <v>1443</v>
      </c>
      <c r="AF595" s="707" t="s">
        <v>1267</v>
      </c>
      <c r="AG595" s="707" t="s">
        <v>1246</v>
      </c>
      <c r="AH595" s="609"/>
      <c r="AI595" s="712"/>
      <c r="AJ595" s="703"/>
    </row>
    <row r="596" spans="1:37" ht="30.75" customHeight="1" outlineLevel="1">
      <c r="P596" s="80" t="s">
        <v>325</v>
      </c>
      <c r="Q596" s="80"/>
      <c r="R596" s="80"/>
      <c r="S596" s="80"/>
      <c r="T596" s="80"/>
      <c r="V596" s="94" t="s">
        <v>261</v>
      </c>
      <c r="W596" s="94"/>
      <c r="X596" s="2147" t="s">
        <v>1450</v>
      </c>
      <c r="Y596" s="596" t="s">
        <v>1451</v>
      </c>
      <c r="Z596" s="94"/>
      <c r="AA596" s="94"/>
      <c r="AB596" s="703" t="s">
        <v>1452</v>
      </c>
      <c r="AC596" s="703" t="s">
        <v>105</v>
      </c>
      <c r="AD596" s="703" t="s">
        <v>407</v>
      </c>
      <c r="AE596" s="711"/>
      <c r="AF596" s="707" t="s">
        <v>1267</v>
      </c>
      <c r="AG596" s="707" t="s">
        <v>1246</v>
      </c>
      <c r="AH596" s="609"/>
      <c r="AI596" s="712"/>
      <c r="AJ596" s="703" t="s">
        <v>1453</v>
      </c>
    </row>
    <row r="597" spans="1:37" ht="30.75" customHeight="1" outlineLevel="1">
      <c r="P597" s="80" t="s">
        <v>325</v>
      </c>
      <c r="Q597" s="80"/>
      <c r="R597" s="80"/>
      <c r="S597" s="80"/>
      <c r="T597" s="80"/>
      <c r="V597" s="94" t="s">
        <v>261</v>
      </c>
      <c r="W597" s="94"/>
      <c r="X597" s="2148" t="s">
        <v>1454</v>
      </c>
      <c r="Y597" s="596" t="s">
        <v>1455</v>
      </c>
      <c r="Z597" s="94"/>
      <c r="AA597" s="94"/>
      <c r="AB597" s="703" t="s">
        <v>1456</v>
      </c>
      <c r="AC597" s="703" t="s">
        <v>506</v>
      </c>
      <c r="AD597" s="703" t="s">
        <v>407</v>
      </c>
      <c r="AE597" s="2149" t="s">
        <v>1374</v>
      </c>
      <c r="AF597" s="707" t="s">
        <v>1267</v>
      </c>
      <c r="AG597" s="707" t="s">
        <v>1246</v>
      </c>
      <c r="AH597" s="609"/>
      <c r="AI597" s="712"/>
      <c r="AJ597" s="703"/>
    </row>
    <row r="598" spans="1:37" ht="30.75" customHeight="1" outlineLevel="1">
      <c r="P598" s="80" t="s">
        <v>325</v>
      </c>
      <c r="Q598" s="80"/>
      <c r="R598" s="80"/>
      <c r="S598" s="80"/>
      <c r="T598" s="80"/>
      <c r="V598" s="94" t="s">
        <v>261</v>
      </c>
      <c r="W598" s="94"/>
      <c r="X598" s="2150" t="s">
        <v>1457</v>
      </c>
      <c r="Y598" s="596" t="s">
        <v>1458</v>
      </c>
      <c r="Z598" s="94"/>
      <c r="AA598" s="94"/>
      <c r="AB598" s="703" t="s">
        <v>1373</v>
      </c>
      <c r="AC598" s="703" t="s">
        <v>103</v>
      </c>
      <c r="AD598" s="703" t="s">
        <v>407</v>
      </c>
      <c r="AE598" s="711"/>
      <c r="AF598" s="707" t="s">
        <v>1267</v>
      </c>
      <c r="AG598" s="707" t="s">
        <v>1246</v>
      </c>
      <c r="AH598" s="609"/>
      <c r="AI598" s="712"/>
      <c r="AJ598" s="703" t="s">
        <v>904</v>
      </c>
    </row>
    <row r="599" spans="1:37" ht="30.75" customHeight="1" outlineLevel="1">
      <c r="P599" s="80" t="s">
        <v>325</v>
      </c>
      <c r="Q599" s="80"/>
      <c r="R599" s="80"/>
      <c r="S599" s="80"/>
      <c r="T599" s="80"/>
      <c r="V599" s="94" t="s">
        <v>261</v>
      </c>
      <c r="W599" s="94"/>
      <c r="X599" s="2151" t="s">
        <v>1459</v>
      </c>
      <c r="Y599" s="596" t="s">
        <v>1460</v>
      </c>
      <c r="Z599" s="94"/>
      <c r="AA599" s="94"/>
      <c r="AB599" s="703" t="s">
        <v>1461</v>
      </c>
      <c r="AC599" s="703" t="s">
        <v>103</v>
      </c>
      <c r="AD599" s="703" t="s">
        <v>407</v>
      </c>
      <c r="AE599" s="711"/>
      <c r="AF599" s="707" t="s">
        <v>1267</v>
      </c>
      <c r="AG599" s="707" t="s">
        <v>1246</v>
      </c>
      <c r="AH599" s="609"/>
      <c r="AI599" s="712"/>
      <c r="AJ599" s="703" t="s">
        <v>904</v>
      </c>
    </row>
    <row r="600" spans="1:37" ht="30.75" customHeight="1" outlineLevel="1">
      <c r="P600" s="80" t="s">
        <v>325</v>
      </c>
      <c r="Q600" s="80"/>
      <c r="R600" s="80"/>
      <c r="S600" s="80"/>
      <c r="T600" s="80"/>
      <c r="V600" s="94" t="s">
        <v>261</v>
      </c>
      <c r="W600" s="94"/>
      <c r="X600" s="2152" t="s">
        <v>1462</v>
      </c>
      <c r="Y600" s="596" t="s">
        <v>1463</v>
      </c>
      <c r="Z600" s="94"/>
      <c r="AA600" s="94"/>
      <c r="AB600" s="703" t="s">
        <v>1464</v>
      </c>
      <c r="AC600" s="703" t="s">
        <v>506</v>
      </c>
      <c r="AD600" s="703" t="s">
        <v>407</v>
      </c>
      <c r="AE600" s="2153" t="s">
        <v>1278</v>
      </c>
      <c r="AF600" s="707" t="s">
        <v>1267</v>
      </c>
      <c r="AG600" s="707" t="s">
        <v>1246</v>
      </c>
      <c r="AH600" s="609"/>
      <c r="AI600" s="712"/>
      <c r="AJ600" s="703"/>
    </row>
    <row r="601" spans="1:37" ht="30.75" customHeight="1">
      <c r="P601" s="80" t="s">
        <v>325</v>
      </c>
      <c r="Q601" s="80"/>
      <c r="R601" s="80"/>
      <c r="S601" s="80"/>
      <c r="T601" s="80"/>
      <c r="V601" s="94" t="s">
        <v>261</v>
      </c>
      <c r="W601" s="94"/>
      <c r="X601" s="2154" t="s">
        <v>1465</v>
      </c>
      <c r="Y601" s="596" t="s">
        <v>1466</v>
      </c>
      <c r="Z601" s="94"/>
      <c r="AA601" s="94"/>
      <c r="AB601" s="703" t="s">
        <v>1358</v>
      </c>
      <c r="AC601" s="703" t="s">
        <v>103</v>
      </c>
      <c r="AD601" s="703" t="s">
        <v>407</v>
      </c>
      <c r="AE601" s="711"/>
      <c r="AF601" s="707" t="s">
        <v>1267</v>
      </c>
      <c r="AG601" s="707" t="s">
        <v>1246</v>
      </c>
      <c r="AH601" s="609"/>
      <c r="AI601" s="712"/>
      <c r="AJ601" s="703" t="s">
        <v>904</v>
      </c>
    </row>
    <row r="602" spans="1:37" ht="52.5" customHeight="1" outlineLevel="1">
      <c r="A602" s="622">
        <v>101</v>
      </c>
      <c r="B602" s="622" t="s">
        <v>1239</v>
      </c>
      <c r="C602" s="622" t="s">
        <v>1467</v>
      </c>
      <c r="D602" s="622" t="s">
        <v>259</v>
      </c>
      <c r="E602" s="622">
        <v>8</v>
      </c>
      <c r="F602" s="622" t="s">
        <v>1241</v>
      </c>
      <c r="G602" s="623"/>
      <c r="H602" s="622"/>
      <c r="I602" s="622"/>
      <c r="J602" s="622"/>
      <c r="K602" s="622"/>
      <c r="L602" s="622"/>
      <c r="M602" s="622"/>
      <c r="N602" s="622"/>
      <c r="O602" s="622"/>
      <c r="P602" s="139" t="s">
        <v>325</v>
      </c>
      <c r="Q602" s="622"/>
      <c r="R602" s="622"/>
      <c r="S602" s="622"/>
      <c r="T602" s="622"/>
      <c r="U602" s="622"/>
      <c r="V602" s="181" t="s">
        <v>261</v>
      </c>
      <c r="W602" s="181"/>
      <c r="X602" s="597" t="s">
        <v>1468</v>
      </c>
      <c r="Y602" s="597"/>
      <c r="Z602" s="546"/>
      <c r="AA602" s="536"/>
      <c r="AB602" s="540"/>
      <c r="AC602" s="536"/>
      <c r="AD602" s="536"/>
      <c r="AE602" s="545"/>
      <c r="AF602" s="536"/>
      <c r="AG602" s="536"/>
      <c r="AH602" s="536"/>
      <c r="AI602" s="536"/>
      <c r="AJ602" s="536"/>
      <c r="AK602" s="125"/>
    </row>
    <row r="603" spans="1:37" ht="15.75" customHeight="1" outlineLevel="1">
      <c r="P603" s="80" t="s">
        <v>325</v>
      </c>
      <c r="Q603" s="80"/>
      <c r="R603" s="80"/>
      <c r="S603" s="80"/>
      <c r="T603" s="80"/>
      <c r="V603" s="94" t="s">
        <v>261</v>
      </c>
      <c r="W603" s="94"/>
      <c r="X603" s="70" t="s">
        <v>1272</v>
      </c>
      <c r="Y603" s="596" t="s">
        <v>1469</v>
      </c>
      <c r="Z603" s="94"/>
      <c r="AA603" s="94"/>
      <c r="AB603" s="703" t="s">
        <v>103</v>
      </c>
      <c r="AC603" s="703" t="s">
        <v>105</v>
      </c>
      <c r="AD603" s="703" t="s">
        <v>407</v>
      </c>
      <c r="AE603" s="711"/>
      <c r="AF603" s="707" t="s">
        <v>1267</v>
      </c>
      <c r="AG603" s="707" t="s">
        <v>1246</v>
      </c>
      <c r="AH603" s="609"/>
      <c r="AI603" s="712"/>
      <c r="AJ603" s="703"/>
    </row>
    <row r="604" spans="1:37" ht="30.75" customHeight="1" outlineLevel="1">
      <c r="P604" s="80" t="s">
        <v>325</v>
      </c>
      <c r="Q604" s="80"/>
      <c r="R604" s="80"/>
      <c r="S604" s="80"/>
      <c r="T604" s="80"/>
      <c r="V604" s="94" t="s">
        <v>261</v>
      </c>
      <c r="W604" s="94"/>
      <c r="X604" s="70" t="s">
        <v>1274</v>
      </c>
      <c r="Y604" s="596" t="s">
        <v>1470</v>
      </c>
      <c r="Z604" s="94"/>
      <c r="AA604" s="94"/>
      <c r="AB604" s="703" t="s">
        <v>167</v>
      </c>
      <c r="AC604" s="703" t="s">
        <v>95</v>
      </c>
      <c r="AD604" s="703" t="s">
        <v>407</v>
      </c>
      <c r="AE604" s="711"/>
      <c r="AF604" s="707" t="s">
        <v>1267</v>
      </c>
      <c r="AG604" s="707" t="s">
        <v>1246</v>
      </c>
      <c r="AH604" s="609"/>
      <c r="AI604" s="712"/>
      <c r="AJ604" s="703"/>
    </row>
    <row r="605" spans="1:37" ht="30.75" customHeight="1" outlineLevel="1">
      <c r="P605" s="80" t="s">
        <v>325</v>
      </c>
      <c r="Q605" s="80"/>
      <c r="R605" s="80"/>
      <c r="S605" s="80"/>
      <c r="T605" s="80"/>
      <c r="V605" s="94" t="s">
        <v>261</v>
      </c>
      <c r="W605" s="94"/>
      <c r="X605" s="2155" t="s">
        <v>1471</v>
      </c>
      <c r="Y605" s="596" t="s">
        <v>1472</v>
      </c>
      <c r="Z605" s="94"/>
      <c r="AA605" s="94"/>
      <c r="AB605" s="703" t="s">
        <v>218</v>
      </c>
      <c r="AC605" s="703" t="s">
        <v>1473</v>
      </c>
      <c r="AD605" s="703" t="s">
        <v>407</v>
      </c>
      <c r="AE605" s="711"/>
      <c r="AF605" s="707" t="s">
        <v>1474</v>
      </c>
      <c r="AG605" s="707" t="s">
        <v>1475</v>
      </c>
      <c r="AH605" s="609"/>
      <c r="AI605" s="712"/>
      <c r="AJ605" s="703" t="s">
        <v>508</v>
      </c>
    </row>
    <row r="606" spans="1:37" ht="30.75" customHeight="1" outlineLevel="1">
      <c r="P606" s="80" t="s">
        <v>325</v>
      </c>
      <c r="Q606" s="80"/>
      <c r="R606" s="80"/>
      <c r="S606" s="80"/>
      <c r="T606" s="80"/>
      <c r="V606" s="94" t="s">
        <v>261</v>
      </c>
      <c r="W606" s="94"/>
      <c r="X606" s="2156" t="s">
        <v>1476</v>
      </c>
      <c r="Y606" s="596" t="s">
        <v>1477</v>
      </c>
      <c r="Z606" s="94"/>
      <c r="AA606" s="94"/>
      <c r="AB606" s="703" t="s">
        <v>1408</v>
      </c>
      <c r="AC606" s="703" t="s">
        <v>1473</v>
      </c>
      <c r="AD606" s="703" t="s">
        <v>407</v>
      </c>
      <c r="AE606" s="711"/>
      <c r="AF606" s="707" t="s">
        <v>1474</v>
      </c>
      <c r="AG606" s="707" t="s">
        <v>1475</v>
      </c>
      <c r="AH606" s="609"/>
      <c r="AI606" s="712"/>
      <c r="AJ606" s="703" t="s">
        <v>508</v>
      </c>
    </row>
    <row r="607" spans="1:37" ht="30.75" customHeight="1" outlineLevel="1">
      <c r="P607" s="80" t="s">
        <v>325</v>
      </c>
      <c r="Q607" s="80"/>
      <c r="R607" s="80"/>
      <c r="S607" s="80"/>
      <c r="T607" s="80"/>
      <c r="V607" s="94" t="s">
        <v>261</v>
      </c>
      <c r="W607" s="94"/>
      <c r="X607" s="2157" t="s">
        <v>1478</v>
      </c>
      <c r="Y607" s="596" t="s">
        <v>1479</v>
      </c>
      <c r="Z607" s="94"/>
      <c r="AA607" s="94"/>
      <c r="AB607" s="703" t="s">
        <v>1480</v>
      </c>
      <c r="AC607" s="703" t="s">
        <v>1473</v>
      </c>
      <c r="AD607" s="703" t="s">
        <v>407</v>
      </c>
      <c r="AE607" s="711"/>
      <c r="AF607" s="707" t="s">
        <v>1474</v>
      </c>
      <c r="AG607" s="707" t="s">
        <v>1475</v>
      </c>
      <c r="AH607" s="609"/>
      <c r="AI607" s="712"/>
      <c r="AJ607" s="703" t="s">
        <v>508</v>
      </c>
    </row>
    <row r="608" spans="1:37" ht="14.25" customHeight="1">
      <c r="P608" s="80" t="s">
        <v>325</v>
      </c>
      <c r="Q608" s="80"/>
      <c r="R608" s="80"/>
      <c r="S608" s="80"/>
      <c r="T608" s="80"/>
      <c r="V608" s="94" t="s">
        <v>261</v>
      </c>
      <c r="W608" s="94"/>
      <c r="X608" s="2158" t="s">
        <v>1481</v>
      </c>
      <c r="Y608" s="596" t="s">
        <v>1482</v>
      </c>
      <c r="Z608" s="94"/>
      <c r="AA608" s="94"/>
      <c r="AB608" s="703" t="s">
        <v>1452</v>
      </c>
      <c r="AC608" s="703" t="s">
        <v>506</v>
      </c>
      <c r="AD608" s="703" t="s">
        <v>407</v>
      </c>
      <c r="AE608" s="2159" t="s">
        <v>1278</v>
      </c>
      <c r="AF608" s="707" t="s">
        <v>1267</v>
      </c>
      <c r="AG608" s="707" t="s">
        <v>1246</v>
      </c>
      <c r="AH608" s="609"/>
      <c r="AI608" s="712"/>
      <c r="AJ608" s="703"/>
    </row>
    <row r="609" spans="1:37" ht="18" customHeight="1" outlineLevel="1">
      <c r="A609" s="622">
        <v>104</v>
      </c>
      <c r="B609" s="622" t="s">
        <v>1483</v>
      </c>
      <c r="C609" s="622" t="s">
        <v>1484</v>
      </c>
      <c r="D609" s="622" t="s">
        <v>844</v>
      </c>
      <c r="E609" s="622">
        <v>8</v>
      </c>
      <c r="F609" s="622" t="s">
        <v>260</v>
      </c>
      <c r="G609" s="623"/>
      <c r="H609" s="622" t="s">
        <v>325</v>
      </c>
      <c r="I609" s="622"/>
      <c r="J609" s="622"/>
      <c r="K609" s="622"/>
      <c r="L609" s="622"/>
      <c r="M609" s="622"/>
      <c r="N609" s="622"/>
      <c r="O609" s="622"/>
      <c r="P609" s="622" t="s">
        <v>325</v>
      </c>
      <c r="Q609" s="622"/>
      <c r="R609" s="622"/>
      <c r="S609" s="622"/>
      <c r="T609" s="622"/>
      <c r="U609" s="622"/>
      <c r="V609" s="622" t="s">
        <v>261</v>
      </c>
      <c r="W609" s="622"/>
      <c r="X609" s="597" t="s">
        <v>1485</v>
      </c>
      <c r="Y609" s="597"/>
      <c r="Z609" s="622"/>
      <c r="AA609" s="622"/>
      <c r="AB609" s="595">
        <f t="shared" ref="AB609:AB640" si="8">Z609*8+AA609</f>
        <v>0</v>
      </c>
      <c r="AC609" s="622"/>
      <c r="AD609" s="622"/>
      <c r="AE609" s="608"/>
      <c r="AF609" s="622"/>
      <c r="AG609" s="622"/>
      <c r="AH609" s="622"/>
      <c r="AI609" s="622"/>
      <c r="AJ609" s="622"/>
      <c r="AK609" s="125"/>
    </row>
    <row r="610" spans="1:37" ht="30.75" customHeight="1" outlineLevel="1">
      <c r="A610" s="80"/>
      <c r="B610" s="80"/>
      <c r="C610" s="80"/>
      <c r="D610" s="80"/>
      <c r="E610" s="80"/>
      <c r="F610" s="80"/>
      <c r="G610" s="182"/>
      <c r="H610" s="80" t="s">
        <v>325</v>
      </c>
      <c r="I610" s="80"/>
      <c r="J610" s="80"/>
      <c r="K610" s="80"/>
      <c r="L610" s="80"/>
      <c r="M610" s="80"/>
      <c r="O610" s="80"/>
      <c r="P610" s="80" t="s">
        <v>325</v>
      </c>
      <c r="Q610" s="80"/>
      <c r="V610" s="80" t="s">
        <v>261</v>
      </c>
      <c r="W610" s="80"/>
      <c r="X610" s="2160" t="s">
        <v>532</v>
      </c>
      <c r="Y610" s="123" t="s">
        <v>1486</v>
      </c>
      <c r="Z610" s="120">
        <v>0</v>
      </c>
      <c r="AA610" s="71">
        <v>0</v>
      </c>
      <c r="AB610" s="595">
        <f t="shared" si="8"/>
        <v>0</v>
      </c>
      <c r="AC610" s="71">
        <v>16</v>
      </c>
      <c r="AD610" s="71"/>
      <c r="AE610" s="70"/>
      <c r="AF610" s="70"/>
      <c r="AG610" s="70"/>
      <c r="AH610" s="70"/>
      <c r="AI610" s="70"/>
      <c r="AJ610" s="71"/>
      <c r="AK610" s="80"/>
    </row>
    <row r="611" spans="1:37" ht="30.75" customHeight="1" outlineLevel="1">
      <c r="A611" s="80"/>
      <c r="B611" s="80"/>
      <c r="C611" s="80"/>
      <c r="D611" s="80"/>
      <c r="E611" s="80"/>
      <c r="F611" s="80"/>
      <c r="G611" s="182"/>
      <c r="H611" s="80" t="s">
        <v>325</v>
      </c>
      <c r="I611" s="80"/>
      <c r="J611" s="80"/>
      <c r="K611" s="80"/>
      <c r="L611" s="80"/>
      <c r="M611" s="80"/>
      <c r="O611" s="80"/>
      <c r="P611" s="80" t="s">
        <v>325</v>
      </c>
      <c r="Q611" s="80"/>
      <c r="V611" s="80" t="s">
        <v>261</v>
      </c>
      <c r="W611" s="80"/>
      <c r="X611" s="2161" t="s">
        <v>534</v>
      </c>
      <c r="Y611" s="123" t="s">
        <v>1487</v>
      </c>
      <c r="Z611" s="644">
        <v>2</v>
      </c>
      <c r="AA611" s="595">
        <v>0</v>
      </c>
      <c r="AB611" s="595">
        <f t="shared" si="8"/>
        <v>16</v>
      </c>
      <c r="AC611" s="595">
        <v>8</v>
      </c>
      <c r="AD611" s="595"/>
      <c r="AE611" s="599"/>
      <c r="AF611" s="599"/>
      <c r="AG611" s="599"/>
      <c r="AH611" s="599"/>
      <c r="AI611" s="599"/>
      <c r="AJ611" s="595"/>
      <c r="AK611" s="80"/>
    </row>
    <row r="612" spans="1:37" ht="30.75" customHeight="1" outlineLevel="1">
      <c r="A612" s="80"/>
      <c r="B612" s="80"/>
      <c r="C612" s="80"/>
      <c r="D612" s="80"/>
      <c r="E612" s="80"/>
      <c r="F612" s="80"/>
      <c r="G612" s="182"/>
      <c r="H612" s="80" t="s">
        <v>325</v>
      </c>
      <c r="I612" s="80"/>
      <c r="J612" s="80"/>
      <c r="K612" s="80"/>
      <c r="L612" s="80"/>
      <c r="M612" s="80"/>
      <c r="O612" s="80"/>
      <c r="P612" s="80" t="s">
        <v>325</v>
      </c>
      <c r="Q612" s="80"/>
      <c r="V612" s="80" t="s">
        <v>261</v>
      </c>
      <c r="W612" s="80"/>
      <c r="X612" s="2162" t="s">
        <v>537</v>
      </c>
      <c r="Y612" s="123" t="s">
        <v>1488</v>
      </c>
      <c r="Z612" s="644">
        <v>3</v>
      </c>
      <c r="AA612" s="595">
        <v>0</v>
      </c>
      <c r="AB612" s="595">
        <f t="shared" si="8"/>
        <v>24</v>
      </c>
      <c r="AC612" s="595">
        <v>8</v>
      </c>
      <c r="AD612" s="595"/>
      <c r="AE612" s="599"/>
      <c r="AF612" s="599"/>
      <c r="AG612" s="599"/>
      <c r="AH612" s="599"/>
      <c r="AI612" s="599"/>
      <c r="AJ612" s="595"/>
      <c r="AK612" s="80"/>
    </row>
    <row r="613" spans="1:37" ht="30.75" customHeight="1" outlineLevel="1">
      <c r="A613" s="80"/>
      <c r="B613" s="80"/>
      <c r="C613" s="80"/>
      <c r="D613" s="80"/>
      <c r="E613" s="80"/>
      <c r="F613" s="80"/>
      <c r="G613" s="182"/>
      <c r="H613" s="80" t="s">
        <v>325</v>
      </c>
      <c r="I613" s="80"/>
      <c r="J613" s="80"/>
      <c r="K613" s="80"/>
      <c r="L613" s="80"/>
      <c r="M613" s="80"/>
      <c r="O613" s="80"/>
      <c r="P613" s="80" t="s">
        <v>325</v>
      </c>
      <c r="Q613" s="80"/>
      <c r="V613" s="80" t="s">
        <v>261</v>
      </c>
      <c r="W613" s="80"/>
      <c r="X613" s="2163" t="s">
        <v>540</v>
      </c>
      <c r="Y613" s="123" t="s">
        <v>1489</v>
      </c>
      <c r="Z613" s="644">
        <v>4</v>
      </c>
      <c r="AA613" s="595">
        <v>0</v>
      </c>
      <c r="AB613" s="595">
        <f t="shared" si="8"/>
        <v>32</v>
      </c>
      <c r="AC613" s="595">
        <v>8</v>
      </c>
      <c r="AD613" s="595"/>
      <c r="AE613" s="599"/>
      <c r="AF613" s="599"/>
      <c r="AG613" s="599"/>
      <c r="AH613" s="599"/>
      <c r="AI613" s="599"/>
      <c r="AJ613" s="595"/>
      <c r="AK613" s="80"/>
    </row>
    <row r="614" spans="1:37" ht="14.25" customHeight="1">
      <c r="A614" s="80"/>
      <c r="B614" s="80"/>
      <c r="C614" s="80"/>
      <c r="D614" s="80"/>
      <c r="E614" s="80"/>
      <c r="F614" s="80"/>
      <c r="G614" s="182"/>
      <c r="H614" s="80" t="s">
        <v>325</v>
      </c>
      <c r="I614" s="80"/>
      <c r="J614" s="80"/>
      <c r="K614" s="80"/>
      <c r="L614" s="80"/>
      <c r="M614" s="80"/>
      <c r="O614" s="80"/>
      <c r="P614" s="80" t="s">
        <v>325</v>
      </c>
      <c r="Q614" s="80"/>
      <c r="V614" s="80" t="s">
        <v>261</v>
      </c>
      <c r="W614" s="80"/>
      <c r="X614" s="2164" t="s">
        <v>543</v>
      </c>
      <c r="Y614" s="625" t="s">
        <v>1490</v>
      </c>
      <c r="Z614" s="644">
        <v>5</v>
      </c>
      <c r="AA614" s="595">
        <v>0</v>
      </c>
      <c r="AB614" s="595">
        <f t="shared" si="8"/>
        <v>40</v>
      </c>
      <c r="AC614" s="595">
        <v>24</v>
      </c>
      <c r="AD614" s="595"/>
      <c r="AE614" s="599"/>
      <c r="AF614" s="599"/>
      <c r="AG614" s="599"/>
      <c r="AH614" s="599"/>
      <c r="AI614" s="599"/>
      <c r="AJ614" s="595"/>
      <c r="AK614" s="80"/>
    </row>
    <row r="615" spans="1:37" ht="18" customHeight="1" outlineLevel="1">
      <c r="A615" s="622">
        <v>105</v>
      </c>
      <c r="B615" s="622" t="s">
        <v>1483</v>
      </c>
      <c r="C615" s="622" t="s">
        <v>1491</v>
      </c>
      <c r="D615" s="622" t="s">
        <v>844</v>
      </c>
      <c r="E615" s="622">
        <v>8</v>
      </c>
      <c r="F615" s="622" t="s">
        <v>260</v>
      </c>
      <c r="G615" s="623"/>
      <c r="H615" s="622" t="s">
        <v>325</v>
      </c>
      <c r="I615" s="622"/>
      <c r="J615" s="622"/>
      <c r="K615" s="622"/>
      <c r="L615" s="622"/>
      <c r="M615" s="622"/>
      <c r="N615" s="622"/>
      <c r="O615" s="622"/>
      <c r="P615" s="622" t="s">
        <v>325</v>
      </c>
      <c r="Q615" s="622"/>
      <c r="R615" s="622"/>
      <c r="S615" s="622"/>
      <c r="T615" s="622"/>
      <c r="U615" s="622"/>
      <c r="V615" s="622" t="s">
        <v>261</v>
      </c>
      <c r="W615" s="622"/>
      <c r="X615" s="597" t="s">
        <v>1492</v>
      </c>
      <c r="Y615" s="597"/>
      <c r="Z615" s="622"/>
      <c r="AA615" s="622"/>
      <c r="AB615" s="595">
        <f t="shared" si="8"/>
        <v>0</v>
      </c>
      <c r="AC615" s="622"/>
      <c r="AD615" s="622"/>
      <c r="AE615" s="608"/>
      <c r="AF615" s="622"/>
      <c r="AG615" s="622"/>
      <c r="AH615" s="622"/>
      <c r="AI615" s="622"/>
      <c r="AJ615" s="622"/>
      <c r="AK615" s="125"/>
    </row>
    <row r="616" spans="1:37" ht="45.75" customHeight="1" outlineLevel="1">
      <c r="A616" s="80"/>
      <c r="B616" s="80"/>
      <c r="C616" s="80"/>
      <c r="D616" s="80"/>
      <c r="E616" s="80"/>
      <c r="F616" s="80"/>
      <c r="G616" s="182"/>
      <c r="H616" s="80" t="s">
        <v>325</v>
      </c>
      <c r="I616" s="80"/>
      <c r="J616" s="80"/>
      <c r="K616" s="80"/>
      <c r="L616" s="80"/>
      <c r="M616" s="80"/>
      <c r="O616" s="80"/>
      <c r="P616" s="80" t="s">
        <v>325</v>
      </c>
      <c r="Q616" s="80"/>
      <c r="V616" s="80" t="s">
        <v>261</v>
      </c>
      <c r="W616" s="80"/>
      <c r="X616" s="2165" t="s">
        <v>549</v>
      </c>
      <c r="Y616" s="123" t="s">
        <v>849</v>
      </c>
      <c r="Z616" s="120">
        <v>0</v>
      </c>
      <c r="AA616" s="71">
        <v>0</v>
      </c>
      <c r="AB616" s="595">
        <f t="shared" si="8"/>
        <v>0</v>
      </c>
      <c r="AC616" s="71">
        <v>8</v>
      </c>
      <c r="AD616" s="133"/>
      <c r="AE616" s="70" t="s">
        <v>551</v>
      </c>
      <c r="AF616" s="134"/>
      <c r="AG616" s="134"/>
      <c r="AH616" s="134"/>
      <c r="AI616" s="134"/>
      <c r="AJ616" s="134"/>
      <c r="AK616" s="59"/>
    </row>
    <row r="617" spans="1:37" ht="75.75" customHeight="1" outlineLevel="1">
      <c r="A617" s="80"/>
      <c r="B617" s="80"/>
      <c r="C617" s="80"/>
      <c r="D617" s="80"/>
      <c r="E617" s="80"/>
      <c r="F617" s="80"/>
      <c r="G617" s="182"/>
      <c r="H617" s="80" t="s">
        <v>325</v>
      </c>
      <c r="I617" s="80"/>
      <c r="J617" s="80"/>
      <c r="K617" s="80"/>
      <c r="L617" s="80"/>
      <c r="M617" s="80"/>
      <c r="O617" s="80"/>
      <c r="P617" s="80" t="s">
        <v>325</v>
      </c>
      <c r="Q617" s="80"/>
      <c r="V617" s="80" t="s">
        <v>261</v>
      </c>
      <c r="W617" s="80"/>
      <c r="X617" s="2166" t="s">
        <v>552</v>
      </c>
      <c r="Y617" s="625" t="s">
        <v>850</v>
      </c>
      <c r="Z617" s="644">
        <v>1</v>
      </c>
      <c r="AA617" s="595">
        <v>0</v>
      </c>
      <c r="AB617" s="595">
        <f t="shared" si="8"/>
        <v>8</v>
      </c>
      <c r="AC617" s="595">
        <v>8</v>
      </c>
      <c r="AD617" s="609"/>
      <c r="AE617" s="599" t="s">
        <v>554</v>
      </c>
      <c r="AF617" s="646"/>
      <c r="AG617" s="646"/>
      <c r="AH617" s="646"/>
      <c r="AI617" s="646"/>
      <c r="AJ617" s="646"/>
      <c r="AK617" s="59"/>
    </row>
    <row r="618" spans="1:37" ht="75.75" customHeight="1" outlineLevel="1">
      <c r="A618" s="80"/>
      <c r="B618" s="80"/>
      <c r="C618" s="80"/>
      <c r="D618" s="80"/>
      <c r="E618" s="80"/>
      <c r="F618" s="80"/>
      <c r="G618" s="182"/>
      <c r="H618" s="80" t="s">
        <v>325</v>
      </c>
      <c r="I618" s="80"/>
      <c r="J618" s="80"/>
      <c r="K618" s="80"/>
      <c r="L618" s="80"/>
      <c r="M618" s="80"/>
      <c r="O618" s="80"/>
      <c r="P618" s="80" t="s">
        <v>325</v>
      </c>
      <c r="Q618" s="80"/>
      <c r="V618" s="80" t="s">
        <v>261</v>
      </c>
      <c r="W618" s="80"/>
      <c r="X618" s="2167" t="s">
        <v>555</v>
      </c>
      <c r="Y618" s="625" t="s">
        <v>851</v>
      </c>
      <c r="Z618" s="644">
        <v>2</v>
      </c>
      <c r="AA618" s="595">
        <v>0</v>
      </c>
      <c r="AB618" s="595">
        <f t="shared" si="8"/>
        <v>16</v>
      </c>
      <c r="AC618" s="595">
        <v>8</v>
      </c>
      <c r="AD618" s="609"/>
      <c r="AE618" s="599" t="s">
        <v>557</v>
      </c>
      <c r="AF618" s="646"/>
      <c r="AG618" s="646"/>
      <c r="AH618" s="646"/>
      <c r="AI618" s="646"/>
      <c r="AJ618" s="646"/>
      <c r="AK618" s="59"/>
    </row>
    <row r="619" spans="1:37" ht="75.75" customHeight="1" outlineLevel="1">
      <c r="A619" s="80"/>
      <c r="B619" s="80"/>
      <c r="C619" s="80"/>
      <c r="D619" s="80"/>
      <c r="E619" s="80"/>
      <c r="F619" s="80"/>
      <c r="G619" s="182"/>
      <c r="H619" s="80" t="s">
        <v>325</v>
      </c>
      <c r="I619" s="80"/>
      <c r="J619" s="80"/>
      <c r="K619" s="80"/>
      <c r="L619" s="80"/>
      <c r="M619" s="80"/>
      <c r="O619" s="80"/>
      <c r="P619" s="80" t="s">
        <v>325</v>
      </c>
      <c r="Q619" s="80"/>
      <c r="V619" s="80" t="s">
        <v>261</v>
      </c>
      <c r="W619" s="80"/>
      <c r="X619" s="2168" t="s">
        <v>558</v>
      </c>
      <c r="Y619" s="625" t="s">
        <v>852</v>
      </c>
      <c r="Z619" s="644">
        <v>3</v>
      </c>
      <c r="AA619" s="595">
        <v>0</v>
      </c>
      <c r="AB619" s="595">
        <f t="shared" si="8"/>
        <v>24</v>
      </c>
      <c r="AC619" s="595">
        <v>8</v>
      </c>
      <c r="AD619" s="609"/>
      <c r="AE619" s="599" t="s">
        <v>560</v>
      </c>
      <c r="AF619" s="646"/>
      <c r="AG619" s="646"/>
      <c r="AH619" s="646"/>
      <c r="AI619" s="646"/>
      <c r="AJ619" s="646"/>
      <c r="AK619" s="59"/>
    </row>
    <row r="620" spans="1:37" ht="45.75" customHeight="1" outlineLevel="1">
      <c r="A620" s="80"/>
      <c r="B620" s="80"/>
      <c r="C620" s="80"/>
      <c r="D620" s="80"/>
      <c r="E620" s="80"/>
      <c r="F620" s="80"/>
      <c r="G620" s="182"/>
      <c r="H620" s="80" t="s">
        <v>325</v>
      </c>
      <c r="I620" s="80"/>
      <c r="J620" s="80"/>
      <c r="K620" s="80"/>
      <c r="L620" s="80"/>
      <c r="M620" s="80"/>
      <c r="O620" s="80"/>
      <c r="P620" s="80" t="s">
        <v>325</v>
      </c>
      <c r="Q620" s="80"/>
      <c r="V620" s="80" t="s">
        <v>261</v>
      </c>
      <c r="W620" s="80"/>
      <c r="X620" s="2169" t="s">
        <v>561</v>
      </c>
      <c r="Y620" s="625" t="s">
        <v>853</v>
      </c>
      <c r="Z620" s="644">
        <v>4</v>
      </c>
      <c r="AA620" s="595">
        <v>0</v>
      </c>
      <c r="AB620" s="595">
        <f t="shared" si="8"/>
        <v>32</v>
      </c>
      <c r="AC620" s="595">
        <v>8</v>
      </c>
      <c r="AD620" s="609"/>
      <c r="AE620" s="599" t="s">
        <v>563</v>
      </c>
      <c r="AF620" s="646"/>
      <c r="AG620" s="646"/>
      <c r="AH620" s="646"/>
      <c r="AI620" s="646"/>
      <c r="AJ620" s="646"/>
      <c r="AK620" s="59"/>
    </row>
    <row r="621" spans="1:37" ht="75.75" customHeight="1" outlineLevel="1">
      <c r="A621" s="80"/>
      <c r="B621" s="80"/>
      <c r="C621" s="80"/>
      <c r="D621" s="80"/>
      <c r="E621" s="80"/>
      <c r="F621" s="80"/>
      <c r="G621" s="182"/>
      <c r="H621" s="80" t="s">
        <v>325</v>
      </c>
      <c r="I621" s="80"/>
      <c r="J621" s="80"/>
      <c r="K621" s="80"/>
      <c r="L621" s="80"/>
      <c r="M621" s="80"/>
      <c r="O621" s="80"/>
      <c r="P621" s="80" t="s">
        <v>325</v>
      </c>
      <c r="Q621" s="80"/>
      <c r="V621" s="80" t="s">
        <v>261</v>
      </c>
      <c r="W621" s="80"/>
      <c r="X621" s="2170" t="s">
        <v>564</v>
      </c>
      <c r="Y621" s="625" t="s">
        <v>854</v>
      </c>
      <c r="Z621" s="644">
        <v>5</v>
      </c>
      <c r="AA621" s="595">
        <v>0</v>
      </c>
      <c r="AB621" s="595">
        <f t="shared" si="8"/>
        <v>40</v>
      </c>
      <c r="AC621" s="595">
        <v>8</v>
      </c>
      <c r="AD621" s="609"/>
      <c r="AE621" s="599" t="s">
        <v>566</v>
      </c>
      <c r="AF621" s="646"/>
      <c r="AG621" s="646"/>
      <c r="AH621" s="646"/>
      <c r="AI621" s="646"/>
      <c r="AJ621" s="646"/>
      <c r="AK621" s="59"/>
    </row>
    <row r="622" spans="1:37" ht="75.75" customHeight="1" outlineLevel="1">
      <c r="A622" s="80"/>
      <c r="B622" s="80"/>
      <c r="C622" s="80"/>
      <c r="D622" s="80"/>
      <c r="E622" s="80"/>
      <c r="F622" s="80"/>
      <c r="G622" s="182"/>
      <c r="H622" s="80" t="s">
        <v>325</v>
      </c>
      <c r="I622" s="80"/>
      <c r="J622" s="80"/>
      <c r="K622" s="80"/>
      <c r="L622" s="80"/>
      <c r="M622" s="80"/>
      <c r="O622" s="80"/>
      <c r="P622" s="80" t="s">
        <v>325</v>
      </c>
      <c r="Q622" s="80"/>
      <c r="V622" s="80" t="s">
        <v>261</v>
      </c>
      <c r="W622" s="80"/>
      <c r="X622" s="2171" t="s">
        <v>567</v>
      </c>
      <c r="Y622" s="625" t="s">
        <v>855</v>
      </c>
      <c r="Z622" s="644">
        <v>6</v>
      </c>
      <c r="AA622" s="595">
        <v>0</v>
      </c>
      <c r="AB622" s="595">
        <f t="shared" si="8"/>
        <v>48</v>
      </c>
      <c r="AC622" s="595">
        <v>8</v>
      </c>
      <c r="AD622" s="609"/>
      <c r="AE622" s="599" t="s">
        <v>569</v>
      </c>
      <c r="AF622" s="646"/>
      <c r="AG622" s="646"/>
      <c r="AH622" s="646"/>
      <c r="AI622" s="646"/>
      <c r="AJ622" s="646"/>
      <c r="AK622" s="59"/>
    </row>
    <row r="623" spans="1:37" ht="14.25" customHeight="1">
      <c r="A623" s="80"/>
      <c r="B623" s="80"/>
      <c r="C623" s="80"/>
      <c r="D623" s="80"/>
      <c r="E623" s="80"/>
      <c r="F623" s="80"/>
      <c r="G623" s="182"/>
      <c r="H623" s="80" t="s">
        <v>325</v>
      </c>
      <c r="I623" s="80"/>
      <c r="J623" s="80"/>
      <c r="K623" s="80"/>
      <c r="L623" s="80"/>
      <c r="M623" s="80"/>
      <c r="O623" s="80"/>
      <c r="P623" s="80" t="s">
        <v>325</v>
      </c>
      <c r="Q623" s="80"/>
      <c r="V623" s="80" t="s">
        <v>261</v>
      </c>
      <c r="W623" s="80"/>
      <c r="X623" s="2172" t="s">
        <v>570</v>
      </c>
      <c r="Y623" s="625" t="s">
        <v>856</v>
      </c>
      <c r="Z623" s="644">
        <v>7</v>
      </c>
      <c r="AA623" s="595">
        <v>0</v>
      </c>
      <c r="AB623" s="595">
        <f t="shared" si="8"/>
        <v>56</v>
      </c>
      <c r="AC623" s="595">
        <v>8</v>
      </c>
      <c r="AD623" s="609"/>
      <c r="AE623" s="599" t="s">
        <v>572</v>
      </c>
      <c r="AF623" s="646"/>
      <c r="AG623" s="646"/>
      <c r="AH623" s="646"/>
      <c r="AI623" s="646"/>
      <c r="AJ623" s="646"/>
      <c r="AK623" s="59"/>
    </row>
    <row r="624" spans="1:37" ht="18" customHeight="1" outlineLevel="1">
      <c r="A624" s="622">
        <v>106</v>
      </c>
      <c r="B624" s="622" t="s">
        <v>1483</v>
      </c>
      <c r="C624" s="622" t="s">
        <v>1493</v>
      </c>
      <c r="D624" s="622" t="s">
        <v>844</v>
      </c>
      <c r="E624" s="622">
        <v>8</v>
      </c>
      <c r="F624" s="622" t="s">
        <v>260</v>
      </c>
      <c r="G624" s="623"/>
      <c r="H624" s="622" t="s">
        <v>325</v>
      </c>
      <c r="I624" s="622"/>
      <c r="J624" s="622"/>
      <c r="K624" s="622"/>
      <c r="L624" s="622"/>
      <c r="M624" s="622"/>
      <c r="N624" s="622" t="s">
        <v>261</v>
      </c>
      <c r="O624" s="622"/>
      <c r="P624" s="622" t="s">
        <v>325</v>
      </c>
      <c r="Q624" s="622"/>
      <c r="R624" s="622"/>
      <c r="S624" s="622"/>
      <c r="T624" s="622"/>
      <c r="U624" s="622"/>
      <c r="V624" s="597"/>
      <c r="W624" s="597"/>
      <c r="X624" s="597" t="s">
        <v>1494</v>
      </c>
      <c r="Y624" s="597"/>
      <c r="Z624" s="622"/>
      <c r="AA624" s="622"/>
      <c r="AB624" s="595">
        <f t="shared" si="8"/>
        <v>0</v>
      </c>
      <c r="AC624" s="622"/>
      <c r="AD624" s="622"/>
      <c r="AE624" s="608"/>
      <c r="AF624" s="622"/>
      <c r="AG624" s="622"/>
      <c r="AH624" s="622"/>
      <c r="AI624" s="622"/>
      <c r="AJ624" s="622"/>
      <c r="AK624" s="125"/>
    </row>
    <row r="625" spans="1:37" ht="45.75" customHeight="1" outlineLevel="1">
      <c r="A625" s="80"/>
      <c r="B625" s="80"/>
      <c r="C625" s="80"/>
      <c r="D625" s="80"/>
      <c r="E625" s="80"/>
      <c r="F625" s="80"/>
      <c r="G625" s="182"/>
      <c r="H625" s="80" t="s">
        <v>325</v>
      </c>
      <c r="I625" s="80"/>
      <c r="J625" s="80"/>
      <c r="K625" s="80"/>
      <c r="L625" s="80"/>
      <c r="M625" s="80"/>
      <c r="N625" s="80" t="s">
        <v>261</v>
      </c>
      <c r="O625" s="80"/>
      <c r="P625" s="80" t="s">
        <v>325</v>
      </c>
      <c r="Q625" s="80"/>
      <c r="R625" s="80"/>
      <c r="S625" s="80"/>
      <c r="T625" s="80"/>
      <c r="V625" s="80"/>
      <c r="W625" s="80"/>
      <c r="X625" s="2173" t="s">
        <v>576</v>
      </c>
      <c r="Y625" s="123" t="s">
        <v>1495</v>
      </c>
      <c r="Z625" s="120">
        <v>0</v>
      </c>
      <c r="AA625" s="71">
        <v>0</v>
      </c>
      <c r="AB625" s="595">
        <f t="shared" si="8"/>
        <v>0</v>
      </c>
      <c r="AC625" s="71">
        <v>8</v>
      </c>
      <c r="AD625" s="71"/>
      <c r="AE625" s="70" t="s">
        <v>578</v>
      </c>
      <c r="AF625" s="70"/>
      <c r="AG625" s="70"/>
      <c r="AH625" s="70"/>
      <c r="AI625" s="70"/>
      <c r="AJ625" s="71"/>
      <c r="AK625" s="80"/>
    </row>
    <row r="626" spans="1:37" ht="75.75" customHeight="1" outlineLevel="1">
      <c r="A626" s="80"/>
      <c r="B626" s="80"/>
      <c r="C626" s="80"/>
      <c r="D626" s="80"/>
      <c r="E626" s="80"/>
      <c r="F626" s="80"/>
      <c r="G626" s="182"/>
      <c r="H626" s="80" t="s">
        <v>325</v>
      </c>
      <c r="I626" s="80"/>
      <c r="J626" s="80"/>
      <c r="K626" s="80"/>
      <c r="L626" s="80"/>
      <c r="M626" s="80"/>
      <c r="N626" s="80" t="s">
        <v>261</v>
      </c>
      <c r="O626" s="80"/>
      <c r="P626" s="80" t="s">
        <v>325</v>
      </c>
      <c r="Q626" s="80"/>
      <c r="R626" s="80"/>
      <c r="S626" s="80"/>
      <c r="T626" s="80"/>
      <c r="V626" s="80"/>
      <c r="W626" s="80"/>
      <c r="X626" s="2174" t="s">
        <v>579</v>
      </c>
      <c r="Y626" s="123" t="s">
        <v>1496</v>
      </c>
      <c r="Z626" s="644">
        <v>1</v>
      </c>
      <c r="AA626" s="595">
        <v>0</v>
      </c>
      <c r="AB626" s="595">
        <f t="shared" si="8"/>
        <v>8</v>
      </c>
      <c r="AC626" s="595">
        <v>8</v>
      </c>
      <c r="AD626" s="595"/>
      <c r="AE626" s="599" t="s">
        <v>554</v>
      </c>
      <c r="AF626" s="599"/>
      <c r="AG626" s="599"/>
      <c r="AH626" s="599"/>
      <c r="AI626" s="599"/>
      <c r="AJ626" s="595"/>
      <c r="AK626" s="80"/>
    </row>
    <row r="627" spans="1:37" ht="75.75" customHeight="1" outlineLevel="1">
      <c r="A627" s="80"/>
      <c r="B627" s="80"/>
      <c r="C627" s="80"/>
      <c r="D627" s="80"/>
      <c r="E627" s="80"/>
      <c r="F627" s="80"/>
      <c r="G627" s="182"/>
      <c r="H627" s="80" t="s">
        <v>325</v>
      </c>
      <c r="I627" s="80"/>
      <c r="J627" s="80"/>
      <c r="K627" s="80"/>
      <c r="L627" s="80"/>
      <c r="M627" s="80"/>
      <c r="N627" s="80" t="s">
        <v>261</v>
      </c>
      <c r="O627" s="80"/>
      <c r="P627" s="80" t="s">
        <v>325</v>
      </c>
      <c r="Q627" s="80"/>
      <c r="R627" s="80"/>
      <c r="S627" s="80"/>
      <c r="T627" s="80"/>
      <c r="V627" s="80"/>
      <c r="W627" s="80"/>
      <c r="X627" s="2175" t="s">
        <v>581</v>
      </c>
      <c r="Y627" s="123" t="s">
        <v>1497</v>
      </c>
      <c r="Z627" s="644">
        <v>2</v>
      </c>
      <c r="AA627" s="595">
        <v>0</v>
      </c>
      <c r="AB627" s="595">
        <f t="shared" si="8"/>
        <v>16</v>
      </c>
      <c r="AC627" s="595">
        <v>8</v>
      </c>
      <c r="AD627" s="595"/>
      <c r="AE627" s="599" t="s">
        <v>557</v>
      </c>
      <c r="AF627" s="599"/>
      <c r="AG627" s="599"/>
      <c r="AH627" s="599"/>
      <c r="AI627" s="599"/>
      <c r="AJ627" s="595"/>
      <c r="AK627" s="80"/>
    </row>
    <row r="628" spans="1:37" ht="14.25" customHeight="1">
      <c r="A628" s="80"/>
      <c r="B628" s="80"/>
      <c r="C628" s="80"/>
      <c r="D628" s="80"/>
      <c r="E628" s="80"/>
      <c r="F628" s="80"/>
      <c r="G628" s="182"/>
      <c r="H628" s="80" t="s">
        <v>325</v>
      </c>
      <c r="I628" s="80"/>
      <c r="J628" s="80"/>
      <c r="K628" s="80"/>
      <c r="L628" s="80"/>
      <c r="M628" s="80"/>
      <c r="N628" s="80" t="s">
        <v>261</v>
      </c>
      <c r="O628" s="80"/>
      <c r="P628" s="80" t="s">
        <v>325</v>
      </c>
      <c r="Q628" s="80"/>
      <c r="R628" s="80"/>
      <c r="S628" s="80"/>
      <c r="T628" s="80"/>
      <c r="V628" s="80"/>
      <c r="W628" s="80"/>
      <c r="X628" s="2176" t="s">
        <v>583</v>
      </c>
      <c r="Y628" s="123" t="s">
        <v>1498</v>
      </c>
      <c r="Z628" s="644">
        <v>3</v>
      </c>
      <c r="AA628" s="595">
        <v>0</v>
      </c>
      <c r="AB628" s="595">
        <f t="shared" si="8"/>
        <v>24</v>
      </c>
      <c r="AC628" s="595">
        <v>8</v>
      </c>
      <c r="AD628" s="595"/>
      <c r="AE628" s="599" t="s">
        <v>560</v>
      </c>
      <c r="AF628" s="599"/>
      <c r="AG628" s="599"/>
      <c r="AH628" s="599"/>
      <c r="AI628" s="599"/>
      <c r="AJ628" s="595"/>
      <c r="AK628" s="80"/>
    </row>
    <row r="629" spans="1:37" ht="18" customHeight="1" outlineLevel="1">
      <c r="A629" s="622">
        <v>107</v>
      </c>
      <c r="B629" s="622" t="s">
        <v>1483</v>
      </c>
      <c r="C629" s="622" t="s">
        <v>1499</v>
      </c>
      <c r="D629" s="622" t="s">
        <v>617</v>
      </c>
      <c r="E629" s="622">
        <v>8</v>
      </c>
      <c r="F629" s="622" t="s">
        <v>260</v>
      </c>
      <c r="G629" s="623"/>
      <c r="H629" s="622"/>
      <c r="I629" s="622"/>
      <c r="J629" s="622"/>
      <c r="K629" s="622"/>
      <c r="L629" s="622"/>
      <c r="M629" s="622"/>
      <c r="N629" s="622"/>
      <c r="O629" s="622"/>
      <c r="P629" s="622" t="s">
        <v>325</v>
      </c>
      <c r="Q629" s="622"/>
      <c r="R629" s="622"/>
      <c r="S629" s="622"/>
      <c r="T629" s="622"/>
      <c r="U629" s="622"/>
      <c r="V629" s="622" t="s">
        <v>261</v>
      </c>
      <c r="W629" s="622"/>
      <c r="X629" s="597" t="s">
        <v>974</v>
      </c>
      <c r="Y629" s="597"/>
      <c r="Z629" s="622"/>
      <c r="AA629" s="622"/>
      <c r="AB629" s="595">
        <f t="shared" si="8"/>
        <v>0</v>
      </c>
      <c r="AC629" s="622"/>
      <c r="AD629" s="622"/>
      <c r="AE629" s="608"/>
      <c r="AF629" s="622"/>
      <c r="AG629" s="622"/>
      <c r="AH629" s="622"/>
      <c r="AI629" s="622"/>
      <c r="AJ629" s="622"/>
      <c r="AK629" s="125"/>
    </row>
    <row r="630" spans="1:37" ht="14.25" customHeight="1">
      <c r="N630" s="80"/>
      <c r="O630" s="80"/>
      <c r="P630" s="80" t="s">
        <v>325</v>
      </c>
      <c r="V630" s="80" t="s">
        <v>261</v>
      </c>
      <c r="W630" s="80"/>
      <c r="X630" s="92" t="s">
        <v>619</v>
      </c>
      <c r="Y630" s="161"/>
      <c r="Z630" s="143"/>
      <c r="AA630" s="133"/>
      <c r="AB630" s="595">
        <f t="shared" si="8"/>
        <v>0</v>
      </c>
      <c r="AC630" s="133"/>
      <c r="AD630" s="133"/>
      <c r="AE630" s="133"/>
      <c r="AF630" s="133"/>
      <c r="AG630" s="133"/>
      <c r="AH630" s="133"/>
      <c r="AI630" s="133"/>
      <c r="AJ630" s="133"/>
    </row>
    <row r="631" spans="1:37" ht="18" customHeight="1" outlineLevel="1">
      <c r="A631" s="622">
        <v>108</v>
      </c>
      <c r="B631" s="622" t="s">
        <v>1500</v>
      </c>
      <c r="C631" s="622" t="s">
        <v>1501</v>
      </c>
      <c r="D631" s="622" t="s">
        <v>617</v>
      </c>
      <c r="E631" s="622">
        <v>8</v>
      </c>
      <c r="F631" s="622" t="s">
        <v>260</v>
      </c>
      <c r="G631" s="623"/>
      <c r="H631" s="622"/>
      <c r="I631" s="622"/>
      <c r="J631" s="622"/>
      <c r="K631" s="622"/>
      <c r="L631" s="622"/>
      <c r="M631" s="622"/>
      <c r="N631" s="622"/>
      <c r="O631" s="622"/>
      <c r="P631" s="622" t="s">
        <v>261</v>
      </c>
      <c r="Q631" s="622"/>
      <c r="R631" s="622"/>
      <c r="S631" s="622"/>
      <c r="T631" s="622"/>
      <c r="U631" s="622"/>
      <c r="V631" s="622" t="s">
        <v>325</v>
      </c>
      <c r="W631" s="622"/>
      <c r="X631" s="597" t="s">
        <v>976</v>
      </c>
      <c r="Y631" s="597"/>
      <c r="Z631" s="622"/>
      <c r="AA631" s="622"/>
      <c r="AB631" s="595">
        <f t="shared" si="8"/>
        <v>0</v>
      </c>
      <c r="AC631" s="622"/>
      <c r="AD631" s="622"/>
      <c r="AE631" s="608"/>
      <c r="AF631" s="622"/>
      <c r="AG631" s="622"/>
      <c r="AH631" s="622"/>
      <c r="AI631" s="622"/>
      <c r="AJ631" s="622"/>
      <c r="AK631" s="125"/>
    </row>
    <row r="632" spans="1:37" ht="14.25" customHeight="1">
      <c r="N632" s="80"/>
      <c r="O632" s="80"/>
      <c r="P632" s="80" t="s">
        <v>261</v>
      </c>
      <c r="V632" s="80" t="s">
        <v>325</v>
      </c>
      <c r="W632" s="80"/>
      <c r="X632" s="92" t="s">
        <v>619</v>
      </c>
      <c r="Y632" s="161"/>
      <c r="Z632" s="143"/>
      <c r="AA632" s="133"/>
      <c r="AB632" s="595">
        <f t="shared" si="8"/>
        <v>0</v>
      </c>
      <c r="AC632" s="133"/>
      <c r="AD632" s="133"/>
      <c r="AE632" s="133"/>
      <c r="AF632" s="133"/>
      <c r="AG632" s="133"/>
      <c r="AH632" s="133"/>
      <c r="AI632" s="133"/>
      <c r="AJ632" s="133"/>
    </row>
    <row r="633" spans="1:37" ht="35.25" customHeight="1" outlineLevel="1">
      <c r="A633" s="622">
        <v>102</v>
      </c>
      <c r="B633" s="622" t="s">
        <v>1502</v>
      </c>
      <c r="C633" s="622" t="s">
        <v>1503</v>
      </c>
      <c r="D633" s="622" t="s">
        <v>259</v>
      </c>
      <c r="E633" s="622">
        <v>8</v>
      </c>
      <c r="F633" s="622" t="s">
        <v>260</v>
      </c>
      <c r="G633" s="623" t="s">
        <v>325</v>
      </c>
      <c r="H633" s="622"/>
      <c r="I633" s="622"/>
      <c r="J633" s="622"/>
      <c r="K633" s="622"/>
      <c r="L633" s="622"/>
      <c r="M633" s="622"/>
      <c r="N633" s="622" t="s">
        <v>261</v>
      </c>
      <c r="O633" s="622"/>
      <c r="P633" s="622"/>
      <c r="Q633" s="622"/>
      <c r="R633" s="622"/>
      <c r="S633" s="622"/>
      <c r="T633" s="622"/>
      <c r="U633" s="622"/>
      <c r="V633" s="597"/>
      <c r="W633" s="597"/>
      <c r="X633" s="597" t="s">
        <v>1504</v>
      </c>
      <c r="Y633" s="597"/>
      <c r="Z633" s="622"/>
      <c r="AA633" s="622"/>
      <c r="AB633" s="595">
        <f t="shared" si="8"/>
        <v>0</v>
      </c>
      <c r="AC633" s="622"/>
      <c r="AD633" s="622"/>
      <c r="AE633" s="608"/>
      <c r="AF633" s="622"/>
      <c r="AG633" s="622"/>
      <c r="AH633" s="622"/>
      <c r="AI633" s="622"/>
      <c r="AJ633" s="622"/>
      <c r="AK633" s="125"/>
    </row>
    <row r="634" spans="1:37" ht="30.75" customHeight="1" outlineLevel="1">
      <c r="A634" s="80"/>
      <c r="B634" s="80"/>
      <c r="C634" s="80"/>
      <c r="D634" s="80"/>
      <c r="E634" s="80"/>
      <c r="F634" s="80"/>
      <c r="G634" s="182" t="s">
        <v>325</v>
      </c>
      <c r="H634" s="80"/>
      <c r="I634" s="80"/>
      <c r="J634" s="80"/>
      <c r="K634" s="80"/>
      <c r="L634" s="80"/>
      <c r="M634" s="80"/>
      <c r="N634" s="80" t="s">
        <v>261</v>
      </c>
      <c r="O634" s="80"/>
      <c r="P634" s="80"/>
      <c r="Q634" s="80"/>
      <c r="R634" s="80"/>
      <c r="S634" s="80"/>
      <c r="T634" s="80"/>
      <c r="V634" s="117"/>
      <c r="W634" s="117"/>
      <c r="X634" s="2177" t="s">
        <v>1505</v>
      </c>
      <c r="Y634" s="594" t="s">
        <v>1506</v>
      </c>
      <c r="Z634" s="123">
        <v>0</v>
      </c>
      <c r="AA634" s="71">
        <v>0</v>
      </c>
      <c r="AB634" s="595">
        <f t="shared" si="8"/>
        <v>0</v>
      </c>
      <c r="AC634" s="71">
        <v>16</v>
      </c>
      <c r="AD634" s="71" t="s">
        <v>328</v>
      </c>
      <c r="AE634" s="70" t="s">
        <v>1507</v>
      </c>
      <c r="AF634" s="71">
        <v>1</v>
      </c>
      <c r="AG634" s="71">
        <v>0</v>
      </c>
      <c r="AH634" s="71"/>
      <c r="AI634" s="71">
        <v>0</v>
      </c>
      <c r="AJ634" s="71" t="s">
        <v>330</v>
      </c>
      <c r="AK634" s="80"/>
    </row>
    <row r="635" spans="1:37" ht="30.75" customHeight="1" outlineLevel="1">
      <c r="A635" s="80"/>
      <c r="B635" s="80"/>
      <c r="C635" s="80"/>
      <c r="D635" s="80"/>
      <c r="E635" s="80"/>
      <c r="F635" s="80"/>
      <c r="G635" s="182" t="s">
        <v>325</v>
      </c>
      <c r="H635" s="80"/>
      <c r="I635" s="80"/>
      <c r="J635" s="80"/>
      <c r="K635" s="80"/>
      <c r="L635" s="80"/>
      <c r="M635" s="80"/>
      <c r="N635" s="80" t="s">
        <v>261</v>
      </c>
      <c r="O635" s="80"/>
      <c r="P635" s="80"/>
      <c r="Q635" s="80"/>
      <c r="R635" s="80"/>
      <c r="S635" s="80"/>
      <c r="T635" s="80"/>
      <c r="V635" s="117"/>
      <c r="W635" s="117"/>
      <c r="X635" s="2178" t="s">
        <v>1508</v>
      </c>
      <c r="Y635" s="594" t="s">
        <v>1509</v>
      </c>
      <c r="Z635" s="625">
        <v>2</v>
      </c>
      <c r="AA635" s="595">
        <v>0</v>
      </c>
      <c r="AB635" s="595">
        <f t="shared" si="8"/>
        <v>16</v>
      </c>
      <c r="AC635" s="595">
        <v>8</v>
      </c>
      <c r="AD635" s="595" t="s">
        <v>335</v>
      </c>
      <c r="AE635" s="599"/>
      <c r="AF635" s="595">
        <v>1</v>
      </c>
      <c r="AG635" s="595" t="s">
        <v>1510</v>
      </c>
      <c r="AH635" s="595"/>
      <c r="AI635" s="595">
        <v>0</v>
      </c>
      <c r="AJ635" s="595" t="s">
        <v>508</v>
      </c>
      <c r="AK635" s="80"/>
    </row>
    <row r="636" spans="1:37" ht="45.75" customHeight="1" outlineLevel="1">
      <c r="A636" s="80"/>
      <c r="B636" s="80"/>
      <c r="C636" s="80"/>
      <c r="D636" s="80"/>
      <c r="E636" s="80"/>
      <c r="F636" s="80"/>
      <c r="G636" s="182" t="s">
        <v>325</v>
      </c>
      <c r="H636" s="80"/>
      <c r="I636" s="80"/>
      <c r="J636" s="80"/>
      <c r="K636" s="80"/>
      <c r="L636" s="80"/>
      <c r="M636" s="80"/>
      <c r="N636" s="80" t="s">
        <v>261</v>
      </c>
      <c r="O636" s="80"/>
      <c r="P636" s="80"/>
      <c r="Q636" s="80"/>
      <c r="R636" s="80"/>
      <c r="S636" s="80"/>
      <c r="T636" s="80"/>
      <c r="V636" s="117"/>
      <c r="W636" s="117"/>
      <c r="X636" s="2179" t="s">
        <v>1511</v>
      </c>
      <c r="Y636" s="594" t="s">
        <v>1512</v>
      </c>
      <c r="Z636" s="625">
        <v>3</v>
      </c>
      <c r="AA636" s="595">
        <v>0</v>
      </c>
      <c r="AB636" s="595">
        <f t="shared" si="8"/>
        <v>24</v>
      </c>
      <c r="AC636" s="595">
        <v>8</v>
      </c>
      <c r="AD636" s="595" t="s">
        <v>335</v>
      </c>
      <c r="AE636" s="599"/>
      <c r="AF636" s="595">
        <v>1</v>
      </c>
      <c r="AG636" s="595" t="s">
        <v>1510</v>
      </c>
      <c r="AH636" s="595"/>
      <c r="AI636" s="595">
        <v>0</v>
      </c>
      <c r="AJ636" s="595" t="s">
        <v>508</v>
      </c>
      <c r="AK636" s="80"/>
    </row>
    <row r="637" spans="1:37" ht="30.75" customHeight="1" outlineLevel="1">
      <c r="A637" s="80"/>
      <c r="B637" s="80"/>
      <c r="C637" s="80"/>
      <c r="D637" s="80"/>
      <c r="E637" s="80"/>
      <c r="F637" s="80"/>
      <c r="G637" s="182" t="s">
        <v>325</v>
      </c>
      <c r="H637" s="80"/>
      <c r="I637" s="80"/>
      <c r="J637" s="80"/>
      <c r="K637" s="80"/>
      <c r="L637" s="80"/>
      <c r="M637" s="80"/>
      <c r="N637" s="80" t="s">
        <v>261</v>
      </c>
      <c r="O637" s="80"/>
      <c r="P637" s="80"/>
      <c r="Q637" s="80"/>
      <c r="R637" s="80"/>
      <c r="S637" s="80"/>
      <c r="T637" s="80"/>
      <c r="V637" s="117"/>
      <c r="W637" s="117"/>
      <c r="X637" s="2180" t="s">
        <v>1513</v>
      </c>
      <c r="Y637" s="594" t="s">
        <v>1514</v>
      </c>
      <c r="Z637" s="625">
        <v>4</v>
      </c>
      <c r="AA637" s="595">
        <v>0</v>
      </c>
      <c r="AB637" s="595">
        <f t="shared" si="8"/>
        <v>32</v>
      </c>
      <c r="AC637" s="595">
        <v>8</v>
      </c>
      <c r="AD637" s="595" t="s">
        <v>328</v>
      </c>
      <c r="AE637" s="599"/>
      <c r="AF637" s="595">
        <v>1</v>
      </c>
      <c r="AG637" s="595">
        <v>0</v>
      </c>
      <c r="AH637" s="713" t="s">
        <v>1515</v>
      </c>
      <c r="AI637" s="595">
        <v>0</v>
      </c>
      <c r="AJ637" s="595" t="s">
        <v>98</v>
      </c>
      <c r="AK637" s="80"/>
    </row>
    <row r="638" spans="1:37" ht="45.75" customHeight="1" outlineLevel="1">
      <c r="A638" s="80"/>
      <c r="B638" s="80"/>
      <c r="C638" s="80"/>
      <c r="D638" s="80"/>
      <c r="E638" s="80"/>
      <c r="F638" s="80"/>
      <c r="G638" s="182" t="s">
        <v>325</v>
      </c>
      <c r="H638" s="80"/>
      <c r="I638" s="80"/>
      <c r="J638" s="80"/>
      <c r="K638" s="80"/>
      <c r="L638" s="80"/>
      <c r="M638" s="80"/>
      <c r="N638" s="80" t="s">
        <v>261</v>
      </c>
      <c r="O638" s="80"/>
      <c r="P638" s="80"/>
      <c r="Q638" s="80"/>
      <c r="R638" s="80"/>
      <c r="S638" s="80"/>
      <c r="T638" s="80"/>
      <c r="V638" s="117"/>
      <c r="W638" s="117"/>
      <c r="X638" s="2181" t="s">
        <v>1516</v>
      </c>
      <c r="Y638" s="594" t="s">
        <v>1517</v>
      </c>
      <c r="Z638" s="625">
        <v>5</v>
      </c>
      <c r="AA638" s="595">
        <v>0</v>
      </c>
      <c r="AB638" s="595">
        <f t="shared" si="8"/>
        <v>40</v>
      </c>
      <c r="AC638" s="595">
        <v>8</v>
      </c>
      <c r="AD638" s="595" t="s">
        <v>335</v>
      </c>
      <c r="AE638" s="599"/>
      <c r="AF638" s="595">
        <v>0.1</v>
      </c>
      <c r="AG638" s="595">
        <v>0</v>
      </c>
      <c r="AH638" s="713" t="s">
        <v>1518</v>
      </c>
      <c r="AI638" s="595">
        <v>0</v>
      </c>
      <c r="AJ638" s="595" t="s">
        <v>98</v>
      </c>
      <c r="AK638" s="80"/>
    </row>
    <row r="639" spans="1:37" ht="30.75" customHeight="1" outlineLevel="1">
      <c r="A639" s="80"/>
      <c r="B639" s="80"/>
      <c r="C639" s="80"/>
      <c r="D639" s="80"/>
      <c r="E639" s="80"/>
      <c r="F639" s="80"/>
      <c r="G639" s="182" t="s">
        <v>325</v>
      </c>
      <c r="H639" s="80"/>
      <c r="I639" s="80"/>
      <c r="J639" s="80"/>
      <c r="K639" s="80"/>
      <c r="L639" s="80"/>
      <c r="M639" s="80"/>
      <c r="N639" s="80" t="s">
        <v>261</v>
      </c>
      <c r="O639" s="80"/>
      <c r="P639" s="80"/>
      <c r="Q639" s="80"/>
      <c r="R639" s="80"/>
      <c r="S639" s="80"/>
      <c r="T639" s="80"/>
      <c r="V639" s="117"/>
      <c r="W639" s="117"/>
      <c r="X639" s="2182" t="s">
        <v>1519</v>
      </c>
      <c r="Y639" s="594" t="s">
        <v>1520</v>
      </c>
      <c r="Z639" s="625">
        <v>6</v>
      </c>
      <c r="AA639" s="595">
        <v>0</v>
      </c>
      <c r="AB639" s="595">
        <f t="shared" si="8"/>
        <v>48</v>
      </c>
      <c r="AC639" s="595">
        <v>8</v>
      </c>
      <c r="AD639" s="595" t="s">
        <v>335</v>
      </c>
      <c r="AE639" s="599"/>
      <c r="AF639" s="595">
        <v>2</v>
      </c>
      <c r="AG639" s="595">
        <v>0</v>
      </c>
      <c r="AH639" s="595" t="s">
        <v>1521</v>
      </c>
      <c r="AI639" s="595">
        <v>0</v>
      </c>
      <c r="AJ639" s="595" t="s">
        <v>1007</v>
      </c>
      <c r="AK639" s="80"/>
    </row>
    <row r="640" spans="1:37" ht="60.75" customHeight="1" outlineLevel="1">
      <c r="A640" s="80" t="s">
        <v>1522</v>
      </c>
      <c r="B640" s="80"/>
      <c r="C640" s="80"/>
      <c r="D640" s="80"/>
      <c r="E640" s="80"/>
      <c r="F640" s="80"/>
      <c r="G640" s="182" t="s">
        <v>325</v>
      </c>
      <c r="H640" s="80"/>
      <c r="I640" s="80"/>
      <c r="J640" s="80"/>
      <c r="K640" s="80"/>
      <c r="L640" s="80"/>
      <c r="M640" s="80"/>
      <c r="N640" s="80" t="s">
        <v>261</v>
      </c>
      <c r="O640" s="80"/>
      <c r="P640" s="80"/>
      <c r="Q640" s="80"/>
      <c r="R640" s="80"/>
      <c r="S640" s="80"/>
      <c r="T640" s="80"/>
      <c r="V640" s="117"/>
      <c r="W640" s="117"/>
      <c r="X640" s="2183" t="s">
        <v>1523</v>
      </c>
      <c r="Y640" s="594" t="s">
        <v>1524</v>
      </c>
      <c r="Z640" s="625">
        <v>7</v>
      </c>
      <c r="AA640" s="595">
        <v>2</v>
      </c>
      <c r="AB640" s="595">
        <f t="shared" si="8"/>
        <v>58</v>
      </c>
      <c r="AC640" s="595">
        <v>2</v>
      </c>
      <c r="AD640" s="595"/>
      <c r="AE640" s="2184" t="s">
        <v>1525</v>
      </c>
      <c r="AF640" s="595"/>
      <c r="AG640" s="595"/>
      <c r="AH640" s="595"/>
      <c r="AI640" s="595"/>
      <c r="AJ640" s="595"/>
      <c r="AK640" s="80"/>
    </row>
    <row r="641" spans="1:38" ht="30.75" customHeight="1">
      <c r="A641" s="80"/>
      <c r="B641" s="80"/>
      <c r="C641" s="80"/>
      <c r="D641" s="80"/>
      <c r="E641" s="80"/>
      <c r="F641" s="80"/>
      <c r="G641" s="182" t="s">
        <v>325</v>
      </c>
      <c r="H641" s="80"/>
      <c r="I641" s="80"/>
      <c r="J641" s="80"/>
      <c r="K641" s="80"/>
      <c r="L641" s="80"/>
      <c r="M641" s="80"/>
      <c r="N641" s="80" t="s">
        <v>261</v>
      </c>
      <c r="O641" s="80"/>
      <c r="P641" s="80"/>
      <c r="Q641" s="80"/>
      <c r="R641" s="80"/>
      <c r="S641" s="80"/>
      <c r="T641" s="80"/>
      <c r="V641" s="117"/>
      <c r="W641" s="117"/>
      <c r="X641" s="2185" t="s">
        <v>1526</v>
      </c>
      <c r="Y641" s="594" t="s">
        <v>1527</v>
      </c>
      <c r="Z641" s="625">
        <v>7</v>
      </c>
      <c r="AA641" s="595">
        <v>4</v>
      </c>
      <c r="AB641" s="595">
        <f t="shared" ref="AB641:AB672" si="9">Z641*8+AA641</f>
        <v>60</v>
      </c>
      <c r="AC641" s="595">
        <v>1</v>
      </c>
      <c r="AD641" s="595"/>
      <c r="AE641" s="2186" t="s">
        <v>1528</v>
      </c>
      <c r="AF641" s="595"/>
      <c r="AG641" s="595"/>
      <c r="AH641" s="595"/>
      <c r="AI641" s="595"/>
      <c r="AJ641" s="595"/>
      <c r="AK641" s="80"/>
    </row>
    <row r="642" spans="1:38" ht="35.25" customHeight="1" outlineLevel="1">
      <c r="A642" s="622">
        <v>103</v>
      </c>
      <c r="B642" s="622" t="s">
        <v>1502</v>
      </c>
      <c r="C642" s="622" t="s">
        <v>1529</v>
      </c>
      <c r="D642" s="622" t="s">
        <v>259</v>
      </c>
      <c r="E642" s="622">
        <v>8</v>
      </c>
      <c r="F642" s="622" t="s">
        <v>260</v>
      </c>
      <c r="G642" s="623" t="s">
        <v>325</v>
      </c>
      <c r="H642" s="622"/>
      <c r="I642" s="622"/>
      <c r="J642" s="622"/>
      <c r="K642" s="622"/>
      <c r="L642" s="622"/>
      <c r="M642" s="622"/>
      <c r="N642" s="622" t="s">
        <v>261</v>
      </c>
      <c r="O642" s="622"/>
      <c r="P642" s="622"/>
      <c r="Q642" s="622"/>
      <c r="R642" s="622"/>
      <c r="S642" s="622"/>
      <c r="T642" s="622"/>
      <c r="U642" s="622"/>
      <c r="V642" s="597"/>
      <c r="W642" s="597"/>
      <c r="X642" s="597" t="s">
        <v>1504</v>
      </c>
      <c r="Y642" s="597"/>
      <c r="Z642" s="622"/>
      <c r="AA642" s="622"/>
      <c r="AB642" s="595">
        <f t="shared" si="9"/>
        <v>0</v>
      </c>
      <c r="AC642" s="622"/>
      <c r="AD642" s="622"/>
      <c r="AE642" s="608" t="s">
        <v>1530</v>
      </c>
      <c r="AF642" s="622"/>
      <c r="AG642" s="622"/>
      <c r="AH642" s="622"/>
      <c r="AI642" s="622"/>
      <c r="AJ642" s="622"/>
      <c r="AK642" s="125"/>
    </row>
    <row r="643" spans="1:38" ht="30.75" customHeight="1" outlineLevel="1">
      <c r="A643" s="80"/>
      <c r="B643" s="80"/>
      <c r="C643" s="80"/>
      <c r="D643" s="80"/>
      <c r="E643" s="80"/>
      <c r="F643" s="80"/>
      <c r="G643" s="182" t="s">
        <v>325</v>
      </c>
      <c r="H643" s="80"/>
      <c r="I643" s="80"/>
      <c r="J643" s="80"/>
      <c r="K643" s="80"/>
      <c r="L643" s="80"/>
      <c r="M643" s="80"/>
      <c r="N643" s="80" t="s">
        <v>261</v>
      </c>
      <c r="O643" s="80"/>
      <c r="P643" s="80"/>
      <c r="Q643" s="80"/>
      <c r="R643" s="80"/>
      <c r="S643" s="80"/>
      <c r="T643" s="80"/>
      <c r="V643" s="117"/>
      <c r="W643" s="117"/>
      <c r="X643" s="2187" t="s">
        <v>1531</v>
      </c>
      <c r="Y643" s="594" t="s">
        <v>1532</v>
      </c>
      <c r="Z643" s="120">
        <v>0</v>
      </c>
      <c r="AA643" s="71">
        <v>0</v>
      </c>
      <c r="AB643" s="595">
        <f t="shared" si="9"/>
        <v>0</v>
      </c>
      <c r="AC643" s="71">
        <v>1</v>
      </c>
      <c r="AD643" s="71"/>
      <c r="AE643" s="2188" t="s">
        <v>1533</v>
      </c>
      <c r="AF643" s="70"/>
      <c r="AG643" s="70"/>
      <c r="AH643" s="70">
        <v>1401</v>
      </c>
      <c r="AI643" s="70"/>
      <c r="AJ643" s="71"/>
      <c r="AK643" s="183">
        <v>20240815</v>
      </c>
      <c r="AL643" s="108" t="s">
        <v>1534</v>
      </c>
    </row>
    <row r="644" spans="1:38" ht="30.75" customHeight="1" outlineLevel="1">
      <c r="A644" s="80"/>
      <c r="B644" s="80"/>
      <c r="C644" s="80"/>
      <c r="D644" s="80"/>
      <c r="E644" s="80"/>
      <c r="F644" s="80"/>
      <c r="G644" s="182" t="s">
        <v>325</v>
      </c>
      <c r="H644" s="80"/>
      <c r="I644" s="80"/>
      <c r="J644" s="80"/>
      <c r="K644" s="80"/>
      <c r="L644" s="80"/>
      <c r="M644" s="80"/>
      <c r="N644" s="80" t="s">
        <v>261</v>
      </c>
      <c r="O644" s="80"/>
      <c r="P644" s="80"/>
      <c r="Q644" s="80"/>
      <c r="R644" s="80"/>
      <c r="S644" s="80"/>
      <c r="T644" s="80"/>
      <c r="V644" s="117"/>
      <c r="W644" s="117"/>
      <c r="X644" s="2189" t="s">
        <v>1535</v>
      </c>
      <c r="Y644" s="594" t="s">
        <v>1536</v>
      </c>
      <c r="Z644" s="644">
        <v>0</v>
      </c>
      <c r="AA644" s="595">
        <v>1</v>
      </c>
      <c r="AB644" s="595">
        <f t="shared" si="9"/>
        <v>1</v>
      </c>
      <c r="AC644" s="595">
        <v>1</v>
      </c>
      <c r="AD644" s="595"/>
      <c r="AE644" s="2190" t="s">
        <v>1533</v>
      </c>
      <c r="AF644" s="599"/>
      <c r="AG644" s="599"/>
      <c r="AH644" s="70">
        <v>1402</v>
      </c>
      <c r="AI644" s="599"/>
      <c r="AJ644" s="595"/>
      <c r="AK644" s="183">
        <v>20240815</v>
      </c>
      <c r="AL644" s="108" t="s">
        <v>1534</v>
      </c>
    </row>
    <row r="645" spans="1:38" ht="30.75" customHeight="1" outlineLevel="1">
      <c r="A645" s="80"/>
      <c r="B645" s="80"/>
      <c r="C645" s="80"/>
      <c r="D645" s="80"/>
      <c r="E645" s="80"/>
      <c r="F645" s="80"/>
      <c r="G645" s="182" t="s">
        <v>325</v>
      </c>
      <c r="H645" s="80"/>
      <c r="I645" s="80"/>
      <c r="J645" s="80"/>
      <c r="K645" s="80"/>
      <c r="L645" s="80"/>
      <c r="M645" s="80"/>
      <c r="N645" s="80" t="s">
        <v>261</v>
      </c>
      <c r="O645" s="80"/>
      <c r="P645" s="80"/>
      <c r="Q645" s="80"/>
      <c r="R645" s="80"/>
      <c r="S645" s="80"/>
      <c r="T645" s="80"/>
      <c r="V645" s="117"/>
      <c r="W645" s="117"/>
      <c r="X645" s="2191" t="s">
        <v>1537</v>
      </c>
      <c r="Y645" s="594" t="s">
        <v>1538</v>
      </c>
      <c r="Z645" s="644">
        <v>0</v>
      </c>
      <c r="AA645" s="595">
        <v>2</v>
      </c>
      <c r="AB645" s="595">
        <f t="shared" si="9"/>
        <v>2</v>
      </c>
      <c r="AC645" s="595">
        <v>1</v>
      </c>
      <c r="AD645" s="595"/>
      <c r="AE645" s="2192" t="s">
        <v>1533</v>
      </c>
      <c r="AF645" s="599"/>
      <c r="AG645" s="599"/>
      <c r="AH645" s="70">
        <v>1403</v>
      </c>
      <c r="AI645" s="599"/>
      <c r="AJ645" s="595"/>
      <c r="AK645" s="183">
        <v>20240815</v>
      </c>
      <c r="AL645" s="108" t="s">
        <v>1534</v>
      </c>
    </row>
    <row r="646" spans="1:38" ht="30.75" customHeight="1" outlineLevel="1">
      <c r="A646" s="80"/>
      <c r="B646" s="80"/>
      <c r="C646" s="80"/>
      <c r="D646" s="80"/>
      <c r="E646" s="80"/>
      <c r="F646" s="80"/>
      <c r="G646" s="182" t="s">
        <v>325</v>
      </c>
      <c r="H646" s="80"/>
      <c r="I646" s="80"/>
      <c r="J646" s="80"/>
      <c r="K646" s="80"/>
      <c r="L646" s="80"/>
      <c r="M646" s="80"/>
      <c r="N646" s="80" t="s">
        <v>261</v>
      </c>
      <c r="O646" s="80"/>
      <c r="P646" s="80"/>
      <c r="Q646" s="80"/>
      <c r="R646" s="80"/>
      <c r="S646" s="80"/>
      <c r="T646" s="80"/>
      <c r="V646" s="117"/>
      <c r="W646" s="117"/>
      <c r="X646" s="2193" t="s">
        <v>1539</v>
      </c>
      <c r="Y646" s="594" t="s">
        <v>1540</v>
      </c>
      <c r="Z646" s="644">
        <v>0</v>
      </c>
      <c r="AA646" s="595">
        <v>3</v>
      </c>
      <c r="AB646" s="595">
        <f t="shared" si="9"/>
        <v>3</v>
      </c>
      <c r="AC646" s="595">
        <v>1</v>
      </c>
      <c r="AD646" s="595"/>
      <c r="AE646" s="2194" t="s">
        <v>1533</v>
      </c>
      <c r="AF646" s="599"/>
      <c r="AG646" s="599"/>
      <c r="AH646" s="70">
        <v>1404</v>
      </c>
      <c r="AI646" s="599"/>
      <c r="AJ646" s="595"/>
      <c r="AK646" s="183">
        <v>20240815</v>
      </c>
      <c r="AL646" s="108" t="s">
        <v>1534</v>
      </c>
    </row>
    <row r="647" spans="1:38" ht="45.75" customHeight="1" outlineLevel="1">
      <c r="A647" s="80"/>
      <c r="B647" s="80"/>
      <c r="C647" s="80"/>
      <c r="D647" s="80"/>
      <c r="E647" s="80"/>
      <c r="F647" s="80"/>
      <c r="G647" s="182" t="s">
        <v>325</v>
      </c>
      <c r="H647" s="80"/>
      <c r="I647" s="80"/>
      <c r="J647" s="80"/>
      <c r="K647" s="80"/>
      <c r="L647" s="80"/>
      <c r="M647" s="80"/>
      <c r="N647" s="80" t="s">
        <v>261</v>
      </c>
      <c r="O647" s="80"/>
      <c r="P647" s="80"/>
      <c r="Q647" s="80"/>
      <c r="R647" s="80"/>
      <c r="S647" s="80"/>
      <c r="T647" s="80"/>
      <c r="V647" s="117"/>
      <c r="W647" s="117"/>
      <c r="X647" s="2195" t="s">
        <v>1541</v>
      </c>
      <c r="Y647" s="594" t="s">
        <v>1542</v>
      </c>
      <c r="Z647" s="644">
        <v>0</v>
      </c>
      <c r="AA647" s="595">
        <v>4</v>
      </c>
      <c r="AB647" s="595">
        <f t="shared" si="9"/>
        <v>4</v>
      </c>
      <c r="AC647" s="595">
        <v>1</v>
      </c>
      <c r="AD647" s="595"/>
      <c r="AE647" s="2196" t="s">
        <v>1533</v>
      </c>
      <c r="AF647" s="599"/>
      <c r="AG647" s="599"/>
      <c r="AH647" s="70">
        <v>1405</v>
      </c>
      <c r="AI647" s="599"/>
      <c r="AJ647" s="595"/>
      <c r="AK647" s="183">
        <v>20240815</v>
      </c>
      <c r="AL647" s="108" t="s">
        <v>1534</v>
      </c>
    </row>
    <row r="648" spans="1:38" ht="45.75" customHeight="1" outlineLevel="1">
      <c r="A648" s="80"/>
      <c r="B648" s="80"/>
      <c r="C648" s="80"/>
      <c r="D648" s="80"/>
      <c r="E648" s="80"/>
      <c r="F648" s="80"/>
      <c r="G648" s="182" t="s">
        <v>325</v>
      </c>
      <c r="H648" s="80"/>
      <c r="I648" s="80"/>
      <c r="J648" s="80"/>
      <c r="K648" s="80"/>
      <c r="L648" s="80"/>
      <c r="M648" s="80"/>
      <c r="N648" s="80" t="s">
        <v>261</v>
      </c>
      <c r="O648" s="80"/>
      <c r="P648" s="80"/>
      <c r="Q648" s="80"/>
      <c r="R648" s="80"/>
      <c r="S648" s="80"/>
      <c r="T648" s="80"/>
      <c r="V648" s="117"/>
      <c r="W648" s="117"/>
      <c r="X648" s="2197" t="s">
        <v>1543</v>
      </c>
      <c r="Y648" s="594" t="s">
        <v>1544</v>
      </c>
      <c r="Z648" s="644">
        <v>0</v>
      </c>
      <c r="AA648" s="595">
        <v>5</v>
      </c>
      <c r="AB648" s="595">
        <f t="shared" si="9"/>
        <v>5</v>
      </c>
      <c r="AC648" s="595">
        <v>1</v>
      </c>
      <c r="AD648" s="595"/>
      <c r="AE648" s="2198" t="s">
        <v>1533</v>
      </c>
      <c r="AF648" s="599"/>
      <c r="AG648" s="599"/>
      <c r="AH648" s="70">
        <v>1406</v>
      </c>
      <c r="AI648" s="599"/>
      <c r="AJ648" s="595"/>
      <c r="AK648" s="183">
        <v>20240815</v>
      </c>
      <c r="AL648" s="108" t="s">
        <v>1534</v>
      </c>
    </row>
    <row r="649" spans="1:38" ht="45.75" customHeight="1" outlineLevel="1">
      <c r="A649" s="80"/>
      <c r="B649" s="80"/>
      <c r="C649" s="80"/>
      <c r="D649" s="80"/>
      <c r="E649" s="80"/>
      <c r="F649" s="80"/>
      <c r="G649" s="182" t="s">
        <v>325</v>
      </c>
      <c r="H649" s="80"/>
      <c r="I649" s="80"/>
      <c r="J649" s="80"/>
      <c r="K649" s="80"/>
      <c r="L649" s="80"/>
      <c r="M649" s="80"/>
      <c r="N649" s="80" t="s">
        <v>261</v>
      </c>
      <c r="O649" s="80"/>
      <c r="P649" s="80"/>
      <c r="Q649" s="80"/>
      <c r="R649" s="80"/>
      <c r="S649" s="80"/>
      <c r="T649" s="80"/>
      <c r="V649" s="117"/>
      <c r="W649" s="117"/>
      <c r="X649" s="2199" t="s">
        <v>1545</v>
      </c>
      <c r="Y649" s="594" t="s">
        <v>1546</v>
      </c>
      <c r="Z649" s="644">
        <v>0</v>
      </c>
      <c r="AA649" s="595">
        <v>6</v>
      </c>
      <c r="AB649" s="595">
        <f t="shared" si="9"/>
        <v>6</v>
      </c>
      <c r="AC649" s="595">
        <v>1</v>
      </c>
      <c r="AD649" s="595"/>
      <c r="AE649" s="2200" t="s">
        <v>1533</v>
      </c>
      <c r="AF649" s="599"/>
      <c r="AG649" s="599"/>
      <c r="AH649" s="70">
        <v>1407</v>
      </c>
      <c r="AI649" s="599"/>
      <c r="AJ649" s="595"/>
      <c r="AK649" s="183">
        <v>20240815</v>
      </c>
      <c r="AL649" s="108" t="s">
        <v>1534</v>
      </c>
    </row>
    <row r="650" spans="1:38" ht="30.75" customHeight="1" outlineLevel="1">
      <c r="A650" s="80"/>
      <c r="B650" s="80"/>
      <c r="C650" s="80"/>
      <c r="D650" s="80"/>
      <c r="E650" s="80"/>
      <c r="F650" s="80"/>
      <c r="G650" s="182" t="s">
        <v>325</v>
      </c>
      <c r="H650" s="80"/>
      <c r="I650" s="80"/>
      <c r="J650" s="80"/>
      <c r="K650" s="80"/>
      <c r="L650" s="80"/>
      <c r="M650" s="80"/>
      <c r="N650" s="80" t="s">
        <v>261</v>
      </c>
      <c r="O650" s="80"/>
      <c r="P650" s="80"/>
      <c r="Q650" s="80"/>
      <c r="R650" s="80"/>
      <c r="S650" s="80"/>
      <c r="T650" s="80"/>
      <c r="V650" s="117"/>
      <c r="W650" s="117"/>
      <c r="X650" s="2201" t="s">
        <v>1547</v>
      </c>
      <c r="Y650" s="594" t="s">
        <v>1548</v>
      </c>
      <c r="Z650" s="644">
        <v>0</v>
      </c>
      <c r="AA650" s="595">
        <v>7</v>
      </c>
      <c r="AB650" s="595">
        <f t="shared" si="9"/>
        <v>7</v>
      </c>
      <c r="AC650" s="595">
        <v>1</v>
      </c>
      <c r="AD650" s="595"/>
      <c r="AE650" s="2202" t="s">
        <v>1533</v>
      </c>
      <c r="AF650" s="599"/>
      <c r="AG650" s="599"/>
      <c r="AH650" s="70">
        <v>1408</v>
      </c>
      <c r="AI650" s="599"/>
      <c r="AJ650" s="595"/>
      <c r="AK650" s="183">
        <v>20240815</v>
      </c>
      <c r="AL650" s="108" t="s">
        <v>1534</v>
      </c>
    </row>
    <row r="651" spans="1:38" ht="14.25" customHeight="1">
      <c r="A651" s="80"/>
      <c r="B651" s="80"/>
      <c r="C651" s="80"/>
      <c r="D651" s="80"/>
      <c r="E651" s="80"/>
      <c r="F651" s="80"/>
      <c r="G651" s="182" t="s">
        <v>325</v>
      </c>
      <c r="H651" s="80"/>
      <c r="I651" s="80"/>
      <c r="J651" s="80"/>
      <c r="K651" s="80"/>
      <c r="L651" s="80"/>
      <c r="M651" s="80"/>
      <c r="N651" s="80" t="s">
        <v>261</v>
      </c>
      <c r="O651" s="80"/>
      <c r="P651" s="80"/>
      <c r="Q651" s="80"/>
      <c r="R651" s="80"/>
      <c r="S651" s="80"/>
      <c r="T651" s="80"/>
      <c r="V651" s="117"/>
      <c r="W651" s="117"/>
      <c r="X651" s="2203" t="s">
        <v>1549</v>
      </c>
      <c r="Y651" s="644" t="s">
        <v>1550</v>
      </c>
      <c r="Z651" s="644">
        <v>1</v>
      </c>
      <c r="AA651" s="595">
        <v>0</v>
      </c>
      <c r="AB651" s="595">
        <f t="shared" si="9"/>
        <v>8</v>
      </c>
      <c r="AC651" s="595">
        <v>1</v>
      </c>
      <c r="AD651" s="595"/>
      <c r="AE651" s="2204" t="s">
        <v>1533</v>
      </c>
      <c r="AF651" s="599"/>
      <c r="AG651" s="599"/>
      <c r="AH651" s="599"/>
      <c r="AI651" s="599"/>
      <c r="AJ651" s="595"/>
      <c r="AK651" s="80"/>
    </row>
    <row r="652" spans="1:38" ht="35.25" customHeight="1" outlineLevel="1">
      <c r="A652" s="622">
        <v>104</v>
      </c>
      <c r="B652" s="622" t="s">
        <v>1502</v>
      </c>
      <c r="C652" s="622" t="s">
        <v>1551</v>
      </c>
      <c r="D652" s="622" t="s">
        <v>844</v>
      </c>
      <c r="E652" s="622">
        <v>8</v>
      </c>
      <c r="F652" s="622" t="s">
        <v>260</v>
      </c>
      <c r="G652" s="623"/>
      <c r="H652" s="622"/>
      <c r="I652" s="622"/>
      <c r="J652" s="622"/>
      <c r="K652" s="622"/>
      <c r="L652" s="622"/>
      <c r="M652" s="622"/>
      <c r="N652" s="622" t="s">
        <v>261</v>
      </c>
      <c r="O652" s="622"/>
      <c r="P652" s="622" t="s">
        <v>325</v>
      </c>
      <c r="Q652" s="622"/>
      <c r="R652" s="622"/>
      <c r="S652" s="622"/>
      <c r="T652" s="622"/>
      <c r="U652" s="622"/>
      <c r="V652" s="597"/>
      <c r="W652" s="597"/>
      <c r="X652" s="597" t="s">
        <v>1552</v>
      </c>
      <c r="Y652" s="597"/>
      <c r="Z652" s="622"/>
      <c r="AA652" s="622"/>
      <c r="AB652" s="595">
        <f t="shared" si="9"/>
        <v>0</v>
      </c>
      <c r="AC652" s="622"/>
      <c r="AD652" s="622"/>
      <c r="AE652" s="608"/>
      <c r="AF652" s="622"/>
      <c r="AG652" s="622"/>
      <c r="AH652" s="622"/>
      <c r="AI652" s="622"/>
      <c r="AJ652" s="622"/>
      <c r="AK652" s="125"/>
    </row>
    <row r="653" spans="1:38" ht="30.75" customHeight="1" outlineLevel="1">
      <c r="A653" s="80"/>
      <c r="B653" s="80"/>
      <c r="C653" s="80"/>
      <c r="D653" s="80"/>
      <c r="E653" s="80"/>
      <c r="F653" s="80"/>
      <c r="G653" s="182"/>
      <c r="H653" s="80"/>
      <c r="I653" s="80"/>
      <c r="J653" s="80"/>
      <c r="K653" s="80"/>
      <c r="L653" s="80"/>
      <c r="M653" s="80"/>
      <c r="N653" s="80" t="s">
        <v>261</v>
      </c>
      <c r="O653" s="80"/>
      <c r="P653" s="80" t="s">
        <v>325</v>
      </c>
      <c r="Q653" s="80"/>
      <c r="V653" s="80"/>
      <c r="W653" s="80"/>
      <c r="X653" s="2205" t="s">
        <v>532</v>
      </c>
      <c r="Y653" s="123" t="s">
        <v>1553</v>
      </c>
      <c r="Z653" s="120">
        <v>0</v>
      </c>
      <c r="AA653" s="71">
        <v>0</v>
      </c>
      <c r="AB653" s="595">
        <f t="shared" si="9"/>
        <v>0</v>
      </c>
      <c r="AC653" s="71">
        <v>16</v>
      </c>
      <c r="AD653" s="71"/>
      <c r="AE653" s="70"/>
      <c r="AF653" s="70"/>
      <c r="AG653" s="70"/>
      <c r="AH653" s="70"/>
      <c r="AI653" s="70"/>
      <c r="AJ653" s="71"/>
      <c r="AK653" s="80"/>
    </row>
    <row r="654" spans="1:38" ht="30.75" customHeight="1" outlineLevel="1">
      <c r="A654" s="80"/>
      <c r="B654" s="80"/>
      <c r="C654" s="80"/>
      <c r="D654" s="80"/>
      <c r="E654" s="80"/>
      <c r="F654" s="80"/>
      <c r="G654" s="182"/>
      <c r="H654" s="80"/>
      <c r="I654" s="80"/>
      <c r="J654" s="80"/>
      <c r="K654" s="80"/>
      <c r="L654" s="80"/>
      <c r="M654" s="80"/>
      <c r="N654" s="80" t="s">
        <v>261</v>
      </c>
      <c r="O654" s="80"/>
      <c r="P654" s="80" t="s">
        <v>325</v>
      </c>
      <c r="Q654" s="80"/>
      <c r="V654" s="80"/>
      <c r="W654" s="80"/>
      <c r="X654" s="2206" t="s">
        <v>534</v>
      </c>
      <c r="Y654" s="123" t="s">
        <v>1554</v>
      </c>
      <c r="Z654" s="644">
        <v>2</v>
      </c>
      <c r="AA654" s="595">
        <v>0</v>
      </c>
      <c r="AB654" s="595">
        <f t="shared" si="9"/>
        <v>16</v>
      </c>
      <c r="AC654" s="595">
        <v>8</v>
      </c>
      <c r="AD654" s="595"/>
      <c r="AE654" s="599"/>
      <c r="AF654" s="599"/>
      <c r="AG654" s="599"/>
      <c r="AH654" s="599"/>
      <c r="AI654" s="599"/>
      <c r="AJ654" s="595"/>
      <c r="AK654" s="80"/>
    </row>
    <row r="655" spans="1:38" ht="30.75" customHeight="1" outlineLevel="1">
      <c r="A655" s="80"/>
      <c r="B655" s="80"/>
      <c r="C655" s="80"/>
      <c r="D655" s="80"/>
      <c r="E655" s="80"/>
      <c r="F655" s="80"/>
      <c r="G655" s="182"/>
      <c r="H655" s="80"/>
      <c r="I655" s="80"/>
      <c r="J655" s="80"/>
      <c r="K655" s="80"/>
      <c r="L655" s="80"/>
      <c r="M655" s="80"/>
      <c r="N655" s="80" t="s">
        <v>261</v>
      </c>
      <c r="O655" s="80"/>
      <c r="P655" s="80" t="s">
        <v>325</v>
      </c>
      <c r="Q655" s="80"/>
      <c r="V655" s="80"/>
      <c r="W655" s="80"/>
      <c r="X655" s="2207" t="s">
        <v>537</v>
      </c>
      <c r="Y655" s="123" t="s">
        <v>1555</v>
      </c>
      <c r="Z655" s="644">
        <v>3</v>
      </c>
      <c r="AA655" s="595">
        <v>0</v>
      </c>
      <c r="AB655" s="595">
        <f t="shared" si="9"/>
        <v>24</v>
      </c>
      <c r="AC655" s="595">
        <v>8</v>
      </c>
      <c r="AD655" s="595"/>
      <c r="AE655" s="599"/>
      <c r="AF655" s="599"/>
      <c r="AG655" s="599"/>
      <c r="AH655" s="599"/>
      <c r="AI655" s="599"/>
      <c r="AJ655" s="595"/>
      <c r="AK655" s="80"/>
    </row>
    <row r="656" spans="1:38" ht="30.75" customHeight="1" outlineLevel="1">
      <c r="A656" s="80"/>
      <c r="B656" s="80"/>
      <c r="C656" s="80"/>
      <c r="D656" s="80"/>
      <c r="E656" s="80"/>
      <c r="F656" s="80"/>
      <c r="G656" s="182"/>
      <c r="H656" s="80"/>
      <c r="I656" s="80"/>
      <c r="J656" s="80"/>
      <c r="K656" s="80"/>
      <c r="L656" s="80"/>
      <c r="M656" s="80"/>
      <c r="N656" s="80" t="s">
        <v>261</v>
      </c>
      <c r="O656" s="80"/>
      <c r="P656" s="80" t="s">
        <v>325</v>
      </c>
      <c r="Q656" s="80"/>
      <c r="V656" s="80"/>
      <c r="W656" s="80"/>
      <c r="X656" s="2208" t="s">
        <v>540</v>
      </c>
      <c r="Y656" s="123" t="s">
        <v>1556</v>
      </c>
      <c r="Z656" s="644">
        <v>4</v>
      </c>
      <c r="AA656" s="595">
        <v>0</v>
      </c>
      <c r="AB656" s="595">
        <f t="shared" si="9"/>
        <v>32</v>
      </c>
      <c r="AC656" s="595">
        <v>8</v>
      </c>
      <c r="AD656" s="595"/>
      <c r="AE656" s="599"/>
      <c r="AF656" s="599"/>
      <c r="AG656" s="599"/>
      <c r="AH656" s="599"/>
      <c r="AI656" s="599"/>
      <c r="AJ656" s="595"/>
      <c r="AK656" s="80"/>
    </row>
    <row r="657" spans="1:37" ht="14.25" customHeight="1">
      <c r="A657" s="80"/>
      <c r="B657" s="80"/>
      <c r="C657" s="80"/>
      <c r="D657" s="80"/>
      <c r="E657" s="80"/>
      <c r="F657" s="80"/>
      <c r="G657" s="182"/>
      <c r="H657" s="80"/>
      <c r="I657" s="80"/>
      <c r="J657" s="80"/>
      <c r="K657" s="80"/>
      <c r="L657" s="80"/>
      <c r="M657" s="80"/>
      <c r="N657" s="80" t="s">
        <v>261</v>
      </c>
      <c r="O657" s="80"/>
      <c r="P657" s="80" t="s">
        <v>325</v>
      </c>
      <c r="Q657" s="80"/>
      <c r="V657" s="80"/>
      <c r="W657" s="80"/>
      <c r="X657" s="2209" t="s">
        <v>543</v>
      </c>
      <c r="Y657" s="625" t="s">
        <v>1557</v>
      </c>
      <c r="Z657" s="644">
        <v>5</v>
      </c>
      <c r="AA657" s="595">
        <v>0</v>
      </c>
      <c r="AB657" s="595">
        <f t="shared" si="9"/>
        <v>40</v>
      </c>
      <c r="AC657" s="595">
        <v>24</v>
      </c>
      <c r="AD657" s="595"/>
      <c r="AE657" s="599"/>
      <c r="AF657" s="599"/>
      <c r="AG657" s="599"/>
      <c r="AH657" s="599"/>
      <c r="AI657" s="599"/>
      <c r="AJ657" s="595"/>
      <c r="AK657" s="80"/>
    </row>
    <row r="658" spans="1:37" ht="35.25" customHeight="1" outlineLevel="1">
      <c r="A658" s="622">
        <v>105</v>
      </c>
      <c r="B658" s="622" t="s">
        <v>1502</v>
      </c>
      <c r="C658" s="622" t="s">
        <v>1558</v>
      </c>
      <c r="D658" s="622" t="s">
        <v>844</v>
      </c>
      <c r="E658" s="622">
        <v>8</v>
      </c>
      <c r="F658" s="622" t="s">
        <v>260</v>
      </c>
      <c r="G658" s="623"/>
      <c r="H658" s="622"/>
      <c r="I658" s="622"/>
      <c r="J658" s="622"/>
      <c r="K658" s="622"/>
      <c r="L658" s="622"/>
      <c r="M658" s="622"/>
      <c r="N658" s="622" t="s">
        <v>261</v>
      </c>
      <c r="O658" s="622"/>
      <c r="P658" s="622" t="s">
        <v>325</v>
      </c>
      <c r="Q658" s="622"/>
      <c r="R658" s="622"/>
      <c r="S658" s="622"/>
      <c r="T658" s="622"/>
      <c r="U658" s="622"/>
      <c r="V658" s="597"/>
      <c r="W658" s="597"/>
      <c r="X658" s="597" t="s">
        <v>1559</v>
      </c>
      <c r="Y658" s="597"/>
      <c r="Z658" s="622"/>
      <c r="AA658" s="622"/>
      <c r="AB658" s="595">
        <f t="shared" si="9"/>
        <v>0</v>
      </c>
      <c r="AC658" s="622"/>
      <c r="AD658" s="622"/>
      <c r="AE658" s="608"/>
      <c r="AF658" s="622"/>
      <c r="AG658" s="622"/>
      <c r="AH658" s="622"/>
      <c r="AI658" s="622"/>
      <c r="AJ658" s="622"/>
      <c r="AK658" s="125"/>
    </row>
    <row r="659" spans="1:37" ht="45.75" customHeight="1" outlineLevel="1">
      <c r="A659" s="80"/>
      <c r="B659" s="80"/>
      <c r="C659" s="80"/>
      <c r="D659" s="80"/>
      <c r="E659" s="80"/>
      <c r="F659" s="80"/>
      <c r="G659" s="182"/>
      <c r="H659" s="80"/>
      <c r="I659" s="80"/>
      <c r="J659" s="80"/>
      <c r="K659" s="80"/>
      <c r="L659" s="80"/>
      <c r="M659" s="80"/>
      <c r="N659" s="80" t="s">
        <v>261</v>
      </c>
      <c r="O659" s="80"/>
      <c r="P659" s="80" t="s">
        <v>325</v>
      </c>
      <c r="Q659" s="80"/>
      <c r="V659" s="80"/>
      <c r="W659" s="80"/>
      <c r="X659" s="2210" t="s">
        <v>549</v>
      </c>
      <c r="Y659" s="123" t="s">
        <v>849</v>
      </c>
      <c r="Z659" s="120">
        <v>0</v>
      </c>
      <c r="AA659" s="71">
        <v>0</v>
      </c>
      <c r="AB659" s="595">
        <f t="shared" si="9"/>
        <v>0</v>
      </c>
      <c r="AC659" s="71">
        <v>8</v>
      </c>
      <c r="AD659" s="133"/>
      <c r="AE659" s="70" t="s">
        <v>551</v>
      </c>
      <c r="AF659" s="134"/>
      <c r="AG659" s="134"/>
      <c r="AH659" s="134"/>
      <c r="AI659" s="134"/>
      <c r="AJ659" s="134"/>
      <c r="AK659" s="59"/>
    </row>
    <row r="660" spans="1:37" ht="75.75" customHeight="1" outlineLevel="1">
      <c r="A660" s="80"/>
      <c r="B660" s="80"/>
      <c r="C660" s="80"/>
      <c r="D660" s="80"/>
      <c r="E660" s="80"/>
      <c r="F660" s="80"/>
      <c r="G660" s="182"/>
      <c r="H660" s="80"/>
      <c r="I660" s="80"/>
      <c r="J660" s="80"/>
      <c r="K660" s="80"/>
      <c r="L660" s="80"/>
      <c r="M660" s="80"/>
      <c r="N660" s="80" t="s">
        <v>261</v>
      </c>
      <c r="O660" s="80"/>
      <c r="P660" s="80" t="s">
        <v>325</v>
      </c>
      <c r="Q660" s="80"/>
      <c r="V660" s="80"/>
      <c r="W660" s="80"/>
      <c r="X660" s="2211" t="s">
        <v>552</v>
      </c>
      <c r="Y660" s="625" t="s">
        <v>850</v>
      </c>
      <c r="Z660" s="644">
        <v>1</v>
      </c>
      <c r="AA660" s="595">
        <v>0</v>
      </c>
      <c r="AB660" s="595">
        <f t="shared" si="9"/>
        <v>8</v>
      </c>
      <c r="AC660" s="595">
        <v>8</v>
      </c>
      <c r="AD660" s="609"/>
      <c r="AE660" s="599" t="s">
        <v>554</v>
      </c>
      <c r="AF660" s="646"/>
      <c r="AG660" s="646"/>
      <c r="AH660" s="646"/>
      <c r="AI660" s="646"/>
      <c r="AJ660" s="646"/>
      <c r="AK660" s="59"/>
    </row>
    <row r="661" spans="1:37" ht="75.75" customHeight="1" outlineLevel="1">
      <c r="A661" s="80"/>
      <c r="B661" s="80"/>
      <c r="C661" s="80"/>
      <c r="D661" s="80"/>
      <c r="E661" s="80"/>
      <c r="F661" s="80"/>
      <c r="G661" s="182"/>
      <c r="H661" s="80"/>
      <c r="I661" s="80"/>
      <c r="J661" s="80"/>
      <c r="K661" s="80"/>
      <c r="L661" s="80"/>
      <c r="M661" s="80"/>
      <c r="N661" s="80" t="s">
        <v>261</v>
      </c>
      <c r="O661" s="80"/>
      <c r="P661" s="80" t="s">
        <v>325</v>
      </c>
      <c r="Q661" s="80"/>
      <c r="V661" s="80"/>
      <c r="W661" s="80"/>
      <c r="X661" s="2212" t="s">
        <v>555</v>
      </c>
      <c r="Y661" s="625" t="s">
        <v>851</v>
      </c>
      <c r="Z661" s="644">
        <v>2</v>
      </c>
      <c r="AA661" s="595">
        <v>0</v>
      </c>
      <c r="AB661" s="595">
        <f t="shared" si="9"/>
        <v>16</v>
      </c>
      <c r="AC661" s="595">
        <v>8</v>
      </c>
      <c r="AD661" s="609"/>
      <c r="AE661" s="599" t="s">
        <v>557</v>
      </c>
      <c r="AF661" s="646"/>
      <c r="AG661" s="646"/>
      <c r="AH661" s="646"/>
      <c r="AI661" s="646"/>
      <c r="AJ661" s="646"/>
      <c r="AK661" s="59"/>
    </row>
    <row r="662" spans="1:37" ht="75.75" customHeight="1" outlineLevel="1">
      <c r="A662" s="80"/>
      <c r="B662" s="80"/>
      <c r="C662" s="80"/>
      <c r="D662" s="80"/>
      <c r="E662" s="80"/>
      <c r="F662" s="80"/>
      <c r="G662" s="182"/>
      <c r="H662" s="80"/>
      <c r="I662" s="80"/>
      <c r="J662" s="80"/>
      <c r="K662" s="80"/>
      <c r="L662" s="80"/>
      <c r="M662" s="80"/>
      <c r="N662" s="80" t="s">
        <v>261</v>
      </c>
      <c r="O662" s="80"/>
      <c r="P662" s="80" t="s">
        <v>325</v>
      </c>
      <c r="Q662" s="80"/>
      <c r="V662" s="80"/>
      <c r="W662" s="80"/>
      <c r="X662" s="2213" t="s">
        <v>558</v>
      </c>
      <c r="Y662" s="625" t="s">
        <v>852</v>
      </c>
      <c r="Z662" s="644">
        <v>3</v>
      </c>
      <c r="AA662" s="595">
        <v>0</v>
      </c>
      <c r="AB662" s="595">
        <f t="shared" si="9"/>
        <v>24</v>
      </c>
      <c r="AC662" s="595">
        <v>8</v>
      </c>
      <c r="AD662" s="609"/>
      <c r="AE662" s="599" t="s">
        <v>560</v>
      </c>
      <c r="AF662" s="646"/>
      <c r="AG662" s="646"/>
      <c r="AH662" s="646"/>
      <c r="AI662" s="646"/>
      <c r="AJ662" s="646"/>
      <c r="AK662" s="59"/>
    </row>
    <row r="663" spans="1:37" ht="45.75" customHeight="1" outlineLevel="1">
      <c r="A663" s="80"/>
      <c r="B663" s="80"/>
      <c r="C663" s="80"/>
      <c r="D663" s="80"/>
      <c r="E663" s="80"/>
      <c r="F663" s="80"/>
      <c r="G663" s="182"/>
      <c r="H663" s="80"/>
      <c r="I663" s="80"/>
      <c r="J663" s="80"/>
      <c r="K663" s="80"/>
      <c r="L663" s="80"/>
      <c r="M663" s="80"/>
      <c r="N663" s="80" t="s">
        <v>261</v>
      </c>
      <c r="O663" s="80"/>
      <c r="P663" s="80" t="s">
        <v>325</v>
      </c>
      <c r="Q663" s="80"/>
      <c r="V663" s="80"/>
      <c r="W663" s="80"/>
      <c r="X663" s="2214" t="s">
        <v>561</v>
      </c>
      <c r="Y663" s="625" t="s">
        <v>853</v>
      </c>
      <c r="Z663" s="644">
        <v>4</v>
      </c>
      <c r="AA663" s="595">
        <v>0</v>
      </c>
      <c r="AB663" s="595">
        <f t="shared" si="9"/>
        <v>32</v>
      </c>
      <c r="AC663" s="595">
        <v>8</v>
      </c>
      <c r="AD663" s="609"/>
      <c r="AE663" s="599" t="s">
        <v>563</v>
      </c>
      <c r="AF663" s="646"/>
      <c r="AG663" s="646"/>
      <c r="AH663" s="646"/>
      <c r="AI663" s="646"/>
      <c r="AJ663" s="646"/>
      <c r="AK663" s="59"/>
    </row>
    <row r="664" spans="1:37" ht="75.75" customHeight="1" outlineLevel="1">
      <c r="A664" s="80"/>
      <c r="B664" s="80"/>
      <c r="C664" s="80"/>
      <c r="D664" s="80"/>
      <c r="E664" s="80"/>
      <c r="F664" s="80"/>
      <c r="G664" s="182"/>
      <c r="H664" s="80"/>
      <c r="I664" s="80"/>
      <c r="J664" s="80"/>
      <c r="K664" s="80"/>
      <c r="L664" s="80"/>
      <c r="M664" s="80"/>
      <c r="N664" s="80" t="s">
        <v>261</v>
      </c>
      <c r="O664" s="80"/>
      <c r="P664" s="80" t="s">
        <v>325</v>
      </c>
      <c r="Q664" s="80"/>
      <c r="V664" s="80"/>
      <c r="W664" s="80"/>
      <c r="X664" s="2215" t="s">
        <v>564</v>
      </c>
      <c r="Y664" s="625" t="s">
        <v>854</v>
      </c>
      <c r="Z664" s="644">
        <v>5</v>
      </c>
      <c r="AA664" s="595">
        <v>0</v>
      </c>
      <c r="AB664" s="595">
        <f t="shared" si="9"/>
        <v>40</v>
      </c>
      <c r="AC664" s="595">
        <v>8</v>
      </c>
      <c r="AD664" s="609"/>
      <c r="AE664" s="599" t="s">
        <v>566</v>
      </c>
      <c r="AF664" s="646"/>
      <c r="AG664" s="646"/>
      <c r="AH664" s="646"/>
      <c r="AI664" s="646"/>
      <c r="AJ664" s="646"/>
      <c r="AK664" s="59"/>
    </row>
    <row r="665" spans="1:37" ht="75.75" customHeight="1" outlineLevel="1">
      <c r="A665" s="80"/>
      <c r="B665" s="80"/>
      <c r="C665" s="80"/>
      <c r="D665" s="80"/>
      <c r="E665" s="80"/>
      <c r="F665" s="80"/>
      <c r="G665" s="182"/>
      <c r="H665" s="80"/>
      <c r="I665" s="80"/>
      <c r="J665" s="80"/>
      <c r="K665" s="80"/>
      <c r="L665" s="80"/>
      <c r="M665" s="80"/>
      <c r="N665" s="80" t="s">
        <v>261</v>
      </c>
      <c r="O665" s="80"/>
      <c r="P665" s="80" t="s">
        <v>325</v>
      </c>
      <c r="Q665" s="80"/>
      <c r="V665" s="80"/>
      <c r="W665" s="80"/>
      <c r="X665" s="2216" t="s">
        <v>567</v>
      </c>
      <c r="Y665" s="625" t="s">
        <v>855</v>
      </c>
      <c r="Z665" s="644">
        <v>6</v>
      </c>
      <c r="AA665" s="595">
        <v>0</v>
      </c>
      <c r="AB665" s="595">
        <f t="shared" si="9"/>
        <v>48</v>
      </c>
      <c r="AC665" s="595">
        <v>8</v>
      </c>
      <c r="AD665" s="609"/>
      <c r="AE665" s="599" t="s">
        <v>569</v>
      </c>
      <c r="AF665" s="646"/>
      <c r="AG665" s="646"/>
      <c r="AH665" s="646"/>
      <c r="AI665" s="646"/>
      <c r="AJ665" s="646"/>
      <c r="AK665" s="59"/>
    </row>
    <row r="666" spans="1:37" ht="14.25" customHeight="1">
      <c r="A666" s="80"/>
      <c r="B666" s="80"/>
      <c r="C666" s="80"/>
      <c r="D666" s="80"/>
      <c r="E666" s="80"/>
      <c r="F666" s="80"/>
      <c r="G666" s="182"/>
      <c r="H666" s="80"/>
      <c r="I666" s="80"/>
      <c r="J666" s="80"/>
      <c r="K666" s="80"/>
      <c r="L666" s="80"/>
      <c r="M666" s="80"/>
      <c r="N666" s="80" t="s">
        <v>261</v>
      </c>
      <c r="O666" s="80"/>
      <c r="P666" s="80" t="s">
        <v>325</v>
      </c>
      <c r="Q666" s="80"/>
      <c r="V666" s="80"/>
      <c r="W666" s="80"/>
      <c r="X666" s="2217" t="s">
        <v>570</v>
      </c>
      <c r="Y666" s="625" t="s">
        <v>856</v>
      </c>
      <c r="Z666" s="644">
        <v>7</v>
      </c>
      <c r="AA666" s="595">
        <v>0</v>
      </c>
      <c r="AB666" s="595">
        <f t="shared" si="9"/>
        <v>56</v>
      </c>
      <c r="AC666" s="595">
        <v>8</v>
      </c>
      <c r="AD666" s="609"/>
      <c r="AE666" s="599" t="s">
        <v>572</v>
      </c>
      <c r="AF666" s="646"/>
      <c r="AG666" s="646"/>
      <c r="AH666" s="646"/>
      <c r="AI666" s="646"/>
      <c r="AJ666" s="646"/>
      <c r="AK666" s="59"/>
    </row>
    <row r="667" spans="1:37" ht="35.25" customHeight="1" outlineLevel="1">
      <c r="A667" s="622">
        <v>106</v>
      </c>
      <c r="B667" s="622" t="s">
        <v>1502</v>
      </c>
      <c r="C667" s="622" t="s">
        <v>1560</v>
      </c>
      <c r="D667" s="622" t="s">
        <v>844</v>
      </c>
      <c r="E667" s="622">
        <v>8</v>
      </c>
      <c r="F667" s="622" t="s">
        <v>260</v>
      </c>
      <c r="G667" s="623"/>
      <c r="H667" s="622"/>
      <c r="I667" s="622"/>
      <c r="J667" s="622"/>
      <c r="K667" s="622"/>
      <c r="L667" s="622"/>
      <c r="M667" s="622"/>
      <c r="N667" s="622" t="s">
        <v>261</v>
      </c>
      <c r="O667" s="622"/>
      <c r="P667" s="622" t="s">
        <v>325</v>
      </c>
      <c r="Q667" s="622"/>
      <c r="R667" s="622"/>
      <c r="S667" s="622"/>
      <c r="T667" s="622"/>
      <c r="U667" s="622"/>
      <c r="V667" s="597"/>
      <c r="W667" s="597"/>
      <c r="X667" s="597" t="s">
        <v>1561</v>
      </c>
      <c r="Y667" s="597"/>
      <c r="Z667" s="622"/>
      <c r="AA667" s="622"/>
      <c r="AB667" s="595">
        <f t="shared" si="9"/>
        <v>0</v>
      </c>
      <c r="AC667" s="622"/>
      <c r="AD667" s="622"/>
      <c r="AE667" s="608"/>
      <c r="AF667" s="622"/>
      <c r="AG667" s="622"/>
      <c r="AH667" s="622"/>
      <c r="AI667" s="622"/>
      <c r="AJ667" s="622"/>
      <c r="AK667" s="125"/>
    </row>
    <row r="668" spans="1:37" ht="45.75" customHeight="1" outlineLevel="1">
      <c r="A668" s="80"/>
      <c r="B668" s="80"/>
      <c r="C668" s="80"/>
      <c r="D668" s="80"/>
      <c r="E668" s="80"/>
      <c r="F668" s="80"/>
      <c r="G668" s="182"/>
      <c r="H668" s="80"/>
      <c r="I668" s="80"/>
      <c r="J668" s="80"/>
      <c r="K668" s="80"/>
      <c r="L668" s="80"/>
      <c r="M668" s="80"/>
      <c r="N668" s="80" t="s">
        <v>261</v>
      </c>
      <c r="O668" s="80"/>
      <c r="P668" s="80" t="s">
        <v>325</v>
      </c>
      <c r="Q668" s="80"/>
      <c r="R668" s="80"/>
      <c r="S668" s="80"/>
      <c r="T668" s="80"/>
      <c r="V668" s="80"/>
      <c r="W668" s="80"/>
      <c r="X668" s="2218" t="s">
        <v>576</v>
      </c>
      <c r="Y668" s="123" t="s">
        <v>1562</v>
      </c>
      <c r="Z668" s="120">
        <v>0</v>
      </c>
      <c r="AA668" s="71">
        <v>0</v>
      </c>
      <c r="AB668" s="595">
        <f t="shared" si="9"/>
        <v>0</v>
      </c>
      <c r="AC668" s="71">
        <v>8</v>
      </c>
      <c r="AD668" s="71"/>
      <c r="AE668" s="70" t="s">
        <v>578</v>
      </c>
      <c r="AF668" s="70"/>
      <c r="AG668" s="70"/>
      <c r="AH668" s="70"/>
      <c r="AI668" s="70"/>
      <c r="AJ668" s="71"/>
      <c r="AK668" s="80"/>
    </row>
    <row r="669" spans="1:37" ht="75.75" customHeight="1" outlineLevel="1">
      <c r="A669" s="80"/>
      <c r="B669" s="80"/>
      <c r="C669" s="80"/>
      <c r="D669" s="80"/>
      <c r="E669" s="80"/>
      <c r="F669" s="80"/>
      <c r="G669" s="182"/>
      <c r="H669" s="80"/>
      <c r="I669" s="80"/>
      <c r="J669" s="80"/>
      <c r="K669" s="80"/>
      <c r="L669" s="80"/>
      <c r="M669" s="80"/>
      <c r="N669" s="80" t="s">
        <v>261</v>
      </c>
      <c r="O669" s="80"/>
      <c r="P669" s="80" t="s">
        <v>325</v>
      </c>
      <c r="Q669" s="80"/>
      <c r="R669" s="80"/>
      <c r="S669" s="80"/>
      <c r="T669" s="80"/>
      <c r="V669" s="80"/>
      <c r="W669" s="80"/>
      <c r="X669" s="2219" t="s">
        <v>579</v>
      </c>
      <c r="Y669" s="123" t="s">
        <v>1563</v>
      </c>
      <c r="Z669" s="644">
        <v>1</v>
      </c>
      <c r="AA669" s="595">
        <v>0</v>
      </c>
      <c r="AB669" s="595">
        <f t="shared" si="9"/>
        <v>8</v>
      </c>
      <c r="AC669" s="595">
        <v>8</v>
      </c>
      <c r="AD669" s="595"/>
      <c r="AE669" s="599" t="s">
        <v>554</v>
      </c>
      <c r="AF669" s="599"/>
      <c r="AG669" s="599"/>
      <c r="AH669" s="599"/>
      <c r="AI669" s="599"/>
      <c r="AJ669" s="595"/>
      <c r="AK669" s="80"/>
    </row>
    <row r="670" spans="1:37" ht="75.75" customHeight="1" outlineLevel="1">
      <c r="A670" s="80"/>
      <c r="B670" s="80"/>
      <c r="C670" s="80"/>
      <c r="D670" s="80"/>
      <c r="E670" s="80"/>
      <c r="F670" s="80"/>
      <c r="G670" s="182"/>
      <c r="H670" s="80"/>
      <c r="I670" s="80"/>
      <c r="J670" s="80"/>
      <c r="K670" s="80"/>
      <c r="L670" s="80"/>
      <c r="M670" s="80"/>
      <c r="N670" s="80" t="s">
        <v>261</v>
      </c>
      <c r="O670" s="80"/>
      <c r="P670" s="80" t="s">
        <v>325</v>
      </c>
      <c r="Q670" s="80"/>
      <c r="R670" s="80"/>
      <c r="S670" s="80"/>
      <c r="T670" s="80"/>
      <c r="V670" s="80"/>
      <c r="W670" s="80"/>
      <c r="X670" s="2220" t="s">
        <v>581</v>
      </c>
      <c r="Y670" s="123" t="s">
        <v>1564</v>
      </c>
      <c r="Z670" s="644">
        <v>2</v>
      </c>
      <c r="AA670" s="595">
        <v>0</v>
      </c>
      <c r="AB670" s="595">
        <f t="shared" si="9"/>
        <v>16</v>
      </c>
      <c r="AC670" s="595">
        <v>8</v>
      </c>
      <c r="AD670" s="595"/>
      <c r="AE670" s="599" t="s">
        <v>557</v>
      </c>
      <c r="AF670" s="599"/>
      <c r="AG670" s="599"/>
      <c r="AH670" s="599"/>
      <c r="AI670" s="599"/>
      <c r="AJ670" s="595"/>
      <c r="AK670" s="80"/>
    </row>
    <row r="671" spans="1:37" ht="14.25" customHeight="1">
      <c r="A671" s="80"/>
      <c r="B671" s="80"/>
      <c r="C671" s="80"/>
      <c r="D671" s="80"/>
      <c r="E671" s="80"/>
      <c r="F671" s="80"/>
      <c r="G671" s="182"/>
      <c r="H671" s="80"/>
      <c r="I671" s="80"/>
      <c r="J671" s="80"/>
      <c r="K671" s="80"/>
      <c r="L671" s="80"/>
      <c r="M671" s="80"/>
      <c r="N671" s="80" t="s">
        <v>261</v>
      </c>
      <c r="O671" s="80"/>
      <c r="P671" s="80" t="s">
        <v>325</v>
      </c>
      <c r="Q671" s="80"/>
      <c r="R671" s="80"/>
      <c r="S671" s="80"/>
      <c r="T671" s="80"/>
      <c r="V671" s="80"/>
      <c r="W671" s="80"/>
      <c r="X671" s="2221" t="s">
        <v>583</v>
      </c>
      <c r="Y671" s="123" t="s">
        <v>1565</v>
      </c>
      <c r="Z671" s="644">
        <v>3</v>
      </c>
      <c r="AA671" s="595">
        <v>0</v>
      </c>
      <c r="AB671" s="595">
        <f t="shared" si="9"/>
        <v>24</v>
      </c>
      <c r="AC671" s="595">
        <v>8</v>
      </c>
      <c r="AD671" s="595"/>
      <c r="AE671" s="599" t="s">
        <v>560</v>
      </c>
      <c r="AF671" s="599"/>
      <c r="AG671" s="599"/>
      <c r="AH671" s="599"/>
      <c r="AI671" s="599"/>
      <c r="AJ671" s="595"/>
      <c r="AK671" s="80"/>
    </row>
    <row r="672" spans="1:37" ht="35.25" customHeight="1" outlineLevel="1">
      <c r="A672" s="622">
        <v>107</v>
      </c>
      <c r="B672" s="622" t="s">
        <v>1502</v>
      </c>
      <c r="C672" s="622" t="s">
        <v>1566</v>
      </c>
      <c r="D672" s="622" t="s">
        <v>617</v>
      </c>
      <c r="E672" s="622">
        <v>8</v>
      </c>
      <c r="F672" s="622" t="s">
        <v>260</v>
      </c>
      <c r="G672" s="623"/>
      <c r="H672" s="622"/>
      <c r="I672" s="622"/>
      <c r="J672" s="622"/>
      <c r="K672" s="622"/>
      <c r="L672" s="622"/>
      <c r="M672" s="622"/>
      <c r="N672" s="622" t="s">
        <v>261</v>
      </c>
      <c r="O672" s="622"/>
      <c r="P672" s="622" t="s">
        <v>325</v>
      </c>
      <c r="Q672" s="622"/>
      <c r="R672" s="622"/>
      <c r="S672" s="622"/>
      <c r="T672" s="622"/>
      <c r="U672" s="622"/>
      <c r="V672" s="597"/>
      <c r="W672" s="597"/>
      <c r="X672" s="597" t="s">
        <v>974</v>
      </c>
      <c r="Y672" s="597"/>
      <c r="Z672" s="622"/>
      <c r="AA672" s="622"/>
      <c r="AB672" s="595">
        <f t="shared" si="9"/>
        <v>0</v>
      </c>
      <c r="AC672" s="622"/>
      <c r="AD672" s="622"/>
      <c r="AE672" s="608"/>
      <c r="AF672" s="622"/>
      <c r="AG672" s="622"/>
      <c r="AH672" s="622"/>
      <c r="AI672" s="622"/>
      <c r="AJ672" s="622"/>
      <c r="AK672" s="125"/>
    </row>
    <row r="673" spans="1:40" ht="14.25" customHeight="1">
      <c r="N673" s="80" t="s">
        <v>261</v>
      </c>
      <c r="O673" s="80"/>
      <c r="P673" s="80" t="s">
        <v>325</v>
      </c>
      <c r="V673" s="94"/>
      <c r="W673" s="94"/>
      <c r="X673" s="92" t="s">
        <v>619</v>
      </c>
      <c r="Y673" s="161"/>
      <c r="Z673" s="143"/>
      <c r="AA673" s="133"/>
      <c r="AB673" s="595">
        <f t="shared" ref="AB673:AB704" si="10">Z673*8+AA673</f>
        <v>0</v>
      </c>
      <c r="AC673" s="133"/>
      <c r="AD673" s="133"/>
      <c r="AE673" s="133"/>
      <c r="AF673" s="133"/>
      <c r="AG673" s="133"/>
      <c r="AH673" s="133"/>
      <c r="AI673" s="133"/>
      <c r="AJ673" s="133"/>
    </row>
    <row r="674" spans="1:40" ht="35.25" customHeight="1" outlineLevel="1">
      <c r="A674" s="622">
        <v>108</v>
      </c>
      <c r="B674" s="622" t="s">
        <v>1502</v>
      </c>
      <c r="C674" s="622" t="s">
        <v>1567</v>
      </c>
      <c r="D674" s="622" t="s">
        <v>617</v>
      </c>
      <c r="E674" s="622">
        <v>8</v>
      </c>
      <c r="F674" s="622" t="s">
        <v>260</v>
      </c>
      <c r="G674" s="623"/>
      <c r="H674" s="622"/>
      <c r="I674" s="622"/>
      <c r="J674" s="622"/>
      <c r="K674" s="622"/>
      <c r="L674" s="622"/>
      <c r="M674" s="622"/>
      <c r="N674" s="622" t="s">
        <v>325</v>
      </c>
      <c r="O674" s="622"/>
      <c r="P674" s="622" t="s">
        <v>261</v>
      </c>
      <c r="Q674" s="622"/>
      <c r="R674" s="622"/>
      <c r="S674" s="622"/>
      <c r="T674" s="622"/>
      <c r="U674" s="622"/>
      <c r="V674" s="597"/>
      <c r="W674" s="597"/>
      <c r="X674" s="597" t="s">
        <v>976</v>
      </c>
      <c r="Y674" s="597"/>
      <c r="Z674" s="622"/>
      <c r="AA674" s="622"/>
      <c r="AB674" s="595">
        <f t="shared" si="10"/>
        <v>0</v>
      </c>
      <c r="AC674" s="622"/>
      <c r="AD674" s="622"/>
      <c r="AE674" s="608"/>
      <c r="AF674" s="622"/>
      <c r="AG674" s="622"/>
      <c r="AH674" s="622"/>
      <c r="AI674" s="622"/>
      <c r="AJ674" s="622"/>
      <c r="AK674" s="125"/>
    </row>
    <row r="675" spans="1:40" ht="14.25" customHeight="1">
      <c r="N675" s="80" t="s">
        <v>325</v>
      </c>
      <c r="O675" s="80"/>
      <c r="P675" s="80" t="s">
        <v>261</v>
      </c>
      <c r="V675" s="94"/>
      <c r="W675" s="94"/>
      <c r="X675" s="92" t="s">
        <v>619</v>
      </c>
      <c r="Y675" s="161"/>
      <c r="Z675" s="143"/>
      <c r="AA675" s="133"/>
      <c r="AB675" s="595">
        <f t="shared" si="10"/>
        <v>0</v>
      </c>
      <c r="AC675" s="133"/>
      <c r="AD675" s="133"/>
      <c r="AE675" s="133"/>
      <c r="AF675" s="133"/>
      <c r="AG675" s="133"/>
      <c r="AH675" s="133"/>
      <c r="AI675" s="133"/>
      <c r="AJ675" s="133"/>
    </row>
    <row r="676" spans="1:40" s="111" customFormat="1" ht="18" customHeight="1" outlineLevel="1">
      <c r="A676" s="622">
        <v>109</v>
      </c>
      <c r="B676" s="622" t="s">
        <v>867</v>
      </c>
      <c r="C676" s="622" t="s">
        <v>1568</v>
      </c>
      <c r="D676" s="622" t="s">
        <v>259</v>
      </c>
      <c r="E676" s="622">
        <v>8</v>
      </c>
      <c r="F676" s="622" t="s">
        <v>260</v>
      </c>
      <c r="G676" s="623" t="s">
        <v>325</v>
      </c>
      <c r="H676" s="622" t="s">
        <v>325</v>
      </c>
      <c r="I676" s="622"/>
      <c r="J676" s="622"/>
      <c r="K676" s="622"/>
      <c r="L676" s="622"/>
      <c r="M676" s="622"/>
      <c r="N676" s="622"/>
      <c r="O676" s="622"/>
      <c r="P676" s="622" t="s">
        <v>261</v>
      </c>
      <c r="Q676" s="622"/>
      <c r="R676" s="622"/>
      <c r="S676" s="622"/>
      <c r="T676" s="622"/>
      <c r="U676" s="622"/>
      <c r="V676" s="597"/>
      <c r="W676" s="597"/>
      <c r="X676" s="597" t="s">
        <v>1569</v>
      </c>
      <c r="Y676" s="597"/>
      <c r="Z676" s="622"/>
      <c r="AA676" s="622"/>
      <c r="AB676" s="595">
        <f t="shared" si="10"/>
        <v>0</v>
      </c>
      <c r="AC676" s="622"/>
      <c r="AD676" s="622"/>
      <c r="AE676" s="608" t="s">
        <v>1570</v>
      </c>
      <c r="AF676" s="622"/>
      <c r="AG676" s="622"/>
      <c r="AH676" s="622"/>
      <c r="AI676" s="622"/>
      <c r="AJ676" s="622"/>
      <c r="AK676" s="125"/>
      <c r="AL676" s="108" t="s">
        <v>661</v>
      </c>
      <c r="AM676" s="49"/>
      <c r="AN676" s="49"/>
    </row>
    <row r="677" spans="1:40" s="111" customFormat="1" ht="60.75" customHeight="1" outlineLevel="1">
      <c r="A677" s="135"/>
      <c r="B677" s="135"/>
      <c r="C677" s="135"/>
      <c r="D677" s="135"/>
      <c r="E677" s="135"/>
      <c r="G677" s="358" t="s">
        <v>325</v>
      </c>
      <c r="H677" s="135" t="s">
        <v>325</v>
      </c>
      <c r="I677" s="135"/>
      <c r="J677" s="135"/>
      <c r="K677" s="135"/>
      <c r="L677" s="135"/>
      <c r="M677" s="135"/>
      <c r="N677" s="135"/>
      <c r="O677" s="135"/>
      <c r="P677" s="135" t="s">
        <v>261</v>
      </c>
      <c r="Q677" s="135"/>
      <c r="R677" s="135"/>
      <c r="S677" s="135"/>
      <c r="V677" s="358"/>
      <c r="W677" s="358"/>
      <c r="X677" s="2222" t="s">
        <v>1571</v>
      </c>
      <c r="Y677" s="228" t="s">
        <v>1572</v>
      </c>
      <c r="Z677" s="144">
        <v>0</v>
      </c>
      <c r="AA677" s="145">
        <v>0</v>
      </c>
      <c r="AB677" s="605">
        <f t="shared" si="10"/>
        <v>0</v>
      </c>
      <c r="AC677" s="145">
        <v>2</v>
      </c>
      <c r="AD677" s="145"/>
      <c r="AE677" s="2223" t="s">
        <v>1573</v>
      </c>
      <c r="AF677" s="146"/>
      <c r="AG677" s="146"/>
      <c r="AH677" s="146"/>
      <c r="AI677" s="146"/>
      <c r="AJ677" s="145"/>
      <c r="AK677" s="135"/>
    </row>
    <row r="678" spans="1:40" s="111" customFormat="1" ht="75.75" customHeight="1" outlineLevel="1">
      <c r="A678" s="135"/>
      <c r="B678" s="135"/>
      <c r="C678" s="135"/>
      <c r="D678" s="135"/>
      <c r="E678" s="135"/>
      <c r="G678" s="358" t="s">
        <v>325</v>
      </c>
      <c r="H678" s="135" t="s">
        <v>325</v>
      </c>
      <c r="I678" s="135"/>
      <c r="J678" s="135"/>
      <c r="K678" s="135"/>
      <c r="L678" s="135"/>
      <c r="M678" s="135"/>
      <c r="N678" s="135"/>
      <c r="O678" s="135"/>
      <c r="P678" s="135" t="s">
        <v>261</v>
      </c>
      <c r="Q678" s="135"/>
      <c r="R678" s="135"/>
      <c r="S678" s="135"/>
      <c r="V678" s="358"/>
      <c r="W678" s="358"/>
      <c r="X678" s="2224" t="s">
        <v>1574</v>
      </c>
      <c r="Y678" s="228" t="s">
        <v>1575</v>
      </c>
      <c r="Z678" s="144">
        <v>0</v>
      </c>
      <c r="AA678" s="145">
        <v>2</v>
      </c>
      <c r="AB678" s="605">
        <f t="shared" si="10"/>
        <v>2</v>
      </c>
      <c r="AC678" s="145">
        <v>2</v>
      </c>
      <c r="AD678" s="145"/>
      <c r="AE678" s="2225" t="s">
        <v>1576</v>
      </c>
      <c r="AF678" s="146"/>
      <c r="AG678" s="146"/>
      <c r="AH678" s="146"/>
      <c r="AI678" s="146"/>
      <c r="AJ678" s="145"/>
      <c r="AK678" s="135"/>
    </row>
    <row r="679" spans="1:40" s="111" customFormat="1" ht="45.75" customHeight="1" outlineLevel="1">
      <c r="A679" s="135"/>
      <c r="B679" s="135"/>
      <c r="C679" s="135"/>
      <c r="D679" s="135"/>
      <c r="E679" s="135"/>
      <c r="G679" s="358" t="s">
        <v>325</v>
      </c>
      <c r="H679" s="135" t="s">
        <v>325</v>
      </c>
      <c r="I679" s="135"/>
      <c r="J679" s="135"/>
      <c r="K679" s="135"/>
      <c r="L679" s="135"/>
      <c r="M679" s="135"/>
      <c r="N679" s="135"/>
      <c r="O679" s="135"/>
      <c r="P679" s="135" t="s">
        <v>261</v>
      </c>
      <c r="Q679" s="135"/>
      <c r="R679" s="135"/>
      <c r="S679" s="135"/>
      <c r="V679" s="358"/>
      <c r="W679" s="358"/>
      <c r="X679" s="2226" t="s">
        <v>1577</v>
      </c>
      <c r="Y679" s="228" t="s">
        <v>1578</v>
      </c>
      <c r="Z679" s="144">
        <v>0</v>
      </c>
      <c r="AA679" s="145">
        <v>4</v>
      </c>
      <c r="AB679" s="605">
        <f t="shared" si="10"/>
        <v>4</v>
      </c>
      <c r="AC679" s="145">
        <v>1</v>
      </c>
      <c r="AD679" s="145"/>
      <c r="AE679" s="2227" t="s">
        <v>1579</v>
      </c>
      <c r="AF679" s="146"/>
      <c r="AG679" s="146"/>
      <c r="AH679" s="146"/>
      <c r="AI679" s="146"/>
      <c r="AJ679" s="145"/>
      <c r="AK679" s="135"/>
    </row>
    <row r="680" spans="1:40" s="111" customFormat="1" ht="45.75" customHeight="1" outlineLevel="1">
      <c r="A680" s="135"/>
      <c r="B680" s="135"/>
      <c r="C680" s="135"/>
      <c r="D680" s="135"/>
      <c r="E680" s="135"/>
      <c r="G680" s="358" t="s">
        <v>325</v>
      </c>
      <c r="H680" s="135" t="s">
        <v>325</v>
      </c>
      <c r="I680" s="135"/>
      <c r="J680" s="135"/>
      <c r="K680" s="135"/>
      <c r="L680" s="135"/>
      <c r="M680" s="135"/>
      <c r="N680" s="135"/>
      <c r="O680" s="135"/>
      <c r="P680" s="135" t="s">
        <v>261</v>
      </c>
      <c r="Q680" s="135"/>
      <c r="R680" s="135"/>
      <c r="S680" s="135"/>
      <c r="V680" s="358"/>
      <c r="W680" s="358"/>
      <c r="X680" s="2228" t="s">
        <v>1580</v>
      </c>
      <c r="Y680" s="228" t="s">
        <v>1581</v>
      </c>
      <c r="Z680" s="144">
        <v>0</v>
      </c>
      <c r="AA680" s="145">
        <v>5</v>
      </c>
      <c r="AB680" s="605">
        <f t="shared" si="10"/>
        <v>5</v>
      </c>
      <c r="AC680" s="145">
        <v>1</v>
      </c>
      <c r="AD680" s="145"/>
      <c r="AE680" s="2229" t="s">
        <v>1582</v>
      </c>
      <c r="AF680" s="146"/>
      <c r="AG680" s="146"/>
      <c r="AH680" s="146"/>
      <c r="AI680" s="146"/>
      <c r="AJ680" s="145"/>
      <c r="AK680" s="135"/>
    </row>
    <row r="681" spans="1:40" s="111" customFormat="1" ht="45.75" customHeight="1" outlineLevel="1">
      <c r="A681" s="135"/>
      <c r="B681" s="135"/>
      <c r="C681" s="135"/>
      <c r="D681" s="135"/>
      <c r="E681" s="135"/>
      <c r="G681" s="358" t="s">
        <v>325</v>
      </c>
      <c r="H681" s="135" t="s">
        <v>325</v>
      </c>
      <c r="I681" s="135"/>
      <c r="J681" s="135"/>
      <c r="K681" s="135"/>
      <c r="L681" s="135"/>
      <c r="M681" s="135"/>
      <c r="N681" s="135"/>
      <c r="O681" s="135"/>
      <c r="P681" s="135" t="s">
        <v>261</v>
      </c>
      <c r="Q681" s="135"/>
      <c r="R681" s="135"/>
      <c r="S681" s="135"/>
      <c r="V681" s="358"/>
      <c r="W681" s="358"/>
      <c r="X681" s="2230" t="s">
        <v>1583</v>
      </c>
      <c r="Y681" s="228" t="s">
        <v>1584</v>
      </c>
      <c r="Z681" s="144">
        <v>0</v>
      </c>
      <c r="AA681" s="145">
        <v>6</v>
      </c>
      <c r="AB681" s="605">
        <f t="shared" si="10"/>
        <v>6</v>
      </c>
      <c r="AC681" s="145">
        <v>1</v>
      </c>
      <c r="AD681" s="145"/>
      <c r="AE681" s="2231" t="s">
        <v>1585</v>
      </c>
      <c r="AF681" s="146"/>
      <c r="AG681" s="146"/>
      <c r="AH681" s="146"/>
      <c r="AI681" s="146"/>
      <c r="AJ681" s="145"/>
      <c r="AK681" s="135"/>
    </row>
    <row r="682" spans="1:40" s="111" customFormat="1" ht="45.75" customHeight="1" outlineLevel="1">
      <c r="A682" s="135"/>
      <c r="B682" s="135"/>
      <c r="C682" s="135"/>
      <c r="D682" s="135"/>
      <c r="E682" s="135"/>
      <c r="G682" s="358" t="s">
        <v>325</v>
      </c>
      <c r="H682" s="135" t="s">
        <v>325</v>
      </c>
      <c r="I682" s="135"/>
      <c r="J682" s="135"/>
      <c r="K682" s="135"/>
      <c r="L682" s="135"/>
      <c r="M682" s="135"/>
      <c r="N682" s="135"/>
      <c r="O682" s="135"/>
      <c r="P682" s="135" t="s">
        <v>261</v>
      </c>
      <c r="Q682" s="135"/>
      <c r="R682" s="135"/>
      <c r="S682" s="135"/>
      <c r="V682" s="358"/>
      <c r="W682" s="358"/>
      <c r="X682" s="2232" t="s">
        <v>1586</v>
      </c>
      <c r="Y682" s="457" t="s">
        <v>1587</v>
      </c>
      <c r="Z682" s="144">
        <v>0</v>
      </c>
      <c r="AA682" s="145">
        <v>7</v>
      </c>
      <c r="AB682" s="605">
        <f t="shared" si="10"/>
        <v>7</v>
      </c>
      <c r="AC682" s="145">
        <v>1</v>
      </c>
      <c r="AD682" s="145"/>
      <c r="AE682" s="2233" t="s">
        <v>1585</v>
      </c>
      <c r="AF682" s="685"/>
      <c r="AG682" s="685"/>
      <c r="AH682" s="685"/>
      <c r="AI682" s="685"/>
      <c r="AJ682" s="605"/>
      <c r="AK682" s="135"/>
    </row>
    <row r="683" spans="1:40" s="111" customFormat="1" ht="45.75" customHeight="1" outlineLevel="1">
      <c r="A683" s="135"/>
      <c r="B683" s="135"/>
      <c r="C683" s="135"/>
      <c r="D683" s="135"/>
      <c r="E683" s="135"/>
      <c r="G683" s="358" t="s">
        <v>325</v>
      </c>
      <c r="H683" s="135" t="s">
        <v>325</v>
      </c>
      <c r="I683" s="135"/>
      <c r="J683" s="135"/>
      <c r="K683" s="135"/>
      <c r="L683" s="135"/>
      <c r="M683" s="135"/>
      <c r="N683" s="135"/>
      <c r="O683" s="135"/>
      <c r="P683" s="135" t="s">
        <v>261</v>
      </c>
      <c r="Q683" s="135"/>
      <c r="R683" s="135"/>
      <c r="S683" s="135"/>
      <c r="V683" s="358"/>
      <c r="W683" s="358"/>
      <c r="X683" s="2234" t="s">
        <v>1588</v>
      </c>
      <c r="Y683" s="457" t="s">
        <v>1589</v>
      </c>
      <c r="Z683" s="144">
        <v>1</v>
      </c>
      <c r="AA683" s="145">
        <v>0</v>
      </c>
      <c r="AB683" s="605">
        <f t="shared" si="10"/>
        <v>8</v>
      </c>
      <c r="AC683" s="145">
        <v>8</v>
      </c>
      <c r="AD683" s="145" t="s">
        <v>286</v>
      </c>
      <c r="AE683" s="2235" t="s">
        <v>1590</v>
      </c>
      <c r="AF683" s="605">
        <v>1</v>
      </c>
      <c r="AG683" s="605">
        <v>0</v>
      </c>
      <c r="AH683" s="605"/>
      <c r="AI683" s="643"/>
      <c r="AJ683" s="605" t="s">
        <v>452</v>
      </c>
    </row>
    <row r="684" spans="1:40" s="111" customFormat="1" ht="45.75" customHeight="1" outlineLevel="1">
      <c r="A684" s="135"/>
      <c r="B684" s="135"/>
      <c r="C684" s="135"/>
      <c r="D684" s="135"/>
      <c r="E684" s="135"/>
      <c r="G684" s="358" t="s">
        <v>325</v>
      </c>
      <c r="H684" s="135" t="s">
        <v>325</v>
      </c>
      <c r="I684" s="135"/>
      <c r="J684" s="135"/>
      <c r="K684" s="135"/>
      <c r="L684" s="135"/>
      <c r="M684" s="135"/>
      <c r="N684" s="135"/>
      <c r="O684" s="135"/>
      <c r="P684" s="135" t="s">
        <v>261</v>
      </c>
      <c r="Q684" s="135"/>
      <c r="R684" s="135"/>
      <c r="S684" s="135"/>
      <c r="V684" s="358"/>
      <c r="W684" s="358"/>
      <c r="X684" s="2236" t="s">
        <v>1591</v>
      </c>
      <c r="Y684" s="228" t="s">
        <v>1592</v>
      </c>
      <c r="Z684" s="458">
        <v>2</v>
      </c>
      <c r="AA684" s="459">
        <v>0</v>
      </c>
      <c r="AB684" s="548">
        <f t="shared" si="10"/>
        <v>16</v>
      </c>
      <c r="AC684" s="459">
        <v>8</v>
      </c>
      <c r="AD684" s="459" t="s">
        <v>286</v>
      </c>
      <c r="AE684" s="2237" t="s">
        <v>668</v>
      </c>
      <c r="AF684" s="548">
        <v>1</v>
      </c>
      <c r="AG684" s="548">
        <v>0</v>
      </c>
      <c r="AH684" s="548"/>
      <c r="AI684" s="549"/>
      <c r="AJ684" s="548" t="s">
        <v>452</v>
      </c>
    </row>
    <row r="685" spans="1:40" s="111" customFormat="1" ht="45.75" customHeight="1" outlineLevel="1">
      <c r="A685" s="135"/>
      <c r="B685" s="135"/>
      <c r="C685" s="135"/>
      <c r="D685" s="135"/>
      <c r="E685" s="135"/>
      <c r="G685" s="358"/>
      <c r="H685" s="135"/>
      <c r="I685" s="135"/>
      <c r="J685" s="135"/>
      <c r="K685" s="135"/>
      <c r="L685" s="135"/>
      <c r="M685" s="135"/>
      <c r="N685" s="135"/>
      <c r="O685" s="135"/>
      <c r="P685" s="135"/>
      <c r="Q685" s="135"/>
      <c r="R685" s="135"/>
      <c r="S685" s="135"/>
      <c r="V685" s="358"/>
      <c r="W685" s="358"/>
      <c r="X685" s="460" t="s">
        <v>1593</v>
      </c>
      <c r="Y685" s="461" t="s">
        <v>1594</v>
      </c>
      <c r="Z685" s="462">
        <v>3</v>
      </c>
      <c r="AA685" s="462">
        <v>1</v>
      </c>
      <c r="AB685" s="462">
        <v>25</v>
      </c>
      <c r="AC685" s="462">
        <v>2</v>
      </c>
      <c r="AD685" s="462" t="s">
        <v>286</v>
      </c>
      <c r="AE685" s="2238" t="s">
        <v>1595</v>
      </c>
      <c r="AF685" s="460" t="s">
        <v>398</v>
      </c>
      <c r="AG685" s="460" t="s">
        <v>398</v>
      </c>
      <c r="AH685" s="460" t="s">
        <v>398</v>
      </c>
      <c r="AI685" s="460" t="s">
        <v>398</v>
      </c>
      <c r="AJ685" s="460" t="s">
        <v>398</v>
      </c>
    </row>
    <row r="686" spans="1:40" s="111" customFormat="1" ht="30.75" customHeight="1" outlineLevel="1">
      <c r="A686" s="135"/>
      <c r="B686" s="135"/>
      <c r="C686" s="135"/>
      <c r="D686" s="135"/>
      <c r="E686" s="135"/>
      <c r="G686" s="358"/>
      <c r="H686" s="135"/>
      <c r="I686" s="135"/>
      <c r="J686" s="135"/>
      <c r="K686" s="135"/>
      <c r="L686" s="135"/>
      <c r="M686" s="135"/>
      <c r="N686" s="135"/>
      <c r="O686" s="135"/>
      <c r="P686" s="135"/>
      <c r="Q686" s="135"/>
      <c r="R686" s="135"/>
      <c r="S686" s="135"/>
      <c r="V686" s="358"/>
      <c r="W686" s="358"/>
      <c r="X686" s="2239" t="s">
        <v>1596</v>
      </c>
      <c r="Y686" s="463" t="s">
        <v>1597</v>
      </c>
      <c r="Z686" s="464">
        <v>3</v>
      </c>
      <c r="AA686" s="464">
        <v>3</v>
      </c>
      <c r="AB686" s="464">
        <v>27</v>
      </c>
      <c r="AC686" s="464">
        <v>5</v>
      </c>
      <c r="AD686" s="464"/>
      <c r="AE686" s="460" t="s">
        <v>1598</v>
      </c>
      <c r="AF686" s="460" t="s">
        <v>398</v>
      </c>
      <c r="AG686" s="460" t="s">
        <v>398</v>
      </c>
      <c r="AH686" s="460" t="s">
        <v>1599</v>
      </c>
      <c r="AI686" s="460" t="s">
        <v>398</v>
      </c>
      <c r="AJ686" s="460" t="s">
        <v>692</v>
      </c>
    </row>
    <row r="687" spans="1:40" s="111" customFormat="1" ht="30.75" customHeight="1" outlineLevel="1">
      <c r="A687" s="135"/>
      <c r="B687" s="135"/>
      <c r="C687" s="135"/>
      <c r="D687" s="135"/>
      <c r="E687" s="135"/>
      <c r="G687" s="358"/>
      <c r="H687" s="135"/>
      <c r="I687" s="135"/>
      <c r="J687" s="135"/>
      <c r="K687" s="135"/>
      <c r="L687" s="135"/>
      <c r="M687" s="135"/>
      <c r="N687" s="135"/>
      <c r="O687" s="135"/>
      <c r="P687" s="135"/>
      <c r="Q687" s="135"/>
      <c r="R687" s="135"/>
      <c r="S687" s="135"/>
      <c r="V687" s="358"/>
      <c r="W687" s="358"/>
      <c r="X687" s="2240" t="s">
        <v>1600</v>
      </c>
      <c r="Y687" s="461" t="s">
        <v>1601</v>
      </c>
      <c r="Z687" s="465">
        <v>4</v>
      </c>
      <c r="AA687" s="465">
        <v>0</v>
      </c>
      <c r="AB687" s="465">
        <v>32</v>
      </c>
      <c r="AC687" s="465">
        <v>6</v>
      </c>
      <c r="AD687" s="465"/>
      <c r="AE687" s="466" t="s">
        <v>1602</v>
      </c>
      <c r="AF687" s="466" t="s">
        <v>398</v>
      </c>
      <c r="AG687" s="466" t="s">
        <v>398</v>
      </c>
      <c r="AH687" s="466" t="s">
        <v>801</v>
      </c>
      <c r="AI687" s="466" t="s">
        <v>398</v>
      </c>
      <c r="AJ687" s="466" t="s">
        <v>1603</v>
      </c>
    </row>
    <row r="688" spans="1:40" s="111" customFormat="1" ht="30.75" customHeight="1" outlineLevel="1">
      <c r="A688" s="135"/>
      <c r="B688" s="135"/>
      <c r="C688" s="135"/>
      <c r="D688" s="135"/>
      <c r="E688" s="135"/>
      <c r="G688" s="358"/>
      <c r="H688" s="135"/>
      <c r="I688" s="135"/>
      <c r="J688" s="135"/>
      <c r="K688" s="135"/>
      <c r="L688" s="135"/>
      <c r="M688" s="135"/>
      <c r="N688" s="135"/>
      <c r="O688" s="135"/>
      <c r="P688" s="135"/>
      <c r="Q688" s="135"/>
      <c r="R688" s="135"/>
      <c r="S688" s="135"/>
      <c r="V688" s="358"/>
      <c r="W688" s="358"/>
      <c r="X688" s="2241" t="s">
        <v>1604</v>
      </c>
      <c r="Y688" s="461" t="s">
        <v>1605</v>
      </c>
      <c r="Z688" s="467">
        <v>5</v>
      </c>
      <c r="AA688" s="467">
        <v>0</v>
      </c>
      <c r="AB688" s="467">
        <v>40</v>
      </c>
      <c r="AC688" s="467">
        <v>5</v>
      </c>
      <c r="AD688" s="467"/>
      <c r="AE688" s="468" t="s">
        <v>1598</v>
      </c>
      <c r="AF688" s="468" t="s">
        <v>398</v>
      </c>
      <c r="AG688" s="468" t="s">
        <v>398</v>
      </c>
      <c r="AH688" s="468" t="s">
        <v>1599</v>
      </c>
      <c r="AI688" s="460" t="s">
        <v>398</v>
      </c>
      <c r="AJ688" s="460" t="s">
        <v>692</v>
      </c>
    </row>
    <row r="689" spans="1:40" s="111" customFormat="1" ht="30.75" customHeight="1" outlineLevel="1">
      <c r="A689" s="135"/>
      <c r="B689" s="135"/>
      <c r="C689" s="135"/>
      <c r="D689" s="135"/>
      <c r="E689" s="135"/>
      <c r="G689" s="358"/>
      <c r="H689" s="135"/>
      <c r="I689" s="135"/>
      <c r="J689" s="135"/>
      <c r="K689" s="135"/>
      <c r="L689" s="135"/>
      <c r="M689" s="135"/>
      <c r="N689" s="135"/>
      <c r="O689" s="135"/>
      <c r="P689" s="135"/>
      <c r="Q689" s="135"/>
      <c r="R689" s="135"/>
      <c r="S689" s="135"/>
      <c r="V689" s="358"/>
      <c r="W689" s="358"/>
      <c r="X689" s="2242" t="s">
        <v>1606</v>
      </c>
      <c r="Y689" s="463" t="s">
        <v>1607</v>
      </c>
      <c r="Z689" s="464">
        <v>6</v>
      </c>
      <c r="AA689" s="464">
        <v>0</v>
      </c>
      <c r="AB689" s="464">
        <v>48</v>
      </c>
      <c r="AC689" s="464">
        <v>6</v>
      </c>
      <c r="AD689" s="464"/>
      <c r="AE689" s="460" t="s">
        <v>1602</v>
      </c>
      <c r="AF689" s="460" t="s">
        <v>398</v>
      </c>
      <c r="AG689" s="460" t="s">
        <v>398</v>
      </c>
      <c r="AH689" s="460" t="s">
        <v>801</v>
      </c>
      <c r="AI689" s="469" t="s">
        <v>398</v>
      </c>
      <c r="AJ689" s="460" t="s">
        <v>1603</v>
      </c>
    </row>
    <row r="690" spans="1:40" s="111" customFormat="1" ht="30.75" customHeight="1" outlineLevel="1">
      <c r="A690" s="135"/>
      <c r="B690" s="135"/>
      <c r="C690" s="135"/>
      <c r="D690" s="135"/>
      <c r="E690" s="135"/>
      <c r="G690" s="358"/>
      <c r="H690" s="135"/>
      <c r="I690" s="135"/>
      <c r="J690" s="135"/>
      <c r="K690" s="135"/>
      <c r="L690" s="135"/>
      <c r="M690" s="135"/>
      <c r="N690" s="135"/>
      <c r="O690" s="135"/>
      <c r="P690" s="135"/>
      <c r="Q690" s="135"/>
      <c r="R690" s="135"/>
      <c r="S690" s="135"/>
      <c r="V690" s="358"/>
      <c r="W690" s="358"/>
      <c r="X690" s="2243" t="s">
        <v>1608</v>
      </c>
      <c r="Y690" s="463" t="s">
        <v>1609</v>
      </c>
      <c r="Z690" s="464">
        <v>6</v>
      </c>
      <c r="AA690" s="464">
        <v>6</v>
      </c>
      <c r="AB690" s="464">
        <v>54</v>
      </c>
      <c r="AC690" s="464">
        <v>1</v>
      </c>
      <c r="AD690" s="464"/>
      <c r="AE690" s="2244" t="s">
        <v>1610</v>
      </c>
      <c r="AF690" s="471"/>
      <c r="AG690" s="465"/>
      <c r="AH690" s="465"/>
      <c r="AI690" s="472"/>
      <c r="AJ690" s="464"/>
    </row>
    <row r="691" spans="1:40" s="113" customFormat="1" ht="14.25" customHeight="1">
      <c r="A691" s="135"/>
      <c r="B691" s="135"/>
      <c r="C691" s="135"/>
      <c r="D691" s="135"/>
      <c r="E691" s="135"/>
      <c r="F691" s="111"/>
      <c r="G691" s="358" t="s">
        <v>325</v>
      </c>
      <c r="H691" s="135" t="s">
        <v>325</v>
      </c>
      <c r="I691" s="135"/>
      <c r="J691" s="135"/>
      <c r="K691" s="135"/>
      <c r="L691" s="135"/>
      <c r="M691" s="135"/>
      <c r="N691" s="135"/>
      <c r="O691" s="135"/>
      <c r="P691" s="135" t="s">
        <v>261</v>
      </c>
      <c r="Q691" s="135"/>
      <c r="R691" s="135"/>
      <c r="S691" s="135"/>
      <c r="T691" s="111"/>
      <c r="U691" s="111"/>
      <c r="V691" s="111"/>
      <c r="W691" s="111"/>
      <c r="X691" s="2245" t="s">
        <v>1611</v>
      </c>
      <c r="Y691" s="470" t="s">
        <v>1612</v>
      </c>
      <c r="Z691" s="473">
        <v>7</v>
      </c>
      <c r="AA691" s="474">
        <v>0</v>
      </c>
      <c r="AB691" s="464">
        <f>Z691*8+AA691</f>
        <v>56</v>
      </c>
      <c r="AC691" s="474">
        <v>8</v>
      </c>
      <c r="AD691" s="470"/>
      <c r="AE691" s="2246" t="s">
        <v>1613</v>
      </c>
      <c r="AF691" s="651"/>
      <c r="AG691" s="685"/>
      <c r="AH691" s="685"/>
      <c r="AI691" s="685"/>
      <c r="AJ691" s="605"/>
      <c r="AK691" s="135"/>
      <c r="AL691" s="111"/>
      <c r="AM691" s="111"/>
      <c r="AN691" s="111"/>
    </row>
    <row r="692" spans="1:40" s="108" customFormat="1" ht="18" customHeight="1">
      <c r="A692" s="622" t="s">
        <v>1614</v>
      </c>
      <c r="B692" s="622" t="s">
        <v>867</v>
      </c>
      <c r="C692" s="622" t="s">
        <v>1615</v>
      </c>
      <c r="D692" s="622" t="s">
        <v>259</v>
      </c>
      <c r="E692" s="622">
        <v>8</v>
      </c>
      <c r="F692" s="622" t="s">
        <v>260</v>
      </c>
      <c r="G692" s="623"/>
      <c r="H692" s="622" t="s">
        <v>325</v>
      </c>
      <c r="I692" s="622"/>
      <c r="J692" s="622"/>
      <c r="K692" s="622"/>
      <c r="L692" s="622"/>
      <c r="M692" s="622"/>
      <c r="N692" s="622"/>
      <c r="O692" s="622"/>
      <c r="P692" s="622" t="s">
        <v>261</v>
      </c>
      <c r="Q692" s="622"/>
      <c r="R692" s="622"/>
      <c r="S692" s="622"/>
      <c r="T692" s="622"/>
      <c r="U692" s="622"/>
      <c r="V692" s="536"/>
      <c r="W692" s="536"/>
      <c r="X692" s="410" t="s">
        <v>1616</v>
      </c>
      <c r="Y692" s="125"/>
      <c r="Z692" s="125"/>
      <c r="AA692" s="125"/>
      <c r="AB692" s="415">
        <f>Z692*8+AA692</f>
        <v>0</v>
      </c>
      <c r="AC692" s="125"/>
      <c r="AD692" s="125"/>
      <c r="AE692" s="125"/>
      <c r="AF692" s="125"/>
      <c r="AG692" s="125"/>
      <c r="AH692" s="125"/>
      <c r="AI692" s="125"/>
      <c r="AJ692" s="125"/>
      <c r="AK692" s="125"/>
      <c r="AM692" s="113"/>
      <c r="AN692" s="113"/>
    </row>
    <row r="693" spans="1:40" s="108" customFormat="1" ht="57.75" customHeight="1">
      <c r="A693" s="695"/>
      <c r="B693" s="695"/>
      <c r="C693" s="695"/>
      <c r="D693" s="695"/>
      <c r="E693" s="695"/>
      <c r="F693" s="695"/>
      <c r="G693" s="714"/>
      <c r="H693" s="695"/>
      <c r="I693" s="695"/>
      <c r="J693" s="695"/>
      <c r="K693" s="695"/>
      <c r="L693" s="695"/>
      <c r="M693" s="695"/>
      <c r="N693" s="695"/>
      <c r="O693" s="695"/>
      <c r="P693" s="695"/>
      <c r="Q693" s="695"/>
      <c r="R693" s="695"/>
      <c r="S693" s="695"/>
      <c r="T693" s="695"/>
      <c r="U693" s="695"/>
      <c r="V693" s="550"/>
      <c r="W693" s="551"/>
      <c r="X693" s="2247" t="s">
        <v>1617</v>
      </c>
      <c r="Y693" s="45" t="s">
        <v>1618</v>
      </c>
      <c r="Z693" s="45">
        <v>0</v>
      </c>
      <c r="AA693" s="45">
        <v>0</v>
      </c>
      <c r="AB693" s="45">
        <v>0</v>
      </c>
      <c r="AC693" s="45">
        <v>2</v>
      </c>
      <c r="AD693" s="45"/>
      <c r="AE693" s="2248" t="s">
        <v>1619</v>
      </c>
      <c r="AF693" s="45"/>
      <c r="AG693" s="45">
        <v>0</v>
      </c>
      <c r="AH693" s="45" t="s">
        <v>780</v>
      </c>
      <c r="AI693" s="196"/>
      <c r="AJ693" s="45"/>
      <c r="AK693" s="175"/>
    </row>
    <row r="694" spans="1:40" s="108" customFormat="1" ht="45.75" customHeight="1">
      <c r="A694" s="695"/>
      <c r="B694" s="695"/>
      <c r="C694" s="695"/>
      <c r="D694" s="695"/>
      <c r="E694" s="695"/>
      <c r="F694" s="695"/>
      <c r="G694" s="714"/>
      <c r="H694" s="695"/>
      <c r="I694" s="695"/>
      <c r="J694" s="695"/>
      <c r="K694" s="695"/>
      <c r="L694" s="695"/>
      <c r="M694" s="695"/>
      <c r="N694" s="695"/>
      <c r="O694" s="695"/>
      <c r="P694" s="695"/>
      <c r="Q694" s="695"/>
      <c r="R694" s="695"/>
      <c r="S694" s="695"/>
      <c r="T694" s="695"/>
      <c r="U694" s="695"/>
      <c r="V694" s="550"/>
      <c r="W694" s="551"/>
      <c r="X694" s="2249" t="s">
        <v>1620</v>
      </c>
      <c r="Y694" s="45" t="s">
        <v>1621</v>
      </c>
      <c r="Z694" s="45">
        <v>0</v>
      </c>
      <c r="AA694" s="45">
        <v>2</v>
      </c>
      <c r="AB694" s="45">
        <v>2</v>
      </c>
      <c r="AC694" s="45">
        <v>6</v>
      </c>
      <c r="AD694" s="45"/>
      <c r="AE694" s="412" t="s">
        <v>1622</v>
      </c>
      <c r="AF694" s="45"/>
      <c r="AG694" s="45">
        <v>0</v>
      </c>
      <c r="AH694" s="45" t="s">
        <v>767</v>
      </c>
      <c r="AI694" s="196"/>
      <c r="AJ694" s="413" t="s">
        <v>768</v>
      </c>
      <c r="AK694" s="175"/>
    </row>
    <row r="695" spans="1:40" s="108" customFormat="1" ht="45.75" customHeight="1">
      <c r="A695" s="695"/>
      <c r="B695" s="695"/>
      <c r="C695" s="695"/>
      <c r="D695" s="695"/>
      <c r="E695" s="695"/>
      <c r="F695" s="695"/>
      <c r="G695" s="714"/>
      <c r="H695" s="695"/>
      <c r="I695" s="695"/>
      <c r="J695" s="695"/>
      <c r="K695" s="695"/>
      <c r="L695" s="695"/>
      <c r="M695" s="695"/>
      <c r="N695" s="695"/>
      <c r="O695" s="695"/>
      <c r="P695" s="695"/>
      <c r="Q695" s="695"/>
      <c r="R695" s="695"/>
      <c r="S695" s="695"/>
      <c r="T695" s="695"/>
      <c r="U695" s="695"/>
      <c r="V695" s="550"/>
      <c r="W695" s="551"/>
      <c r="X695" s="2250" t="s">
        <v>1623</v>
      </c>
      <c r="Y695" s="45" t="s">
        <v>1624</v>
      </c>
      <c r="Z695" s="45">
        <v>1</v>
      </c>
      <c r="AA695" s="45">
        <v>0</v>
      </c>
      <c r="AB695" s="45">
        <v>8</v>
      </c>
      <c r="AC695" s="45">
        <v>8</v>
      </c>
      <c r="AD695" s="45"/>
      <c r="AE695" s="348" t="s">
        <v>695</v>
      </c>
      <c r="AF695" s="349">
        <v>1</v>
      </c>
      <c r="AG695" s="349">
        <v>0</v>
      </c>
      <c r="AH695" s="439">
        <v>45960</v>
      </c>
      <c r="AI695" s="405">
        <v>0</v>
      </c>
      <c r="AJ695" s="349" t="s">
        <v>409</v>
      </c>
      <c r="AK695" s="175"/>
    </row>
    <row r="696" spans="1:40" s="108" customFormat="1" ht="30.75" customHeight="1">
      <c r="A696" s="695"/>
      <c r="B696" s="695"/>
      <c r="C696" s="695"/>
      <c r="D696" s="695"/>
      <c r="E696" s="695"/>
      <c r="F696" s="695"/>
      <c r="G696" s="714"/>
      <c r="H696" s="695"/>
      <c r="I696" s="695"/>
      <c r="J696" s="695"/>
      <c r="K696" s="695"/>
      <c r="L696" s="695"/>
      <c r="M696" s="695"/>
      <c r="N696" s="695"/>
      <c r="O696" s="695"/>
      <c r="P696" s="695"/>
      <c r="Q696" s="695"/>
      <c r="R696" s="695"/>
      <c r="S696" s="695"/>
      <c r="T696" s="695"/>
      <c r="U696" s="695"/>
      <c r="V696" s="550"/>
      <c r="W696" s="551"/>
      <c r="X696" s="203" t="s">
        <v>1625</v>
      </c>
      <c r="Y696" s="203" t="s">
        <v>1626</v>
      </c>
      <c r="Z696" s="203">
        <v>2</v>
      </c>
      <c r="AA696" s="203">
        <v>0</v>
      </c>
      <c r="AB696" s="203">
        <v>16</v>
      </c>
      <c r="AC696" s="203">
        <v>1</v>
      </c>
      <c r="AD696" s="203"/>
      <c r="AE696" s="2251" t="s">
        <v>1627</v>
      </c>
      <c r="AF696" s="408"/>
      <c r="AG696" s="349"/>
      <c r="AH696" s="439"/>
      <c r="AI696" s="454"/>
      <c r="AJ696" s="409"/>
      <c r="AK696" s="175"/>
    </row>
    <row r="697" spans="1:40" s="108" customFormat="1" ht="30.75" customHeight="1">
      <c r="A697" s="695"/>
      <c r="B697" s="695"/>
      <c r="C697" s="695"/>
      <c r="D697" s="695"/>
      <c r="E697" s="695"/>
      <c r="F697" s="695"/>
      <c r="G697" s="714"/>
      <c r="H697" s="695"/>
      <c r="I697" s="695"/>
      <c r="J697" s="695"/>
      <c r="K697" s="695"/>
      <c r="L697" s="695"/>
      <c r="M697" s="695"/>
      <c r="N697" s="695"/>
      <c r="O697" s="695"/>
      <c r="P697" s="695"/>
      <c r="Q697" s="695"/>
      <c r="R697" s="695"/>
      <c r="S697" s="695"/>
      <c r="T697" s="695"/>
      <c r="U697" s="695"/>
      <c r="V697" s="550"/>
      <c r="W697" s="551"/>
      <c r="X697" s="203" t="s">
        <v>1628</v>
      </c>
      <c r="Y697" s="203" t="s">
        <v>1629</v>
      </c>
      <c r="Z697" s="203">
        <v>2</v>
      </c>
      <c r="AA697" s="203">
        <v>1</v>
      </c>
      <c r="AB697" s="203">
        <v>17</v>
      </c>
      <c r="AC697" s="203">
        <v>1</v>
      </c>
      <c r="AD697" s="203"/>
      <c r="AE697" s="2252" t="s">
        <v>1630</v>
      </c>
      <c r="AF697" s="406"/>
      <c r="AG697" s="403" t="s">
        <v>398</v>
      </c>
      <c r="AH697" s="403"/>
      <c r="AI697" s="414" t="s">
        <v>398</v>
      </c>
      <c r="AJ697" s="411" t="s">
        <v>1603</v>
      </c>
      <c r="AK697" s="175"/>
    </row>
    <row r="698" spans="1:40" s="108" customFormat="1" ht="46.7" customHeight="1">
      <c r="A698" s="695"/>
      <c r="B698" s="695"/>
      <c r="C698" s="695"/>
      <c r="D698" s="695"/>
      <c r="E698" s="695"/>
      <c r="F698" s="695"/>
      <c r="G698" s="714"/>
      <c r="H698" s="695"/>
      <c r="I698" s="695"/>
      <c r="J698" s="695"/>
      <c r="K698" s="695"/>
      <c r="L698" s="695"/>
      <c r="M698" s="695"/>
      <c r="N698" s="695"/>
      <c r="O698" s="695"/>
      <c r="P698" s="695"/>
      <c r="Q698" s="695"/>
      <c r="R698" s="695"/>
      <c r="S698" s="695"/>
      <c r="T698" s="695"/>
      <c r="U698" s="695"/>
      <c r="V698" s="550"/>
      <c r="W698" s="551"/>
      <c r="X698" s="2253" t="s">
        <v>1631</v>
      </c>
      <c r="Y698" s="45" t="s">
        <v>1632</v>
      </c>
      <c r="Z698" s="45">
        <v>3</v>
      </c>
      <c r="AA698" s="45">
        <v>0</v>
      </c>
      <c r="AB698" s="45">
        <v>24</v>
      </c>
      <c r="AC698" s="45">
        <v>1</v>
      </c>
      <c r="AD698" s="45"/>
      <c r="AE698" s="2254" t="s">
        <v>1633</v>
      </c>
      <c r="AF698" s="45"/>
      <c r="AG698" s="45">
        <v>0</v>
      </c>
      <c r="AH698" s="45" t="s">
        <v>780</v>
      </c>
      <c r="AI698" s="196"/>
      <c r="AJ698" s="45"/>
      <c r="AK698" s="175"/>
    </row>
    <row r="699" spans="1:40" s="108" customFormat="1" ht="45.75" customHeight="1">
      <c r="A699" s="695"/>
      <c r="B699" s="695"/>
      <c r="C699" s="695"/>
      <c r="D699" s="695"/>
      <c r="E699" s="695"/>
      <c r="F699" s="695"/>
      <c r="G699" s="714"/>
      <c r="H699" s="695"/>
      <c r="I699" s="695"/>
      <c r="J699" s="695"/>
      <c r="K699" s="695"/>
      <c r="L699" s="695"/>
      <c r="M699" s="695"/>
      <c r="N699" s="695"/>
      <c r="O699" s="695"/>
      <c r="P699" s="695"/>
      <c r="Q699" s="695"/>
      <c r="R699" s="695"/>
      <c r="S699" s="695"/>
      <c r="T699" s="695"/>
      <c r="U699" s="695"/>
      <c r="V699" s="550"/>
      <c r="W699" s="551"/>
      <c r="X699" s="2255" t="s">
        <v>1634</v>
      </c>
      <c r="Y699" s="45" t="s">
        <v>1635</v>
      </c>
      <c r="Z699" s="45">
        <v>3</v>
      </c>
      <c r="AA699" s="45">
        <v>1</v>
      </c>
      <c r="AB699" s="45">
        <v>25</v>
      </c>
      <c r="AC699" s="45">
        <v>5</v>
      </c>
      <c r="AD699" s="45"/>
      <c r="AE699" s="412" t="s">
        <v>1636</v>
      </c>
      <c r="AF699" s="45">
        <v>1</v>
      </c>
      <c r="AG699" s="45">
        <v>-40</v>
      </c>
      <c r="AH699" s="416" t="s">
        <v>1637</v>
      </c>
      <c r="AI699" s="196"/>
      <c r="AJ699" s="413" t="s">
        <v>768</v>
      </c>
      <c r="AK699" s="175"/>
    </row>
    <row r="700" spans="1:40" s="108" customFormat="1" ht="45.75" customHeight="1">
      <c r="A700" s="695"/>
      <c r="B700" s="695"/>
      <c r="C700" s="695"/>
      <c r="D700" s="695"/>
      <c r="E700" s="695"/>
      <c r="F700" s="695"/>
      <c r="G700" s="714"/>
      <c r="H700" s="695"/>
      <c r="I700" s="695"/>
      <c r="J700" s="695"/>
      <c r="K700" s="695"/>
      <c r="L700" s="695"/>
      <c r="M700" s="695"/>
      <c r="N700" s="695"/>
      <c r="O700" s="695"/>
      <c r="P700" s="695"/>
      <c r="Q700" s="695"/>
      <c r="R700" s="695"/>
      <c r="S700" s="695"/>
      <c r="T700" s="695"/>
      <c r="U700" s="695"/>
      <c r="V700" s="550"/>
      <c r="W700" s="551"/>
      <c r="X700" s="2256" t="s">
        <v>1638</v>
      </c>
      <c r="Y700" s="45" t="s">
        <v>1639</v>
      </c>
      <c r="Z700" s="45">
        <v>3</v>
      </c>
      <c r="AA700" s="45">
        <v>6</v>
      </c>
      <c r="AB700" s="45">
        <v>30</v>
      </c>
      <c r="AC700" s="45">
        <v>1</v>
      </c>
      <c r="AD700" s="45"/>
      <c r="AE700" s="2257" t="s">
        <v>1640</v>
      </c>
      <c r="AF700" s="45"/>
      <c r="AG700" s="45"/>
      <c r="AH700" s="416"/>
      <c r="AI700" s="196"/>
      <c r="AJ700" s="413"/>
      <c r="AK700" s="175"/>
    </row>
    <row r="701" spans="1:40" s="108" customFormat="1" ht="30.75" customHeight="1">
      <c r="A701" s="695"/>
      <c r="B701" s="695"/>
      <c r="C701" s="695"/>
      <c r="D701" s="695"/>
      <c r="E701" s="695"/>
      <c r="F701" s="695"/>
      <c r="G701" s="714"/>
      <c r="H701" s="695"/>
      <c r="I701" s="695"/>
      <c r="J701" s="695"/>
      <c r="K701" s="695"/>
      <c r="L701" s="695"/>
      <c r="M701" s="695"/>
      <c r="N701" s="695"/>
      <c r="O701" s="695"/>
      <c r="P701" s="695"/>
      <c r="Q701" s="695"/>
      <c r="R701" s="695"/>
      <c r="S701" s="695"/>
      <c r="T701" s="695"/>
      <c r="U701" s="695"/>
      <c r="V701" s="550"/>
      <c r="W701" s="551"/>
      <c r="X701" s="2258" t="s">
        <v>1641</v>
      </c>
      <c r="Y701" s="1331" t="s">
        <v>1642</v>
      </c>
      <c r="Z701" s="1331">
        <v>4</v>
      </c>
      <c r="AA701" s="1331">
        <v>0</v>
      </c>
      <c r="AB701" s="1331">
        <v>32</v>
      </c>
      <c r="AC701" s="1331">
        <v>5</v>
      </c>
      <c r="AD701" s="1331"/>
      <c r="AE701" s="1331" t="s">
        <v>1598</v>
      </c>
      <c r="AF701" s="1331"/>
      <c r="AG701" s="1331" t="s">
        <v>398</v>
      </c>
      <c r="AH701" s="1331" t="s">
        <v>1599</v>
      </c>
      <c r="AI701" s="429" t="s">
        <v>398</v>
      </c>
      <c r="AJ701" s="1331" t="s">
        <v>692</v>
      </c>
      <c r="AK701" s="175"/>
    </row>
    <row r="702" spans="1:40" s="108" customFormat="1" ht="30.75" customHeight="1">
      <c r="A702" s="695"/>
      <c r="B702" s="695"/>
      <c r="C702" s="695"/>
      <c r="D702" s="695"/>
      <c r="E702" s="695"/>
      <c r="F702" s="695"/>
      <c r="G702" s="714"/>
      <c r="H702" s="695"/>
      <c r="I702" s="695"/>
      <c r="J702" s="695"/>
      <c r="K702" s="695"/>
      <c r="L702" s="695"/>
      <c r="M702" s="695"/>
      <c r="N702" s="695"/>
      <c r="O702" s="695"/>
      <c r="P702" s="695"/>
      <c r="Q702" s="695"/>
      <c r="R702" s="695"/>
      <c r="S702" s="695"/>
      <c r="T702" s="695"/>
      <c r="U702" s="695"/>
      <c r="V702" s="550"/>
      <c r="W702" s="551"/>
      <c r="X702" s="2259" t="s">
        <v>1643</v>
      </c>
      <c r="Y702" s="1373" t="s">
        <v>1644</v>
      </c>
      <c r="Z702" s="1373">
        <v>5</v>
      </c>
      <c r="AA702" s="1373">
        <v>0</v>
      </c>
      <c r="AB702" s="1373">
        <v>40</v>
      </c>
      <c r="AC702" s="1373">
        <v>6</v>
      </c>
      <c r="AD702" s="1373"/>
      <c r="AE702" s="1373" t="s">
        <v>1602</v>
      </c>
      <c r="AF702" s="1373"/>
      <c r="AG702" s="1373" t="s">
        <v>398</v>
      </c>
      <c r="AH702" s="1373" t="s">
        <v>801</v>
      </c>
      <c r="AI702" s="1373" t="s">
        <v>398</v>
      </c>
      <c r="AJ702" s="1373" t="s">
        <v>1603</v>
      </c>
      <c r="AK702" s="175"/>
    </row>
    <row r="703" spans="1:40" s="108" customFormat="1" ht="45.75" customHeight="1">
      <c r="A703" s="695"/>
      <c r="B703" s="695"/>
      <c r="C703" s="695"/>
      <c r="D703" s="695"/>
      <c r="E703" s="695"/>
      <c r="F703" s="695"/>
      <c r="G703" s="714"/>
      <c r="H703" s="695"/>
      <c r="I703" s="695"/>
      <c r="J703" s="695"/>
      <c r="K703" s="695"/>
      <c r="L703" s="695"/>
      <c r="M703" s="695"/>
      <c r="N703" s="695"/>
      <c r="O703" s="695"/>
      <c r="P703" s="695"/>
      <c r="Q703" s="695"/>
      <c r="R703" s="695"/>
      <c r="S703" s="695"/>
      <c r="T703" s="695"/>
      <c r="U703" s="695"/>
      <c r="V703" s="550"/>
      <c r="W703" s="551"/>
      <c r="X703" s="2260" t="s">
        <v>1645</v>
      </c>
      <c r="Y703" s="1373" t="s">
        <v>1646</v>
      </c>
      <c r="Z703" s="1373">
        <v>5</v>
      </c>
      <c r="AA703" s="1373">
        <v>6</v>
      </c>
      <c r="AB703" s="1373">
        <v>46</v>
      </c>
      <c r="AC703" s="1373">
        <v>2</v>
      </c>
      <c r="AD703" s="1373"/>
      <c r="AE703" s="2261" t="s">
        <v>1595</v>
      </c>
      <c r="AF703" s="1373"/>
      <c r="AG703" s="1373" t="s">
        <v>398</v>
      </c>
      <c r="AH703" s="1373" t="s">
        <v>398</v>
      </c>
      <c r="AI703" s="1373" t="s">
        <v>398</v>
      </c>
      <c r="AJ703" s="1373" t="s">
        <v>398</v>
      </c>
      <c r="AK703" s="175"/>
    </row>
    <row r="704" spans="1:40" s="108" customFormat="1" ht="14.25" customHeight="1">
      <c r="A704" s="695"/>
      <c r="B704" s="695"/>
      <c r="C704" s="695"/>
      <c r="D704" s="695"/>
      <c r="E704" s="695"/>
      <c r="F704" s="695"/>
      <c r="G704" s="714"/>
      <c r="H704" s="695"/>
      <c r="I704" s="695"/>
      <c r="J704" s="695"/>
      <c r="K704" s="695"/>
      <c r="L704" s="695"/>
      <c r="M704" s="695"/>
      <c r="N704" s="695"/>
      <c r="O704" s="695"/>
      <c r="P704" s="695"/>
      <c r="Q704" s="695"/>
      <c r="R704" s="695"/>
      <c r="S704" s="695"/>
      <c r="T704" s="695"/>
      <c r="U704" s="695"/>
      <c r="V704" s="550"/>
      <c r="W704" s="551"/>
      <c r="X704" s="2262" t="s">
        <v>1647</v>
      </c>
      <c r="Y704" s="1373" t="s">
        <v>1648</v>
      </c>
      <c r="Z704" s="1373">
        <v>6</v>
      </c>
      <c r="AA704" s="1373">
        <v>0</v>
      </c>
      <c r="AB704" s="1373">
        <v>48</v>
      </c>
      <c r="AC704" s="1373">
        <v>8</v>
      </c>
      <c r="AD704" s="1373"/>
      <c r="AE704" s="1373"/>
      <c r="AF704" s="1420">
        <v>1</v>
      </c>
      <c r="AG704" s="1420">
        <v>0</v>
      </c>
      <c r="AH704" s="1420" t="s">
        <v>696</v>
      </c>
      <c r="AI704" s="1420">
        <v>0</v>
      </c>
      <c r="AJ704" s="1420" t="s">
        <v>409</v>
      </c>
      <c r="AK704" s="175"/>
    </row>
    <row r="705" spans="1:40" s="113" customFormat="1" ht="43.5" customHeight="1">
      <c r="A705" s="695"/>
      <c r="B705" s="695"/>
      <c r="C705" s="695"/>
      <c r="D705" s="695"/>
      <c r="E705" s="695"/>
      <c r="F705" s="695"/>
      <c r="G705" s="714"/>
      <c r="H705" s="695"/>
      <c r="I705" s="695"/>
      <c r="J705" s="695"/>
      <c r="K705" s="695"/>
      <c r="L705" s="695"/>
      <c r="M705" s="695"/>
      <c r="N705" s="695"/>
      <c r="O705" s="695"/>
      <c r="P705" s="695"/>
      <c r="Q705" s="695"/>
      <c r="R705" s="695"/>
      <c r="S705" s="695"/>
      <c r="T705" s="695"/>
      <c r="U705" s="695"/>
      <c r="V705" s="550"/>
      <c r="W705" s="551"/>
      <c r="X705" s="2263" t="s">
        <v>1649</v>
      </c>
      <c r="Y705" s="1376" t="s">
        <v>1650</v>
      </c>
      <c r="Z705" s="1450">
        <v>7</v>
      </c>
      <c r="AA705" s="1450">
        <v>0</v>
      </c>
      <c r="AB705" s="1450">
        <v>56</v>
      </c>
      <c r="AC705" s="1450">
        <v>2</v>
      </c>
      <c r="AD705" s="1450"/>
      <c r="AE705" s="2264" t="s">
        <v>1651</v>
      </c>
      <c r="AF705" s="1330">
        <v>1</v>
      </c>
      <c r="AG705" s="1330">
        <v>0</v>
      </c>
      <c r="AH705" s="1330"/>
      <c r="AI705" s="1330">
        <v>2</v>
      </c>
      <c r="AJ705" s="1330"/>
      <c r="AK705" s="175"/>
      <c r="AL705" s="108"/>
      <c r="AM705" s="108"/>
      <c r="AN705" s="108"/>
    </row>
    <row r="706" spans="1:40" s="113" customFormat="1" ht="14.25" customHeight="1">
      <c r="A706" s="695"/>
      <c r="B706" s="695"/>
      <c r="C706" s="695"/>
      <c r="D706" s="695"/>
      <c r="E706" s="695"/>
      <c r="F706" s="695"/>
      <c r="G706" s="714"/>
      <c r="H706" s="695"/>
      <c r="I706" s="695"/>
      <c r="J706" s="695"/>
      <c r="K706" s="695"/>
      <c r="L706" s="695"/>
      <c r="M706" s="695"/>
      <c r="N706" s="695"/>
      <c r="O706" s="695"/>
      <c r="P706" s="695"/>
      <c r="Q706" s="695"/>
      <c r="R706" s="695"/>
      <c r="S706" s="695"/>
      <c r="T706" s="695"/>
      <c r="U706" s="695"/>
      <c r="V706" s="550"/>
      <c r="W706" s="551"/>
      <c r="X706" s="695"/>
      <c r="Y706" s="695"/>
      <c r="Z706" s="695"/>
      <c r="AA706" s="695"/>
      <c r="AB706" s="1190"/>
      <c r="AC706" s="695"/>
      <c r="AD706" s="695"/>
      <c r="AE706" s="695"/>
      <c r="AF706" s="695"/>
      <c r="AG706" s="695"/>
      <c r="AH706" s="695"/>
      <c r="AI706" s="695"/>
      <c r="AJ706" s="695"/>
      <c r="AK706" s="175"/>
      <c r="AL706" s="108"/>
      <c r="AM706" s="108"/>
      <c r="AN706" s="108"/>
    </row>
    <row r="707" spans="1:40" ht="18" customHeight="1" outlineLevel="1">
      <c r="A707" s="622" t="s">
        <v>1614</v>
      </c>
      <c r="B707" s="622" t="s">
        <v>867</v>
      </c>
      <c r="C707" s="622" t="s">
        <v>1652</v>
      </c>
      <c r="D707" s="622" t="s">
        <v>401</v>
      </c>
      <c r="E707" s="622">
        <v>8</v>
      </c>
      <c r="F707" s="622" t="s">
        <v>260</v>
      </c>
      <c r="G707" s="623"/>
      <c r="H707" s="622" t="s">
        <v>325</v>
      </c>
      <c r="I707" s="622"/>
      <c r="J707" s="622"/>
      <c r="K707" s="622"/>
      <c r="L707" s="622"/>
      <c r="M707" s="622"/>
      <c r="N707" s="622"/>
      <c r="O707" s="622"/>
      <c r="P707" s="622" t="s">
        <v>261</v>
      </c>
      <c r="Q707" s="622"/>
      <c r="R707" s="622"/>
      <c r="S707" s="622"/>
      <c r="T707" s="622"/>
      <c r="U707" s="622"/>
      <c r="V707" s="597"/>
      <c r="W707" s="597"/>
      <c r="X707" s="1202" t="s">
        <v>1653</v>
      </c>
      <c r="Y707" s="1202"/>
      <c r="Z707" s="410"/>
      <c r="AA707" s="410"/>
      <c r="AB707" s="415">
        <f>Z707*8+AA707</f>
        <v>0</v>
      </c>
      <c r="AC707" s="410"/>
      <c r="AD707" s="410"/>
      <c r="AE707" s="1433"/>
      <c r="AF707" s="1260"/>
      <c r="AG707" s="1260"/>
      <c r="AH707" s="1260"/>
      <c r="AI707" s="1260"/>
      <c r="AJ707" s="1260"/>
      <c r="AK707" s="125"/>
      <c r="AL707" s="108" t="s">
        <v>1654</v>
      </c>
      <c r="AM707" s="113"/>
      <c r="AN707" s="113"/>
    </row>
    <row r="708" spans="1:40" ht="15.75" customHeight="1" outlineLevel="1">
      <c r="A708" s="135"/>
      <c r="B708" s="135"/>
      <c r="C708" s="135"/>
      <c r="D708" s="135"/>
      <c r="E708" s="135"/>
      <c r="F708" s="111"/>
      <c r="G708" s="358"/>
      <c r="H708" s="135" t="s">
        <v>325</v>
      </c>
      <c r="I708" s="135"/>
      <c r="J708" s="135"/>
      <c r="K708" s="135"/>
      <c r="L708" s="135"/>
      <c r="M708" s="135"/>
      <c r="N708" s="135"/>
      <c r="O708" s="135"/>
      <c r="P708" s="135" t="s">
        <v>261</v>
      </c>
      <c r="Q708" s="135"/>
      <c r="R708" s="135"/>
      <c r="S708" s="135"/>
      <c r="T708" s="111"/>
      <c r="U708" s="111"/>
      <c r="V708" s="185"/>
      <c r="W708" s="185"/>
      <c r="X708" s="715" t="s">
        <v>1655</v>
      </c>
      <c r="Y708" s="715" t="s">
        <v>1656</v>
      </c>
      <c r="Z708" s="715">
        <v>0</v>
      </c>
      <c r="AA708" s="715">
        <v>0</v>
      </c>
      <c r="AB708" s="877">
        <v>0</v>
      </c>
      <c r="AC708" s="877">
        <v>1</v>
      </c>
      <c r="AD708" s="1420"/>
      <c r="AE708" s="1304" t="s">
        <v>1657</v>
      </c>
      <c r="AF708" s="70"/>
      <c r="AG708" s="70"/>
      <c r="AH708" s="70"/>
      <c r="AI708" s="70"/>
      <c r="AJ708" s="71"/>
      <c r="AK708" s="80"/>
    </row>
    <row r="709" spans="1:40" ht="14.25" customHeight="1" outlineLevel="1">
      <c r="A709" s="135"/>
      <c r="B709" s="135"/>
      <c r="C709" s="135"/>
      <c r="D709" s="135"/>
      <c r="E709" s="135"/>
      <c r="F709" s="111"/>
      <c r="G709" s="358"/>
      <c r="H709" s="135" t="s">
        <v>325</v>
      </c>
      <c r="I709" s="135"/>
      <c r="J709" s="135"/>
      <c r="K709" s="135"/>
      <c r="L709" s="135"/>
      <c r="M709" s="135"/>
      <c r="N709" s="135"/>
      <c r="O709" s="135"/>
      <c r="P709" s="135" t="s">
        <v>261</v>
      </c>
      <c r="Q709" s="135"/>
      <c r="R709" s="135"/>
      <c r="S709" s="135"/>
      <c r="T709" s="111"/>
      <c r="U709" s="111"/>
      <c r="V709" s="185"/>
      <c r="W709" s="185"/>
      <c r="X709" s="715" t="s">
        <v>1658</v>
      </c>
      <c r="Y709" s="715" t="s">
        <v>1659</v>
      </c>
      <c r="Z709" s="715">
        <v>0</v>
      </c>
      <c r="AA709" s="715">
        <v>1</v>
      </c>
      <c r="AB709" s="877">
        <v>1</v>
      </c>
      <c r="AC709" s="877">
        <v>1</v>
      </c>
      <c r="AD709" s="1420"/>
      <c r="AE709" s="1304" t="s">
        <v>1660</v>
      </c>
      <c r="AF709" s="70"/>
      <c r="AG709" s="70"/>
      <c r="AH709" s="70"/>
      <c r="AI709" s="70"/>
      <c r="AJ709" s="595"/>
      <c r="AK709" s="80"/>
      <c r="AL709" s="108" t="s">
        <v>1661</v>
      </c>
    </row>
    <row r="710" spans="1:40" s="113" customFormat="1" ht="14.25" customHeight="1">
      <c r="A710" s="135"/>
      <c r="B710" s="135"/>
      <c r="C710" s="135"/>
      <c r="D710" s="135"/>
      <c r="E710" s="135"/>
      <c r="F710" s="111"/>
      <c r="G710" s="358"/>
      <c r="H710" s="135" t="s">
        <v>325</v>
      </c>
      <c r="I710" s="135"/>
      <c r="J710" s="135"/>
      <c r="K710" s="135"/>
      <c r="L710" s="135"/>
      <c r="M710" s="135"/>
      <c r="N710" s="135"/>
      <c r="O710" s="135"/>
      <c r="P710" s="135" t="s">
        <v>261</v>
      </c>
      <c r="Q710" s="135"/>
      <c r="R710" s="135"/>
      <c r="S710" s="135"/>
      <c r="T710" s="111"/>
      <c r="U710" s="111"/>
      <c r="V710" s="185"/>
      <c r="W710" s="185"/>
      <c r="X710" s="715" t="s">
        <v>1662</v>
      </c>
      <c r="Y710" s="715" t="s">
        <v>1663</v>
      </c>
      <c r="Z710" s="715">
        <v>0</v>
      </c>
      <c r="AA710" s="715">
        <v>2</v>
      </c>
      <c r="AB710" s="877">
        <v>2</v>
      </c>
      <c r="AC710" s="877">
        <v>1</v>
      </c>
      <c r="AD710" s="1420"/>
      <c r="AE710" s="1311" t="s">
        <v>1664</v>
      </c>
      <c r="AF710" s="599"/>
      <c r="AG710" s="599"/>
      <c r="AH710" s="599"/>
      <c r="AI710" s="599"/>
      <c r="AJ710" s="595"/>
      <c r="AK710" s="80"/>
      <c r="AL710" s="108"/>
      <c r="AM710" s="49"/>
      <c r="AN710" s="49"/>
    </row>
    <row r="711" spans="1:40" s="113" customFormat="1" ht="26.25" customHeight="1">
      <c r="A711" s="135"/>
      <c r="B711" s="135"/>
      <c r="C711" s="135"/>
      <c r="D711" s="135"/>
      <c r="E711" s="135"/>
      <c r="F711" s="111"/>
      <c r="G711" s="358"/>
      <c r="H711" s="135"/>
      <c r="I711" s="135"/>
      <c r="J711" s="135"/>
      <c r="K711" s="135"/>
      <c r="L711" s="135"/>
      <c r="M711" s="135"/>
      <c r="N711" s="135"/>
      <c r="O711" s="135"/>
      <c r="P711" s="135"/>
      <c r="Q711" s="135"/>
      <c r="R711" s="135"/>
      <c r="S711" s="135"/>
      <c r="T711" s="111"/>
      <c r="U711" s="111"/>
      <c r="V711" s="185"/>
      <c r="W711" s="185"/>
      <c r="X711" s="2265" t="s">
        <v>1665</v>
      </c>
      <c r="Y711" s="715" t="s">
        <v>1666</v>
      </c>
      <c r="Z711" s="715">
        <v>1</v>
      </c>
      <c r="AA711" s="715">
        <v>0</v>
      </c>
      <c r="AB711" s="877">
        <v>8</v>
      </c>
      <c r="AC711" s="877">
        <v>16</v>
      </c>
      <c r="AD711" s="1420"/>
      <c r="AE711" s="1311"/>
      <c r="AF711" s="599">
        <v>0.1</v>
      </c>
      <c r="AG711" s="599">
        <v>-400</v>
      </c>
      <c r="AH711" s="599"/>
      <c r="AI711" s="599"/>
      <c r="AJ711" s="595"/>
      <c r="AK711" s="80"/>
      <c r="AL711" s="108"/>
      <c r="AM711" s="49"/>
      <c r="AN711" s="49"/>
    </row>
    <row r="712" spans="1:40" ht="18" customHeight="1" outlineLevel="1">
      <c r="A712" s="645" t="s">
        <v>1667</v>
      </c>
      <c r="B712" s="645" t="s">
        <v>867</v>
      </c>
      <c r="C712" s="645" t="s">
        <v>1668</v>
      </c>
      <c r="D712" s="645" t="s">
        <v>401</v>
      </c>
      <c r="E712" s="645">
        <v>8</v>
      </c>
      <c r="F712" s="645" t="s">
        <v>260</v>
      </c>
      <c r="G712" s="642"/>
      <c r="H712" s="645" t="s">
        <v>325</v>
      </c>
      <c r="I712" s="645"/>
      <c r="J712" s="645"/>
      <c r="K712" s="645"/>
      <c r="L712" s="645"/>
      <c r="M712" s="645"/>
      <c r="N712" s="645"/>
      <c r="O712" s="645"/>
      <c r="P712" s="645" t="s">
        <v>261</v>
      </c>
      <c r="Q712" s="645"/>
      <c r="R712" s="645"/>
      <c r="S712" s="645"/>
      <c r="T712" s="645"/>
      <c r="U712" s="645"/>
      <c r="V712" s="610"/>
      <c r="W712" s="1203"/>
      <c r="X712" s="904" t="s">
        <v>1669</v>
      </c>
      <c r="Y712" s="904"/>
      <c r="Z712" s="645"/>
      <c r="AA712" s="645"/>
      <c r="AB712" s="877">
        <f t="shared" ref="AB712:AB744" si="11">Z712*8+AA712</f>
        <v>0</v>
      </c>
      <c r="AC712" s="645"/>
      <c r="AD712" s="765"/>
      <c r="AE712" s="1334"/>
      <c r="AF712" s="622"/>
      <c r="AG712" s="622"/>
      <c r="AH712" s="622"/>
      <c r="AI712" s="622"/>
      <c r="AJ712" s="622"/>
      <c r="AK712" s="125"/>
      <c r="AL712" s="108" t="s">
        <v>1654</v>
      </c>
      <c r="AM712" s="113"/>
      <c r="AN712" s="113"/>
    </row>
    <row r="713" spans="1:40" s="113" customFormat="1" ht="14.25" customHeight="1">
      <c r="A713" s="135"/>
      <c r="B713" s="135"/>
      <c r="C713" s="135"/>
      <c r="D713" s="135"/>
      <c r="E713" s="135"/>
      <c r="F713" s="111"/>
      <c r="G713" s="358"/>
      <c r="H713" s="135" t="s">
        <v>325</v>
      </c>
      <c r="I713" s="135"/>
      <c r="J713" s="135"/>
      <c r="K713" s="135"/>
      <c r="L713" s="135"/>
      <c r="M713" s="135"/>
      <c r="N713" s="135"/>
      <c r="O713" s="135"/>
      <c r="P713" s="135" t="s">
        <v>261</v>
      </c>
      <c r="Q713" s="135"/>
      <c r="R713" s="135"/>
      <c r="S713" s="135"/>
      <c r="T713" s="111"/>
      <c r="U713" s="111"/>
      <c r="V713" s="130"/>
      <c r="W713" s="130"/>
      <c r="X713" s="1327" t="s">
        <v>1670</v>
      </c>
      <c r="Y713" s="186" t="s">
        <v>1671</v>
      </c>
      <c r="Z713" s="471"/>
      <c r="AA713" s="511"/>
      <c r="AB713" s="511">
        <f t="shared" si="11"/>
        <v>0</v>
      </c>
      <c r="AC713" s="511">
        <v>64</v>
      </c>
      <c r="AD713" s="1333"/>
      <c r="AE713" s="70"/>
      <c r="AF713" s="70"/>
      <c r="AG713" s="70"/>
      <c r="AH713" s="70"/>
      <c r="AI713" s="70"/>
      <c r="AJ713" s="71"/>
      <c r="AK713" s="80"/>
      <c r="AL713" s="108"/>
      <c r="AM713" s="49"/>
      <c r="AN713" s="49"/>
    </row>
    <row r="714" spans="1:40" s="111" customFormat="1" ht="18" customHeight="1" outlineLevel="1">
      <c r="A714" s="622" t="s">
        <v>1672</v>
      </c>
      <c r="B714" s="622" t="s">
        <v>867</v>
      </c>
      <c r="C714" s="622" t="s">
        <v>1673</v>
      </c>
      <c r="D714" s="622" t="s">
        <v>401</v>
      </c>
      <c r="E714" s="622">
        <v>8</v>
      </c>
      <c r="F714" s="622" t="s">
        <v>260</v>
      </c>
      <c r="G714" s="623"/>
      <c r="H714" s="622" t="s">
        <v>325</v>
      </c>
      <c r="I714" s="622"/>
      <c r="J714" s="622"/>
      <c r="K714" s="622"/>
      <c r="L714" s="622"/>
      <c r="M714" s="622"/>
      <c r="N714" s="622"/>
      <c r="O714" s="622"/>
      <c r="P714" s="622" t="s">
        <v>261</v>
      </c>
      <c r="Q714" s="622"/>
      <c r="R714" s="622"/>
      <c r="S714" s="622"/>
      <c r="T714" s="622"/>
      <c r="U714" s="622"/>
      <c r="V714" s="597"/>
      <c r="W714" s="597"/>
      <c r="X714" s="597" t="s">
        <v>1674</v>
      </c>
      <c r="Y714" s="597"/>
      <c r="Z714" s="622"/>
      <c r="AA714" s="622"/>
      <c r="AB714" s="621">
        <f t="shared" si="11"/>
        <v>0</v>
      </c>
      <c r="AC714" s="622"/>
      <c r="AD714" s="622"/>
      <c r="AE714" s="608"/>
      <c r="AF714" s="622"/>
      <c r="AG714" s="622"/>
      <c r="AH714" s="622"/>
      <c r="AI714" s="622"/>
      <c r="AJ714" s="622"/>
      <c r="AK714" s="125"/>
      <c r="AL714" s="108" t="s">
        <v>1654</v>
      </c>
      <c r="AM714" s="113"/>
      <c r="AN714" s="113"/>
    </row>
    <row r="715" spans="1:40" s="113" customFormat="1" ht="14.25" customHeight="1">
      <c r="A715" s="135"/>
      <c r="B715" s="135"/>
      <c r="C715" s="135"/>
      <c r="D715" s="135"/>
      <c r="E715" s="135"/>
      <c r="F715" s="111"/>
      <c r="G715" s="358"/>
      <c r="H715" s="135" t="s">
        <v>325</v>
      </c>
      <c r="I715" s="135"/>
      <c r="J715" s="135"/>
      <c r="K715" s="135"/>
      <c r="L715" s="135"/>
      <c r="M715" s="135"/>
      <c r="N715" s="135"/>
      <c r="O715" s="135"/>
      <c r="P715" s="135" t="s">
        <v>261</v>
      </c>
      <c r="Q715" s="135"/>
      <c r="R715" s="135"/>
      <c r="S715" s="135"/>
      <c r="T715" s="111"/>
      <c r="U715" s="111"/>
      <c r="V715" s="130"/>
      <c r="W715" s="130"/>
      <c r="X715" s="685" t="s">
        <v>1675</v>
      </c>
      <c r="Y715" s="651" t="s">
        <v>1676</v>
      </c>
      <c r="Z715" s="651"/>
      <c r="AA715" s="605"/>
      <c r="AB715" s="605">
        <f t="shared" si="11"/>
        <v>0</v>
      </c>
      <c r="AC715" s="145">
        <v>64</v>
      </c>
      <c r="AD715" s="605"/>
      <c r="AE715" s="2266" t="s">
        <v>1677</v>
      </c>
      <c r="AF715" s="685"/>
      <c r="AG715" s="685"/>
      <c r="AH715" s="685"/>
      <c r="AI715" s="685"/>
      <c r="AJ715" s="605"/>
      <c r="AK715" s="135"/>
      <c r="AL715" s="108"/>
      <c r="AM715" s="111"/>
      <c r="AN715" s="111"/>
    </row>
    <row r="716" spans="1:40" ht="18" customHeight="1" outlineLevel="1">
      <c r="A716" s="622" t="s">
        <v>1678</v>
      </c>
      <c r="B716" s="622" t="s">
        <v>867</v>
      </c>
      <c r="C716" s="622" t="s">
        <v>1679</v>
      </c>
      <c r="D716" s="622" t="s">
        <v>401</v>
      </c>
      <c r="E716" s="622">
        <v>8</v>
      </c>
      <c r="F716" s="622" t="s">
        <v>260</v>
      </c>
      <c r="G716" s="623"/>
      <c r="H716" s="622" t="s">
        <v>325</v>
      </c>
      <c r="I716" s="622"/>
      <c r="J716" s="622"/>
      <c r="K716" s="622"/>
      <c r="L716" s="622"/>
      <c r="M716" s="622"/>
      <c r="N716" s="622"/>
      <c r="O716" s="622"/>
      <c r="P716" s="622" t="s">
        <v>261</v>
      </c>
      <c r="Q716" s="622"/>
      <c r="R716" s="622"/>
      <c r="S716" s="622"/>
      <c r="T716" s="622"/>
      <c r="U716" s="622"/>
      <c r="V716" s="597"/>
      <c r="W716" s="597"/>
      <c r="X716" s="597" t="s">
        <v>1680</v>
      </c>
      <c r="Y716" s="544"/>
      <c r="Z716" s="622"/>
      <c r="AA716" s="622"/>
      <c r="AB716" s="621">
        <f t="shared" si="11"/>
        <v>0</v>
      </c>
      <c r="AC716" s="622"/>
      <c r="AD716" s="622"/>
      <c r="AE716" s="608"/>
      <c r="AF716" s="622"/>
      <c r="AG716" s="622"/>
      <c r="AH716" s="622"/>
      <c r="AI716" s="622"/>
      <c r="AJ716" s="622"/>
      <c r="AK716" s="125"/>
      <c r="AL716" s="108" t="s">
        <v>1654</v>
      </c>
      <c r="AM716" s="113"/>
      <c r="AN716" s="113"/>
    </row>
    <row r="717" spans="1:40" ht="30.75" customHeight="1" outlineLevel="1">
      <c r="A717" s="80"/>
      <c r="B717" s="80"/>
      <c r="C717" s="80"/>
      <c r="D717" s="80"/>
      <c r="E717" s="80"/>
      <c r="G717" s="182"/>
      <c r="H717" s="80" t="s">
        <v>325</v>
      </c>
      <c r="I717" s="80"/>
      <c r="J717" s="80"/>
      <c r="K717" s="80"/>
      <c r="L717" s="80"/>
      <c r="M717" s="80"/>
      <c r="N717" s="80"/>
      <c r="O717" s="80"/>
      <c r="P717" s="80" t="s">
        <v>261</v>
      </c>
      <c r="Q717" s="80"/>
      <c r="R717" s="80"/>
      <c r="S717" s="80"/>
      <c r="V717" s="187"/>
      <c r="W717" s="187"/>
      <c r="X717" s="235" t="s">
        <v>1681</v>
      </c>
      <c r="Y717" s="233" t="s">
        <v>1682</v>
      </c>
      <c r="Z717" s="123">
        <v>0</v>
      </c>
      <c r="AA717" s="71">
        <v>0</v>
      </c>
      <c r="AB717" s="595">
        <f t="shared" si="11"/>
        <v>0</v>
      </c>
      <c r="AC717" s="71">
        <v>16</v>
      </c>
      <c r="AD717" s="71" t="s">
        <v>286</v>
      </c>
      <c r="AE717" s="70" t="s">
        <v>1683</v>
      </c>
      <c r="AF717" s="70">
        <v>1</v>
      </c>
      <c r="AG717" s="70"/>
      <c r="AH717" s="70"/>
      <c r="AI717" s="70"/>
      <c r="AJ717" s="71" t="s">
        <v>1684</v>
      </c>
      <c r="AK717" s="80"/>
    </row>
    <row r="718" spans="1:40" ht="30.75" customHeight="1" outlineLevel="1">
      <c r="A718" s="80"/>
      <c r="B718" s="80"/>
      <c r="C718" s="80"/>
      <c r="D718" s="80"/>
      <c r="E718" s="80"/>
      <c r="G718" s="182"/>
      <c r="H718" s="80" t="s">
        <v>325</v>
      </c>
      <c r="I718" s="80"/>
      <c r="J718" s="80"/>
      <c r="K718" s="80"/>
      <c r="L718" s="80"/>
      <c r="M718" s="80"/>
      <c r="N718" s="80"/>
      <c r="O718" s="80"/>
      <c r="P718" s="80" t="s">
        <v>261</v>
      </c>
      <c r="Q718" s="80"/>
      <c r="R718" s="80"/>
      <c r="S718" s="80"/>
      <c r="V718" s="187"/>
      <c r="W718" s="187"/>
      <c r="X718" s="236" t="s">
        <v>1685</v>
      </c>
      <c r="Y718" s="233" t="s">
        <v>1686</v>
      </c>
      <c r="Z718" s="123">
        <v>2</v>
      </c>
      <c r="AA718" s="71">
        <v>0</v>
      </c>
      <c r="AB718" s="595">
        <f t="shared" si="11"/>
        <v>16</v>
      </c>
      <c r="AC718" s="71">
        <v>8</v>
      </c>
      <c r="AD718" s="71" t="s">
        <v>286</v>
      </c>
      <c r="AE718" s="70" t="s">
        <v>1687</v>
      </c>
      <c r="AF718" s="70"/>
      <c r="AG718" s="70"/>
      <c r="AH718" s="70"/>
      <c r="AI718" s="70"/>
      <c r="AJ718" s="71" t="s">
        <v>1688</v>
      </c>
      <c r="AK718" s="80"/>
    </row>
    <row r="719" spans="1:40" ht="30.75" customHeight="1" outlineLevel="1">
      <c r="A719" s="80"/>
      <c r="B719" s="80"/>
      <c r="C719" s="80"/>
      <c r="D719" s="80"/>
      <c r="E719" s="80"/>
      <c r="G719" s="182"/>
      <c r="H719" s="80" t="s">
        <v>325</v>
      </c>
      <c r="I719" s="80"/>
      <c r="J719" s="80"/>
      <c r="K719" s="80"/>
      <c r="L719" s="80"/>
      <c r="M719" s="80"/>
      <c r="N719" s="80"/>
      <c r="O719" s="80"/>
      <c r="P719" s="80" t="s">
        <v>261</v>
      </c>
      <c r="Q719" s="80"/>
      <c r="R719" s="80"/>
      <c r="S719" s="80"/>
      <c r="V719" s="187"/>
      <c r="W719" s="187"/>
      <c r="X719" s="236" t="s">
        <v>1689</v>
      </c>
      <c r="Y719" s="233" t="s">
        <v>1690</v>
      </c>
      <c r="Z719" s="123">
        <v>3</v>
      </c>
      <c r="AA719" s="71">
        <v>0</v>
      </c>
      <c r="AB719" s="595">
        <f t="shared" si="11"/>
        <v>24</v>
      </c>
      <c r="AC719" s="71">
        <v>8</v>
      </c>
      <c r="AD719" s="71" t="s">
        <v>286</v>
      </c>
      <c r="AE719" s="70" t="s">
        <v>1691</v>
      </c>
      <c r="AF719" s="70"/>
      <c r="AG719" s="70"/>
      <c r="AH719" s="70"/>
      <c r="AI719" s="70"/>
      <c r="AJ719" s="71" t="s">
        <v>1453</v>
      </c>
      <c r="AK719" s="80"/>
    </row>
    <row r="720" spans="1:40" ht="30.75" customHeight="1" outlineLevel="1">
      <c r="A720" s="80"/>
      <c r="B720" s="80"/>
      <c r="C720" s="80"/>
      <c r="D720" s="80"/>
      <c r="E720" s="80"/>
      <c r="G720" s="182"/>
      <c r="H720" s="80" t="s">
        <v>325</v>
      </c>
      <c r="I720" s="80"/>
      <c r="J720" s="80"/>
      <c r="K720" s="80"/>
      <c r="L720" s="80"/>
      <c r="M720" s="80"/>
      <c r="N720" s="80"/>
      <c r="O720" s="80"/>
      <c r="P720" s="80" t="s">
        <v>261</v>
      </c>
      <c r="Q720" s="80"/>
      <c r="R720" s="80"/>
      <c r="S720" s="80"/>
      <c r="V720" s="188"/>
      <c r="W720" s="188"/>
      <c r="X720" s="237" t="s">
        <v>1692</v>
      </c>
      <c r="Y720" s="234" t="s">
        <v>1693</v>
      </c>
      <c r="Z720" s="123">
        <v>4</v>
      </c>
      <c r="AA720" s="71">
        <v>0</v>
      </c>
      <c r="AB720" s="595">
        <f t="shared" si="11"/>
        <v>32</v>
      </c>
      <c r="AC720" s="71">
        <v>8</v>
      </c>
      <c r="AD720" s="71" t="s">
        <v>286</v>
      </c>
      <c r="AE720" s="70" t="s">
        <v>1691</v>
      </c>
      <c r="AF720" s="70"/>
      <c r="AG720" s="70"/>
      <c r="AH720" s="70"/>
      <c r="AI720" s="70"/>
      <c r="AJ720" s="71" t="s">
        <v>692</v>
      </c>
      <c r="AK720" s="80"/>
    </row>
    <row r="721" spans="1:37" ht="30.75" customHeight="1" outlineLevel="1">
      <c r="A721" s="80"/>
      <c r="B721" s="80"/>
      <c r="C721" s="80"/>
      <c r="D721" s="80"/>
      <c r="E721" s="80"/>
      <c r="G721" s="182"/>
      <c r="H721" s="80" t="s">
        <v>325</v>
      </c>
      <c r="I721" s="80"/>
      <c r="J721" s="80"/>
      <c r="K721" s="80"/>
      <c r="L721" s="80"/>
      <c r="M721" s="80"/>
      <c r="N721" s="80"/>
      <c r="O721" s="80"/>
      <c r="P721" s="80" t="s">
        <v>261</v>
      </c>
      <c r="Q721" s="80"/>
      <c r="R721" s="80"/>
      <c r="S721" s="80"/>
      <c r="V721" s="188"/>
      <c r="W721" s="188"/>
      <c r="X721" s="237" t="s">
        <v>1694</v>
      </c>
      <c r="Y721" s="234" t="s">
        <v>1695</v>
      </c>
      <c r="Z721" s="123">
        <v>5</v>
      </c>
      <c r="AA721" s="71">
        <v>0</v>
      </c>
      <c r="AB721" s="595">
        <f t="shared" si="11"/>
        <v>40</v>
      </c>
      <c r="AC721" s="71">
        <v>8</v>
      </c>
      <c r="AD721" s="71" t="s">
        <v>286</v>
      </c>
      <c r="AE721" s="70" t="s">
        <v>1691</v>
      </c>
      <c r="AF721" s="70"/>
      <c r="AG721" s="70"/>
      <c r="AH721" s="70"/>
      <c r="AI721" s="70"/>
      <c r="AJ721" s="71" t="s">
        <v>1603</v>
      </c>
      <c r="AK721" s="80"/>
    </row>
    <row r="722" spans="1:37" ht="14.25" customHeight="1">
      <c r="A722" s="80"/>
      <c r="B722" s="80"/>
      <c r="C722" s="80"/>
      <c r="D722" s="80"/>
      <c r="E722" s="80"/>
      <c r="G722" s="182"/>
      <c r="H722" s="80" t="s">
        <v>325</v>
      </c>
      <c r="I722" s="80"/>
      <c r="J722" s="80"/>
      <c r="K722" s="80"/>
      <c r="L722" s="80"/>
      <c r="M722" s="80"/>
      <c r="N722" s="80"/>
      <c r="O722" s="80"/>
      <c r="P722" s="80" t="s">
        <v>261</v>
      </c>
      <c r="Q722" s="80"/>
      <c r="R722" s="80"/>
      <c r="S722" s="80"/>
      <c r="V722" s="188"/>
      <c r="W722" s="188"/>
      <c r="X722" s="237" t="s">
        <v>1696</v>
      </c>
      <c r="Y722" s="234" t="s">
        <v>1697</v>
      </c>
      <c r="Z722" s="123">
        <v>6</v>
      </c>
      <c r="AA722" s="71">
        <v>0</v>
      </c>
      <c r="AB722" s="595">
        <f t="shared" si="11"/>
        <v>48</v>
      </c>
      <c r="AC722" s="71">
        <v>8</v>
      </c>
      <c r="AD722" s="71" t="s">
        <v>286</v>
      </c>
      <c r="AE722" s="70" t="s">
        <v>1691</v>
      </c>
      <c r="AF722" s="70"/>
      <c r="AG722" s="70"/>
      <c r="AH722" s="70"/>
      <c r="AI722" s="70"/>
      <c r="AJ722" s="71" t="s">
        <v>1698</v>
      </c>
      <c r="AK722" s="80"/>
    </row>
    <row r="723" spans="1:37" ht="18" customHeight="1" outlineLevel="1">
      <c r="A723" s="622">
        <v>110</v>
      </c>
      <c r="B723" s="622" t="s">
        <v>867</v>
      </c>
      <c r="C723" s="622" t="s">
        <v>1699</v>
      </c>
      <c r="D723" s="622" t="s">
        <v>844</v>
      </c>
      <c r="E723" s="622">
        <v>8</v>
      </c>
      <c r="F723" s="622" t="s">
        <v>260</v>
      </c>
      <c r="G723" s="623"/>
      <c r="H723" s="622"/>
      <c r="I723" s="622"/>
      <c r="J723" s="622"/>
      <c r="K723" s="622"/>
      <c r="L723" s="622"/>
      <c r="M723" s="622"/>
      <c r="N723" s="622"/>
      <c r="O723" s="622"/>
      <c r="P723" s="622" t="s">
        <v>261</v>
      </c>
      <c r="Q723" s="622"/>
      <c r="R723" s="622"/>
      <c r="S723" s="622"/>
      <c r="T723" s="622"/>
      <c r="U723" s="622"/>
      <c r="V723" s="597"/>
      <c r="W723" s="597"/>
      <c r="X723" s="597" t="s">
        <v>1700</v>
      </c>
      <c r="Y723" s="597"/>
      <c r="Z723" s="622"/>
      <c r="AA723" s="622"/>
      <c r="AB723" s="595">
        <f t="shared" si="11"/>
        <v>0</v>
      </c>
      <c r="AC723" s="622"/>
      <c r="AD723" s="622"/>
      <c r="AE723" s="608"/>
      <c r="AF723" s="622"/>
      <c r="AG723" s="622"/>
      <c r="AH723" s="622"/>
      <c r="AI723" s="622"/>
      <c r="AJ723" s="622"/>
      <c r="AK723" s="125"/>
    </row>
    <row r="724" spans="1:37" ht="30.75" customHeight="1" outlineLevel="1">
      <c r="A724" s="80"/>
      <c r="B724" s="80"/>
      <c r="C724" s="80"/>
      <c r="D724" s="80"/>
      <c r="E724" s="80"/>
      <c r="H724" s="80"/>
      <c r="I724" s="80"/>
      <c r="J724" s="80"/>
      <c r="K724" s="80"/>
      <c r="L724" s="80"/>
      <c r="M724" s="80"/>
      <c r="N724" s="80"/>
      <c r="O724" s="80"/>
      <c r="P724" s="80" t="s">
        <v>261</v>
      </c>
      <c r="V724" s="80"/>
      <c r="W724" s="80"/>
      <c r="X724" s="2267" t="s">
        <v>532</v>
      </c>
      <c r="Y724" s="123" t="s">
        <v>1701</v>
      </c>
      <c r="Z724" s="120">
        <v>0</v>
      </c>
      <c r="AA724" s="71">
        <v>0</v>
      </c>
      <c r="AB724" s="595">
        <f t="shared" si="11"/>
        <v>0</v>
      </c>
      <c r="AC724" s="71">
        <v>16</v>
      </c>
      <c r="AD724" s="71"/>
      <c r="AE724" s="70"/>
      <c r="AF724" s="70"/>
      <c r="AG724" s="70"/>
      <c r="AH724" s="70"/>
      <c r="AI724" s="70"/>
      <c r="AJ724" s="71"/>
      <c r="AK724" s="80"/>
    </row>
    <row r="725" spans="1:37" ht="30.75" customHeight="1" outlineLevel="1">
      <c r="A725" s="80"/>
      <c r="B725" s="80"/>
      <c r="C725" s="80"/>
      <c r="D725" s="80"/>
      <c r="E725" s="80"/>
      <c r="H725" s="80"/>
      <c r="I725" s="80"/>
      <c r="J725" s="80"/>
      <c r="K725" s="80"/>
      <c r="L725" s="80"/>
      <c r="M725" s="80"/>
      <c r="N725" s="80"/>
      <c r="O725" s="80"/>
      <c r="P725" s="80" t="s">
        <v>261</v>
      </c>
      <c r="V725" s="80"/>
      <c r="W725" s="80"/>
      <c r="X725" s="2268" t="s">
        <v>534</v>
      </c>
      <c r="Y725" s="123" t="s">
        <v>1702</v>
      </c>
      <c r="Z725" s="644">
        <v>2</v>
      </c>
      <c r="AA725" s="595">
        <v>0</v>
      </c>
      <c r="AB725" s="595">
        <f t="shared" si="11"/>
        <v>16</v>
      </c>
      <c r="AC725" s="595">
        <v>8</v>
      </c>
      <c r="AD725" s="595"/>
      <c r="AE725" s="599"/>
      <c r="AF725" s="599"/>
      <c r="AG725" s="599"/>
      <c r="AH725" s="599"/>
      <c r="AI725" s="599"/>
      <c r="AJ725" s="595"/>
      <c r="AK725" s="80"/>
    </row>
    <row r="726" spans="1:37" ht="30.75" customHeight="1" outlineLevel="1">
      <c r="A726" s="80"/>
      <c r="B726" s="80"/>
      <c r="C726" s="80"/>
      <c r="D726" s="80"/>
      <c r="E726" s="80"/>
      <c r="H726" s="80"/>
      <c r="I726" s="80"/>
      <c r="J726" s="80"/>
      <c r="K726" s="80"/>
      <c r="L726" s="80"/>
      <c r="M726" s="80"/>
      <c r="N726" s="80"/>
      <c r="O726" s="80"/>
      <c r="P726" s="80" t="s">
        <v>261</v>
      </c>
      <c r="V726" s="80"/>
      <c r="W726" s="80"/>
      <c r="X726" s="2269" t="s">
        <v>537</v>
      </c>
      <c r="Y726" s="123" t="s">
        <v>1703</v>
      </c>
      <c r="Z726" s="644">
        <v>3</v>
      </c>
      <c r="AA726" s="595">
        <v>0</v>
      </c>
      <c r="AB726" s="595">
        <f t="shared" si="11"/>
        <v>24</v>
      </c>
      <c r="AC726" s="595">
        <v>8</v>
      </c>
      <c r="AD726" s="595"/>
      <c r="AE726" s="599"/>
      <c r="AF726" s="599"/>
      <c r="AG726" s="599"/>
      <c r="AH726" s="599"/>
      <c r="AI726" s="599"/>
      <c r="AJ726" s="595"/>
      <c r="AK726" s="80"/>
    </row>
    <row r="727" spans="1:37" ht="30.75" customHeight="1" outlineLevel="1">
      <c r="A727" s="80"/>
      <c r="B727" s="80"/>
      <c r="C727" s="80"/>
      <c r="D727" s="80"/>
      <c r="E727" s="80"/>
      <c r="H727" s="80"/>
      <c r="I727" s="80"/>
      <c r="J727" s="80"/>
      <c r="K727" s="80"/>
      <c r="L727" s="80"/>
      <c r="M727" s="80"/>
      <c r="N727" s="80"/>
      <c r="O727" s="80"/>
      <c r="P727" s="80" t="s">
        <v>261</v>
      </c>
      <c r="V727" s="80"/>
      <c r="W727" s="80"/>
      <c r="X727" s="2270" t="s">
        <v>540</v>
      </c>
      <c r="Y727" s="123" t="s">
        <v>1704</v>
      </c>
      <c r="Z727" s="644">
        <v>4</v>
      </c>
      <c r="AA727" s="595">
        <v>0</v>
      </c>
      <c r="AB727" s="595">
        <f t="shared" si="11"/>
        <v>32</v>
      </c>
      <c r="AC727" s="595">
        <v>8</v>
      </c>
      <c r="AD727" s="595"/>
      <c r="AE727" s="599"/>
      <c r="AF727" s="599"/>
      <c r="AG727" s="599"/>
      <c r="AH727" s="599"/>
      <c r="AI727" s="599"/>
      <c r="AJ727" s="595"/>
      <c r="AK727" s="80"/>
    </row>
    <row r="728" spans="1:37" ht="14.25" customHeight="1">
      <c r="A728" s="80"/>
      <c r="B728" s="80"/>
      <c r="C728" s="80"/>
      <c r="D728" s="80"/>
      <c r="E728" s="80"/>
      <c r="H728" s="80"/>
      <c r="I728" s="80"/>
      <c r="J728" s="80"/>
      <c r="K728" s="80"/>
      <c r="L728" s="80"/>
      <c r="M728" s="80"/>
      <c r="N728" s="80"/>
      <c r="O728" s="80"/>
      <c r="P728" s="80" t="s">
        <v>261</v>
      </c>
      <c r="V728" s="80"/>
      <c r="W728" s="80"/>
      <c r="X728" s="2271" t="s">
        <v>543</v>
      </c>
      <c r="Y728" s="625" t="s">
        <v>1705</v>
      </c>
      <c r="Z728" s="644">
        <v>5</v>
      </c>
      <c r="AA728" s="595">
        <v>0</v>
      </c>
      <c r="AB728" s="595">
        <f t="shared" si="11"/>
        <v>40</v>
      </c>
      <c r="AC728" s="595">
        <v>24</v>
      </c>
      <c r="AD728" s="595"/>
      <c r="AE728" s="599"/>
      <c r="AF728" s="599"/>
      <c r="AG728" s="599"/>
      <c r="AH728" s="599"/>
      <c r="AI728" s="599"/>
      <c r="AJ728" s="595"/>
      <c r="AK728" s="80"/>
    </row>
    <row r="729" spans="1:37" ht="18" customHeight="1" outlineLevel="1">
      <c r="A729" s="622">
        <v>111</v>
      </c>
      <c r="B729" s="622" t="s">
        <v>867</v>
      </c>
      <c r="C729" s="622" t="s">
        <v>1706</v>
      </c>
      <c r="D729" s="622" t="s">
        <v>844</v>
      </c>
      <c r="E729" s="622">
        <v>8</v>
      </c>
      <c r="F729" s="622" t="s">
        <v>260</v>
      </c>
      <c r="G729" s="623"/>
      <c r="H729" s="622"/>
      <c r="I729" s="622"/>
      <c r="J729" s="622"/>
      <c r="K729" s="622"/>
      <c r="L729" s="622"/>
      <c r="M729" s="622"/>
      <c r="N729" s="622"/>
      <c r="O729" s="622"/>
      <c r="P729" s="622" t="s">
        <v>261</v>
      </c>
      <c r="Q729" s="622"/>
      <c r="R729" s="622"/>
      <c r="S729" s="622"/>
      <c r="T729" s="622"/>
      <c r="U729" s="622"/>
      <c r="V729" s="597"/>
      <c r="W729" s="597"/>
      <c r="X729" s="597" t="s">
        <v>1707</v>
      </c>
      <c r="Y729" s="597"/>
      <c r="Z729" s="622"/>
      <c r="AA729" s="622"/>
      <c r="AB729" s="595">
        <f t="shared" si="11"/>
        <v>0</v>
      </c>
      <c r="AC729" s="622"/>
      <c r="AD729" s="622"/>
      <c r="AE729" s="608"/>
      <c r="AF729" s="622"/>
      <c r="AG729" s="622"/>
      <c r="AH729" s="622"/>
      <c r="AI729" s="622"/>
      <c r="AJ729" s="622"/>
      <c r="AK729" s="125"/>
    </row>
    <row r="730" spans="1:37" ht="45.75" customHeight="1" outlineLevel="1">
      <c r="A730" s="80"/>
      <c r="B730" s="80"/>
      <c r="C730" s="80"/>
      <c r="D730" s="80"/>
      <c r="E730" s="80"/>
      <c r="H730" s="80"/>
      <c r="I730" s="80"/>
      <c r="J730" s="80"/>
      <c r="K730" s="80"/>
      <c r="L730" s="80"/>
      <c r="M730" s="80"/>
      <c r="N730" s="80"/>
      <c r="O730" s="80"/>
      <c r="P730" s="80" t="s">
        <v>261</v>
      </c>
      <c r="V730" s="80"/>
      <c r="W730" s="80"/>
      <c r="X730" s="2272" t="s">
        <v>549</v>
      </c>
      <c r="Y730" s="123" t="s">
        <v>849</v>
      </c>
      <c r="Z730" s="120">
        <v>0</v>
      </c>
      <c r="AA730" s="71">
        <v>0</v>
      </c>
      <c r="AB730" s="595">
        <f t="shared" si="11"/>
        <v>0</v>
      </c>
      <c r="AC730" s="71">
        <v>8</v>
      </c>
      <c r="AD730" s="133"/>
      <c r="AE730" s="70" t="s">
        <v>551</v>
      </c>
      <c r="AF730" s="134"/>
      <c r="AG730" s="134"/>
      <c r="AH730" s="134"/>
      <c r="AI730" s="134"/>
      <c r="AJ730" s="134"/>
      <c r="AK730" s="59"/>
    </row>
    <row r="731" spans="1:37" ht="75.75" customHeight="1" outlineLevel="1">
      <c r="A731" s="80"/>
      <c r="B731" s="80"/>
      <c r="C731" s="80"/>
      <c r="D731" s="80"/>
      <c r="E731" s="80"/>
      <c r="H731" s="80"/>
      <c r="I731" s="80"/>
      <c r="J731" s="80"/>
      <c r="K731" s="80"/>
      <c r="L731" s="80"/>
      <c r="M731" s="80"/>
      <c r="N731" s="80"/>
      <c r="O731" s="80"/>
      <c r="P731" s="80" t="s">
        <v>261</v>
      </c>
      <c r="V731" s="80"/>
      <c r="W731" s="80"/>
      <c r="X731" s="2273" t="s">
        <v>552</v>
      </c>
      <c r="Y731" s="625" t="s">
        <v>850</v>
      </c>
      <c r="Z731" s="644">
        <v>1</v>
      </c>
      <c r="AA731" s="595">
        <v>0</v>
      </c>
      <c r="AB731" s="595">
        <f t="shared" si="11"/>
        <v>8</v>
      </c>
      <c r="AC731" s="595">
        <v>8</v>
      </c>
      <c r="AD731" s="609"/>
      <c r="AE731" s="599" t="s">
        <v>554</v>
      </c>
      <c r="AF731" s="646"/>
      <c r="AG731" s="646"/>
      <c r="AH731" s="646"/>
      <c r="AI731" s="646"/>
      <c r="AJ731" s="646"/>
      <c r="AK731" s="59"/>
    </row>
    <row r="732" spans="1:37" ht="75.75" customHeight="1" outlineLevel="1">
      <c r="A732" s="80"/>
      <c r="B732" s="80"/>
      <c r="C732" s="80"/>
      <c r="D732" s="80"/>
      <c r="E732" s="80"/>
      <c r="H732" s="80"/>
      <c r="I732" s="80"/>
      <c r="J732" s="80"/>
      <c r="K732" s="80"/>
      <c r="L732" s="80"/>
      <c r="M732" s="80"/>
      <c r="N732" s="80"/>
      <c r="O732" s="80"/>
      <c r="P732" s="80" t="s">
        <v>261</v>
      </c>
      <c r="V732" s="80"/>
      <c r="W732" s="80"/>
      <c r="X732" s="2274" t="s">
        <v>555</v>
      </c>
      <c r="Y732" s="625" t="s">
        <v>851</v>
      </c>
      <c r="Z732" s="644">
        <v>2</v>
      </c>
      <c r="AA732" s="595">
        <v>0</v>
      </c>
      <c r="AB732" s="595">
        <f t="shared" si="11"/>
        <v>16</v>
      </c>
      <c r="AC732" s="595">
        <v>8</v>
      </c>
      <c r="AD732" s="609"/>
      <c r="AE732" s="599" t="s">
        <v>557</v>
      </c>
      <c r="AF732" s="646"/>
      <c r="AG732" s="646"/>
      <c r="AH732" s="646"/>
      <c r="AI732" s="646"/>
      <c r="AJ732" s="646"/>
      <c r="AK732" s="59"/>
    </row>
    <row r="733" spans="1:37" ht="75.75" customHeight="1" outlineLevel="1">
      <c r="A733" s="80"/>
      <c r="B733" s="80"/>
      <c r="C733" s="80"/>
      <c r="D733" s="80"/>
      <c r="E733" s="80"/>
      <c r="H733" s="80"/>
      <c r="I733" s="80"/>
      <c r="J733" s="80"/>
      <c r="K733" s="80"/>
      <c r="L733" s="80"/>
      <c r="M733" s="80"/>
      <c r="N733" s="80"/>
      <c r="O733" s="80"/>
      <c r="P733" s="80" t="s">
        <v>261</v>
      </c>
      <c r="V733" s="80"/>
      <c r="W733" s="80"/>
      <c r="X733" s="2275" t="s">
        <v>558</v>
      </c>
      <c r="Y733" s="625" t="s">
        <v>852</v>
      </c>
      <c r="Z733" s="644">
        <v>3</v>
      </c>
      <c r="AA733" s="595">
        <v>0</v>
      </c>
      <c r="AB733" s="595">
        <f t="shared" si="11"/>
        <v>24</v>
      </c>
      <c r="AC733" s="595">
        <v>8</v>
      </c>
      <c r="AD733" s="609"/>
      <c r="AE733" s="599" t="s">
        <v>560</v>
      </c>
      <c r="AF733" s="646"/>
      <c r="AG733" s="646"/>
      <c r="AH733" s="646"/>
      <c r="AI733" s="646"/>
      <c r="AJ733" s="646"/>
      <c r="AK733" s="59"/>
    </row>
    <row r="734" spans="1:37" ht="45.75" customHeight="1" outlineLevel="1">
      <c r="A734" s="80"/>
      <c r="B734" s="80"/>
      <c r="C734" s="80"/>
      <c r="D734" s="80"/>
      <c r="E734" s="80"/>
      <c r="H734" s="80"/>
      <c r="I734" s="80"/>
      <c r="J734" s="80"/>
      <c r="K734" s="80"/>
      <c r="L734" s="80"/>
      <c r="M734" s="80"/>
      <c r="N734" s="80"/>
      <c r="O734" s="80"/>
      <c r="P734" s="80" t="s">
        <v>261</v>
      </c>
      <c r="V734" s="80"/>
      <c r="W734" s="80"/>
      <c r="X734" s="2276" t="s">
        <v>561</v>
      </c>
      <c r="Y734" s="625" t="s">
        <v>853</v>
      </c>
      <c r="Z734" s="644">
        <v>4</v>
      </c>
      <c r="AA734" s="595">
        <v>0</v>
      </c>
      <c r="AB734" s="595">
        <f t="shared" si="11"/>
        <v>32</v>
      </c>
      <c r="AC734" s="595">
        <v>8</v>
      </c>
      <c r="AD734" s="609"/>
      <c r="AE734" s="599" t="s">
        <v>563</v>
      </c>
      <c r="AF734" s="646"/>
      <c r="AG734" s="646"/>
      <c r="AH734" s="646"/>
      <c r="AI734" s="646"/>
      <c r="AJ734" s="646"/>
      <c r="AK734" s="59"/>
    </row>
    <row r="735" spans="1:37" ht="75.75" customHeight="1" outlineLevel="1">
      <c r="A735" s="80"/>
      <c r="B735" s="80"/>
      <c r="C735" s="80"/>
      <c r="D735" s="80"/>
      <c r="E735" s="80"/>
      <c r="H735" s="80"/>
      <c r="I735" s="80"/>
      <c r="J735" s="80"/>
      <c r="K735" s="80"/>
      <c r="L735" s="80"/>
      <c r="M735" s="80"/>
      <c r="N735" s="80"/>
      <c r="O735" s="80"/>
      <c r="P735" s="80" t="s">
        <v>261</v>
      </c>
      <c r="V735" s="80"/>
      <c r="W735" s="80"/>
      <c r="X735" s="2277" t="s">
        <v>564</v>
      </c>
      <c r="Y735" s="625" t="s">
        <v>854</v>
      </c>
      <c r="Z735" s="644">
        <v>5</v>
      </c>
      <c r="AA735" s="595">
        <v>0</v>
      </c>
      <c r="AB735" s="595">
        <f t="shared" si="11"/>
        <v>40</v>
      </c>
      <c r="AC735" s="595">
        <v>8</v>
      </c>
      <c r="AD735" s="609"/>
      <c r="AE735" s="599" t="s">
        <v>566</v>
      </c>
      <c r="AF735" s="646"/>
      <c r="AG735" s="646"/>
      <c r="AH735" s="646"/>
      <c r="AI735" s="646"/>
      <c r="AJ735" s="646"/>
      <c r="AK735" s="59"/>
    </row>
    <row r="736" spans="1:37" ht="75.75" customHeight="1" outlineLevel="1">
      <c r="A736" s="80"/>
      <c r="B736" s="80"/>
      <c r="C736" s="80"/>
      <c r="D736" s="80"/>
      <c r="E736" s="80"/>
      <c r="H736" s="80"/>
      <c r="I736" s="80"/>
      <c r="J736" s="80"/>
      <c r="K736" s="80"/>
      <c r="L736" s="80"/>
      <c r="M736" s="80"/>
      <c r="N736" s="80"/>
      <c r="O736" s="80"/>
      <c r="P736" s="80" t="s">
        <v>261</v>
      </c>
      <c r="V736" s="80"/>
      <c r="W736" s="80"/>
      <c r="X736" s="2278" t="s">
        <v>567</v>
      </c>
      <c r="Y736" s="625" t="s">
        <v>855</v>
      </c>
      <c r="Z736" s="644">
        <v>6</v>
      </c>
      <c r="AA736" s="595">
        <v>0</v>
      </c>
      <c r="AB736" s="595">
        <f t="shared" si="11"/>
        <v>48</v>
      </c>
      <c r="AC736" s="595">
        <v>8</v>
      </c>
      <c r="AD736" s="609"/>
      <c r="AE736" s="599" t="s">
        <v>569</v>
      </c>
      <c r="AF736" s="646"/>
      <c r="AG736" s="646"/>
      <c r="AH736" s="646"/>
      <c r="AI736" s="646"/>
      <c r="AJ736" s="646"/>
      <c r="AK736" s="59"/>
    </row>
    <row r="737" spans="1:37" ht="14.25" customHeight="1">
      <c r="A737" s="80"/>
      <c r="B737" s="80"/>
      <c r="C737" s="80"/>
      <c r="D737" s="80"/>
      <c r="E737" s="80"/>
      <c r="H737" s="80"/>
      <c r="I737" s="80"/>
      <c r="J737" s="80"/>
      <c r="K737" s="80"/>
      <c r="L737" s="80"/>
      <c r="M737" s="80"/>
      <c r="N737" s="80"/>
      <c r="O737" s="80"/>
      <c r="P737" s="80" t="s">
        <v>261</v>
      </c>
      <c r="V737" s="80"/>
      <c r="W737" s="80"/>
      <c r="X737" s="2279" t="s">
        <v>570</v>
      </c>
      <c r="Y737" s="625" t="s">
        <v>856</v>
      </c>
      <c r="Z737" s="644">
        <v>7</v>
      </c>
      <c r="AA737" s="595">
        <v>0</v>
      </c>
      <c r="AB737" s="595">
        <f t="shared" si="11"/>
        <v>56</v>
      </c>
      <c r="AC737" s="595">
        <v>8</v>
      </c>
      <c r="AD737" s="609"/>
      <c r="AE737" s="599" t="s">
        <v>572</v>
      </c>
      <c r="AF737" s="646"/>
      <c r="AG737" s="646"/>
      <c r="AH737" s="646"/>
      <c r="AI737" s="646"/>
      <c r="AJ737" s="646"/>
      <c r="AK737" s="59"/>
    </row>
    <row r="738" spans="1:37" ht="18" customHeight="1" outlineLevel="1">
      <c r="A738" s="622">
        <v>112</v>
      </c>
      <c r="B738" s="622" t="s">
        <v>867</v>
      </c>
      <c r="C738" s="622" t="s">
        <v>1708</v>
      </c>
      <c r="D738" s="622" t="s">
        <v>844</v>
      </c>
      <c r="E738" s="622">
        <v>8</v>
      </c>
      <c r="F738" s="622" t="s">
        <v>260</v>
      </c>
      <c r="G738" s="623"/>
      <c r="H738" s="622"/>
      <c r="I738" s="622"/>
      <c r="J738" s="622"/>
      <c r="K738" s="622"/>
      <c r="L738" s="622"/>
      <c r="M738" s="622"/>
      <c r="N738" s="622"/>
      <c r="O738" s="622"/>
      <c r="P738" s="622" t="s">
        <v>261</v>
      </c>
      <c r="Q738" s="622"/>
      <c r="R738" s="622"/>
      <c r="S738" s="622"/>
      <c r="T738" s="622"/>
      <c r="U738" s="622"/>
      <c r="V738" s="597"/>
      <c r="W738" s="597"/>
      <c r="X738" s="597" t="s">
        <v>1709</v>
      </c>
      <c r="Y738" s="597"/>
      <c r="Z738" s="622"/>
      <c r="AA738" s="622"/>
      <c r="AB738" s="595">
        <f t="shared" si="11"/>
        <v>0</v>
      </c>
      <c r="AC738" s="622"/>
      <c r="AD738" s="622"/>
      <c r="AE738" s="608"/>
      <c r="AF738" s="622"/>
      <c r="AG738" s="622"/>
      <c r="AH738" s="622"/>
      <c r="AI738" s="622"/>
      <c r="AJ738" s="622"/>
      <c r="AK738" s="125"/>
    </row>
    <row r="739" spans="1:37" ht="45.75" customHeight="1" outlineLevel="1">
      <c r="A739" s="80"/>
      <c r="B739" s="80"/>
      <c r="C739" s="80"/>
      <c r="D739" s="80"/>
      <c r="E739" s="80"/>
      <c r="H739" s="80"/>
      <c r="I739" s="80"/>
      <c r="J739" s="80"/>
      <c r="K739" s="80"/>
      <c r="L739" s="80"/>
      <c r="M739" s="80"/>
      <c r="N739" s="80"/>
      <c r="O739" s="80"/>
      <c r="P739" s="80" t="s">
        <v>261</v>
      </c>
      <c r="V739" s="80"/>
      <c r="W739" s="80"/>
      <c r="X739" s="2280" t="s">
        <v>576</v>
      </c>
      <c r="Y739" s="123" t="s">
        <v>1710</v>
      </c>
      <c r="Z739" s="120">
        <v>0</v>
      </c>
      <c r="AA739" s="71">
        <v>0</v>
      </c>
      <c r="AB739" s="595">
        <f t="shared" si="11"/>
        <v>0</v>
      </c>
      <c r="AC739" s="71">
        <v>8</v>
      </c>
      <c r="AD739" s="71"/>
      <c r="AE739" s="70" t="s">
        <v>578</v>
      </c>
      <c r="AF739" s="70"/>
      <c r="AG739" s="70"/>
      <c r="AH739" s="70"/>
      <c r="AI739" s="70"/>
      <c r="AJ739" s="71"/>
      <c r="AK739" s="80"/>
    </row>
    <row r="740" spans="1:37" ht="75.75" customHeight="1" outlineLevel="1">
      <c r="A740" s="80"/>
      <c r="B740" s="80"/>
      <c r="C740" s="80"/>
      <c r="D740" s="80"/>
      <c r="E740" s="80"/>
      <c r="H740" s="80"/>
      <c r="I740" s="80"/>
      <c r="J740" s="80"/>
      <c r="K740" s="80"/>
      <c r="L740" s="80"/>
      <c r="M740" s="80"/>
      <c r="N740" s="80"/>
      <c r="O740" s="80"/>
      <c r="P740" s="80" t="s">
        <v>261</v>
      </c>
      <c r="V740" s="80"/>
      <c r="W740" s="80"/>
      <c r="X740" s="2281" t="s">
        <v>579</v>
      </c>
      <c r="Y740" s="123" t="s">
        <v>1711</v>
      </c>
      <c r="Z740" s="644">
        <v>1</v>
      </c>
      <c r="AA740" s="595">
        <v>0</v>
      </c>
      <c r="AB740" s="595">
        <f t="shared" si="11"/>
        <v>8</v>
      </c>
      <c r="AC740" s="595">
        <v>8</v>
      </c>
      <c r="AD740" s="595"/>
      <c r="AE740" s="599" t="s">
        <v>554</v>
      </c>
      <c r="AF740" s="599"/>
      <c r="AG740" s="599"/>
      <c r="AH740" s="599"/>
      <c r="AI740" s="599"/>
      <c r="AJ740" s="595"/>
      <c r="AK740" s="80"/>
    </row>
    <row r="741" spans="1:37" ht="75.75" customHeight="1" outlineLevel="1">
      <c r="A741" s="80"/>
      <c r="B741" s="80"/>
      <c r="C741" s="80"/>
      <c r="D741" s="80"/>
      <c r="E741" s="80"/>
      <c r="H741" s="80"/>
      <c r="I741" s="80"/>
      <c r="J741" s="80"/>
      <c r="K741" s="80"/>
      <c r="L741" s="80"/>
      <c r="M741" s="80"/>
      <c r="N741" s="80"/>
      <c r="O741" s="80"/>
      <c r="P741" s="80" t="s">
        <v>261</v>
      </c>
      <c r="V741" s="80"/>
      <c r="W741" s="80"/>
      <c r="X741" s="2282" t="s">
        <v>581</v>
      </c>
      <c r="Y741" s="123" t="s">
        <v>1712</v>
      </c>
      <c r="Z741" s="644">
        <v>2</v>
      </c>
      <c r="AA741" s="595">
        <v>0</v>
      </c>
      <c r="AB741" s="595">
        <f t="shared" si="11"/>
        <v>16</v>
      </c>
      <c r="AC741" s="595">
        <v>8</v>
      </c>
      <c r="AD741" s="595"/>
      <c r="AE741" s="599" t="s">
        <v>557</v>
      </c>
      <c r="AF741" s="599"/>
      <c r="AG741" s="599"/>
      <c r="AH741" s="599"/>
      <c r="AI741" s="599"/>
      <c r="AJ741" s="595"/>
      <c r="AK741" s="80"/>
    </row>
    <row r="742" spans="1:37" ht="14.25" customHeight="1">
      <c r="A742" s="80"/>
      <c r="B742" s="80"/>
      <c r="C742" s="80"/>
      <c r="D742" s="80"/>
      <c r="E742" s="80"/>
      <c r="H742" s="80"/>
      <c r="I742" s="80"/>
      <c r="J742" s="80"/>
      <c r="K742" s="80"/>
      <c r="L742" s="80"/>
      <c r="M742" s="80"/>
      <c r="N742" s="80"/>
      <c r="O742" s="80"/>
      <c r="P742" s="80" t="s">
        <v>261</v>
      </c>
      <c r="V742" s="80"/>
      <c r="W742" s="80"/>
      <c r="X742" s="2283" t="s">
        <v>583</v>
      </c>
      <c r="Y742" s="123" t="s">
        <v>1713</v>
      </c>
      <c r="Z742" s="644">
        <v>3</v>
      </c>
      <c r="AA742" s="595">
        <v>0</v>
      </c>
      <c r="AB742" s="595">
        <f t="shared" si="11"/>
        <v>24</v>
      </c>
      <c r="AC742" s="595">
        <v>8</v>
      </c>
      <c r="AD742" s="595"/>
      <c r="AE742" s="599" t="s">
        <v>560</v>
      </c>
      <c r="AF742" s="599"/>
      <c r="AG742" s="599"/>
      <c r="AH742" s="599"/>
      <c r="AI742" s="599"/>
      <c r="AJ742" s="595"/>
      <c r="AK742" s="80"/>
    </row>
    <row r="743" spans="1:37" ht="18" customHeight="1" outlineLevel="1">
      <c r="A743" s="622">
        <v>113</v>
      </c>
      <c r="B743" s="622" t="s">
        <v>1714</v>
      </c>
      <c r="C743" s="622" t="s">
        <v>1715</v>
      </c>
      <c r="D743" s="622" t="s">
        <v>617</v>
      </c>
      <c r="E743" s="622">
        <v>8</v>
      </c>
      <c r="F743" s="622" t="s">
        <v>260</v>
      </c>
      <c r="G743" s="623" t="s">
        <v>325</v>
      </c>
      <c r="H743" s="622" t="s">
        <v>325</v>
      </c>
      <c r="I743" s="622"/>
      <c r="J743" s="622" t="s">
        <v>325</v>
      </c>
      <c r="K743" s="622"/>
      <c r="L743" s="622"/>
      <c r="M743" s="622" t="s">
        <v>325</v>
      </c>
      <c r="N743" s="622" t="s">
        <v>325</v>
      </c>
      <c r="O743" s="622" t="s">
        <v>325</v>
      </c>
      <c r="P743" s="622" t="s">
        <v>261</v>
      </c>
      <c r="Q743" s="622" t="s">
        <v>325</v>
      </c>
      <c r="R743" s="622" t="s">
        <v>325</v>
      </c>
      <c r="S743" s="622" t="s">
        <v>325</v>
      </c>
      <c r="T743" s="622" t="s">
        <v>325</v>
      </c>
      <c r="U743" s="622"/>
      <c r="V743" s="597"/>
      <c r="W743" s="597"/>
      <c r="X743" s="597" t="s">
        <v>1716</v>
      </c>
      <c r="Y743" s="597"/>
      <c r="Z743" s="622"/>
      <c r="AA743" s="622"/>
      <c r="AB743" s="595">
        <f t="shared" si="11"/>
        <v>0</v>
      </c>
      <c r="AC743" s="622"/>
      <c r="AD743" s="622"/>
      <c r="AE743" s="608"/>
      <c r="AF743" s="622"/>
      <c r="AG743" s="622"/>
      <c r="AH743" s="622"/>
      <c r="AI743" s="622"/>
      <c r="AJ743" s="622"/>
      <c r="AK743" s="125"/>
    </row>
    <row r="744" spans="1:37" ht="14.25" customHeight="1">
      <c r="G744" s="182" t="s">
        <v>325</v>
      </c>
      <c r="H744" s="80" t="s">
        <v>325</v>
      </c>
      <c r="I744" s="80"/>
      <c r="J744" s="80" t="s">
        <v>325</v>
      </c>
      <c r="K744" s="80"/>
      <c r="L744" s="80"/>
      <c r="M744" s="80" t="s">
        <v>325</v>
      </c>
      <c r="N744" s="80" t="s">
        <v>325</v>
      </c>
      <c r="O744" s="80" t="s">
        <v>325</v>
      </c>
      <c r="P744" s="80" t="s">
        <v>261</v>
      </c>
      <c r="Q744" s="80" t="s">
        <v>325</v>
      </c>
      <c r="R744" s="80" t="s">
        <v>325</v>
      </c>
      <c r="S744" s="80" t="s">
        <v>325</v>
      </c>
      <c r="T744" s="80" t="s">
        <v>325</v>
      </c>
      <c r="U744" s="59"/>
      <c r="V744" s="94"/>
      <c r="W744" s="94"/>
      <c r="X744" s="92" t="s">
        <v>619</v>
      </c>
      <c r="Y744" s="161"/>
      <c r="Z744" s="143"/>
      <c r="AA744" s="133"/>
      <c r="AB744" s="595">
        <f t="shared" si="11"/>
        <v>0</v>
      </c>
      <c r="AC744" s="133"/>
      <c r="AD744" s="133"/>
      <c r="AE744" s="133"/>
      <c r="AF744" s="133"/>
      <c r="AG744" s="133"/>
      <c r="AH744" s="133"/>
      <c r="AI744" s="133"/>
      <c r="AJ744" s="133"/>
    </row>
    <row r="745" spans="1:37" ht="14.25" customHeight="1">
      <c r="X745" s="596"/>
    </row>
    <row r="746" spans="1:37" ht="14.25" customHeight="1">
      <c r="X746" s="596"/>
    </row>
    <row r="747" spans="1:37" ht="14.25" customHeight="1">
      <c r="X747" s="596"/>
    </row>
    <row r="748" spans="1:37" ht="18" customHeight="1" outlineLevel="1">
      <c r="A748" s="631">
        <v>114</v>
      </c>
      <c r="B748" s="631" t="s">
        <v>1717</v>
      </c>
      <c r="C748" s="631" t="s">
        <v>1718</v>
      </c>
      <c r="D748" s="631" t="s">
        <v>922</v>
      </c>
      <c r="E748" s="631">
        <v>8</v>
      </c>
      <c r="F748" s="631" t="s">
        <v>260</v>
      </c>
      <c r="G748" s="632" t="s">
        <v>325</v>
      </c>
      <c r="H748" s="631" t="s">
        <v>325</v>
      </c>
      <c r="I748" s="631"/>
      <c r="J748" s="631"/>
      <c r="K748" s="631"/>
      <c r="L748" s="631"/>
      <c r="M748" s="631"/>
      <c r="N748" s="631"/>
      <c r="O748" s="631" t="s">
        <v>261</v>
      </c>
      <c r="P748" s="631"/>
      <c r="Q748" s="631"/>
      <c r="R748" s="631"/>
      <c r="S748" s="631"/>
      <c r="T748" s="631"/>
      <c r="U748" s="631"/>
      <c r="V748" s="633"/>
      <c r="W748" s="633"/>
      <c r="X748" s="633" t="s">
        <v>1719</v>
      </c>
      <c r="Y748" s="633"/>
      <c r="Z748" s="631"/>
      <c r="AA748" s="631"/>
      <c r="AB748" s="634"/>
      <c r="AC748" s="631"/>
      <c r="AD748" s="631"/>
      <c r="AE748" s="631"/>
      <c r="AF748" s="632"/>
      <c r="AG748" s="632"/>
      <c r="AH748" s="632"/>
      <c r="AI748" s="632"/>
      <c r="AJ748" s="632"/>
    </row>
    <row r="749" spans="1:37" ht="45.75" customHeight="1" outlineLevel="1">
      <c r="G749" s="632" t="s">
        <v>325</v>
      </c>
      <c r="H749" s="631" t="s">
        <v>325</v>
      </c>
      <c r="I749" s="80"/>
      <c r="J749" s="80"/>
      <c r="K749" s="80"/>
      <c r="L749" s="80"/>
      <c r="M749" s="80"/>
      <c r="N749" s="80"/>
      <c r="O749" s="631" t="s">
        <v>261</v>
      </c>
      <c r="P749" s="80"/>
      <c r="Q749" s="80"/>
      <c r="R749" s="80"/>
      <c r="S749" s="80"/>
      <c r="T749" s="80"/>
      <c r="U749" s="59"/>
      <c r="X749" s="2284" t="s">
        <v>1720</v>
      </c>
      <c r="Y749" s="716" t="s">
        <v>1721</v>
      </c>
      <c r="Z749" s="717">
        <v>0</v>
      </c>
      <c r="AA749" s="646">
        <v>0</v>
      </c>
      <c r="AB749" s="595">
        <v>0</v>
      </c>
      <c r="AC749" s="646">
        <v>8</v>
      </c>
      <c r="AD749" s="646"/>
      <c r="AE749" s="646"/>
      <c r="AF749" s="189">
        <v>1</v>
      </c>
      <c r="AG749" s="600">
        <v>-40</v>
      </c>
      <c r="AH749" s="600"/>
      <c r="AI749" s="600"/>
      <c r="AJ749" s="189" t="s">
        <v>508</v>
      </c>
    </row>
    <row r="750" spans="1:37" ht="45.75" customHeight="1" outlineLevel="1">
      <c r="G750" s="632" t="s">
        <v>325</v>
      </c>
      <c r="H750" s="631" t="s">
        <v>325</v>
      </c>
      <c r="I750" s="80"/>
      <c r="J750" s="80"/>
      <c r="K750" s="80"/>
      <c r="L750" s="80"/>
      <c r="M750" s="80"/>
      <c r="N750" s="80"/>
      <c r="O750" s="631" t="s">
        <v>261</v>
      </c>
      <c r="P750" s="80"/>
      <c r="Q750" s="80"/>
      <c r="R750" s="80"/>
      <c r="S750" s="80"/>
      <c r="T750" s="80"/>
      <c r="U750" s="59"/>
      <c r="X750" s="2285" t="s">
        <v>1722</v>
      </c>
      <c r="Y750" s="716" t="s">
        <v>1723</v>
      </c>
      <c r="Z750" s="717">
        <v>1</v>
      </c>
      <c r="AA750" s="646">
        <v>0</v>
      </c>
      <c r="AB750" s="595">
        <v>8</v>
      </c>
      <c r="AC750" s="646">
        <v>8</v>
      </c>
      <c r="AD750" s="646"/>
      <c r="AE750" s="646"/>
      <c r="AF750" s="600">
        <v>0.1</v>
      </c>
      <c r="AG750" s="600">
        <v>0</v>
      </c>
      <c r="AH750" s="600"/>
      <c r="AI750" s="600"/>
      <c r="AJ750" s="600" t="s">
        <v>1724</v>
      </c>
    </row>
    <row r="751" spans="1:37" ht="45.75" customHeight="1" outlineLevel="1">
      <c r="G751" s="632" t="s">
        <v>325</v>
      </c>
      <c r="H751" s="631" t="s">
        <v>325</v>
      </c>
      <c r="I751" s="80"/>
      <c r="J751" s="80"/>
      <c r="K751" s="80"/>
      <c r="L751" s="80"/>
      <c r="M751" s="80"/>
      <c r="N751" s="80"/>
      <c r="O751" s="631" t="s">
        <v>261</v>
      </c>
      <c r="P751" s="80"/>
      <c r="Q751" s="80"/>
      <c r="R751" s="80"/>
      <c r="S751" s="80"/>
      <c r="T751" s="80"/>
      <c r="U751" s="59"/>
      <c r="X751" s="2286" t="s">
        <v>1725</v>
      </c>
      <c r="Y751" s="716" t="s">
        <v>1726</v>
      </c>
      <c r="Z751" s="717">
        <v>2</v>
      </c>
      <c r="AA751" s="646">
        <v>0</v>
      </c>
      <c r="AB751" s="595">
        <v>16</v>
      </c>
      <c r="AC751" s="646">
        <v>8</v>
      </c>
      <c r="AD751" s="646"/>
      <c r="AE751" s="646"/>
      <c r="AF751" s="189">
        <v>1</v>
      </c>
      <c r="AG751" s="600">
        <v>-40</v>
      </c>
      <c r="AH751" s="600"/>
      <c r="AI751" s="600"/>
      <c r="AJ751" s="189" t="s">
        <v>508</v>
      </c>
    </row>
    <row r="752" spans="1:37" ht="45.75" customHeight="1" outlineLevel="1">
      <c r="G752" s="632" t="s">
        <v>325</v>
      </c>
      <c r="H752" s="631" t="s">
        <v>325</v>
      </c>
      <c r="I752" s="80"/>
      <c r="J752" s="80"/>
      <c r="K752" s="80"/>
      <c r="L752" s="80"/>
      <c r="M752" s="80"/>
      <c r="N752" s="80"/>
      <c r="O752" s="631" t="s">
        <v>261</v>
      </c>
      <c r="P752" s="80"/>
      <c r="Q752" s="80"/>
      <c r="R752" s="80"/>
      <c r="S752" s="80"/>
      <c r="T752" s="80"/>
      <c r="U752" s="59"/>
      <c r="X752" s="2287" t="s">
        <v>1727</v>
      </c>
      <c r="Y752" s="716" t="s">
        <v>1728</v>
      </c>
      <c r="Z752" s="717">
        <v>3</v>
      </c>
      <c r="AA752" s="646">
        <v>0</v>
      </c>
      <c r="AB752" s="595">
        <v>24</v>
      </c>
      <c r="AC752" s="646">
        <v>8</v>
      </c>
      <c r="AD752" s="646"/>
      <c r="AE752" s="646"/>
      <c r="AF752" s="600">
        <v>0.1</v>
      </c>
      <c r="AG752" s="600">
        <v>0</v>
      </c>
      <c r="AH752" s="600"/>
      <c r="AI752" s="600"/>
      <c r="AJ752" s="600" t="s">
        <v>1724</v>
      </c>
    </row>
    <row r="753" spans="1:36" ht="45.75" customHeight="1" outlineLevel="1">
      <c r="G753" s="632" t="s">
        <v>325</v>
      </c>
      <c r="H753" s="631" t="s">
        <v>325</v>
      </c>
      <c r="I753" s="80"/>
      <c r="J753" s="80"/>
      <c r="K753" s="80"/>
      <c r="L753" s="80"/>
      <c r="M753" s="80"/>
      <c r="N753" s="80"/>
      <c r="O753" s="631" t="s">
        <v>261</v>
      </c>
      <c r="P753" s="80"/>
      <c r="Q753" s="80"/>
      <c r="R753" s="80"/>
      <c r="S753" s="80"/>
      <c r="T753" s="80"/>
      <c r="U753" s="59"/>
      <c r="X753" s="2288" t="s">
        <v>1729</v>
      </c>
      <c r="Y753" s="716" t="s">
        <v>1730</v>
      </c>
      <c r="Z753" s="717">
        <v>4</v>
      </c>
      <c r="AA753" s="646">
        <v>0</v>
      </c>
      <c r="AB753" s="595">
        <v>32</v>
      </c>
      <c r="AC753" s="646">
        <v>1</v>
      </c>
      <c r="AD753" s="646"/>
      <c r="AE753" s="646" t="s">
        <v>1731</v>
      </c>
      <c r="AF753" s="646"/>
      <c r="AG753" s="646"/>
      <c r="AH753" s="646"/>
      <c r="AI753" s="646"/>
      <c r="AJ753" s="646"/>
    </row>
    <row r="754" spans="1:36" ht="45.75" customHeight="1" outlineLevel="1">
      <c r="G754" s="632" t="s">
        <v>325</v>
      </c>
      <c r="H754" s="631" t="s">
        <v>325</v>
      </c>
      <c r="I754" s="80"/>
      <c r="J754" s="80"/>
      <c r="K754" s="80"/>
      <c r="L754" s="80"/>
      <c r="M754" s="80"/>
      <c r="N754" s="80"/>
      <c r="O754" s="631" t="s">
        <v>261</v>
      </c>
      <c r="P754" s="80"/>
      <c r="Q754" s="80"/>
      <c r="R754" s="80"/>
      <c r="S754" s="80"/>
      <c r="T754" s="80"/>
      <c r="U754" s="59"/>
      <c r="X754" s="599" t="s">
        <v>1732</v>
      </c>
      <c r="Y754" s="644" t="s">
        <v>1733</v>
      </c>
      <c r="Z754" s="625">
        <v>5</v>
      </c>
      <c r="AA754" s="595">
        <v>0</v>
      </c>
      <c r="AB754" s="595">
        <v>40</v>
      </c>
      <c r="AC754" s="595">
        <v>8</v>
      </c>
      <c r="AD754" s="595"/>
      <c r="AE754" s="2289" t="s">
        <v>1734</v>
      </c>
      <c r="AF754" s="599">
        <v>0.4</v>
      </c>
      <c r="AG754" s="599">
        <v>0</v>
      </c>
      <c r="AH754" s="599" t="s">
        <v>1735</v>
      </c>
      <c r="AI754" s="599"/>
      <c r="AJ754" s="595" t="s">
        <v>904</v>
      </c>
    </row>
    <row r="755" spans="1:36" ht="45.75" customHeight="1" outlineLevel="1">
      <c r="G755" s="632" t="s">
        <v>325</v>
      </c>
      <c r="H755" s="631" t="s">
        <v>325</v>
      </c>
      <c r="I755" s="80"/>
      <c r="J755" s="80"/>
      <c r="K755" s="80"/>
      <c r="L755" s="80"/>
      <c r="M755" s="80"/>
      <c r="N755" s="80"/>
      <c r="O755" s="631" t="s">
        <v>261</v>
      </c>
      <c r="P755" s="80"/>
      <c r="Q755" s="80"/>
      <c r="R755" s="80"/>
      <c r="S755" s="80"/>
      <c r="T755" s="80"/>
      <c r="U755" s="59"/>
      <c r="X755" s="599" t="s">
        <v>1736</v>
      </c>
      <c r="Y755" s="644" t="s">
        <v>1737</v>
      </c>
      <c r="Z755" s="625">
        <v>6</v>
      </c>
      <c r="AA755" s="595">
        <v>0</v>
      </c>
      <c r="AB755" s="595">
        <v>48</v>
      </c>
      <c r="AC755" s="595">
        <v>8</v>
      </c>
      <c r="AD755" s="595"/>
      <c r="AE755" s="2290" t="s">
        <v>1738</v>
      </c>
      <c r="AF755" s="599">
        <v>0.4</v>
      </c>
      <c r="AG755" s="599">
        <v>0</v>
      </c>
      <c r="AH755" s="599" t="s">
        <v>1735</v>
      </c>
      <c r="AI755" s="599"/>
      <c r="AJ755" s="595" t="s">
        <v>904</v>
      </c>
    </row>
    <row r="756" spans="1:36" ht="14.25" customHeight="1">
      <c r="G756" s="632" t="s">
        <v>325</v>
      </c>
      <c r="H756" s="631" t="s">
        <v>325</v>
      </c>
      <c r="I756" s="80"/>
      <c r="J756" s="80"/>
      <c r="K756" s="80"/>
      <c r="L756" s="80"/>
      <c r="M756" s="80"/>
      <c r="N756" s="80"/>
      <c r="O756" s="631" t="s">
        <v>261</v>
      </c>
      <c r="P756" s="80"/>
      <c r="Q756" s="80"/>
      <c r="R756" s="80"/>
      <c r="S756" s="80"/>
      <c r="T756" s="80"/>
      <c r="U756" s="59"/>
      <c r="X756" s="599" t="s">
        <v>1739</v>
      </c>
      <c r="Y756" s="644" t="s">
        <v>1740</v>
      </c>
      <c r="Z756" s="625">
        <v>7</v>
      </c>
      <c r="AA756" s="595">
        <v>0</v>
      </c>
      <c r="AB756" s="595">
        <v>56</v>
      </c>
      <c r="AC756" s="595">
        <v>8</v>
      </c>
      <c r="AD756" s="595"/>
      <c r="AE756" s="2291" t="s">
        <v>1741</v>
      </c>
      <c r="AF756" s="599">
        <v>0.4</v>
      </c>
      <c r="AG756" s="599">
        <v>0</v>
      </c>
      <c r="AH756" s="599" t="s">
        <v>1735</v>
      </c>
      <c r="AI756" s="599"/>
      <c r="AJ756" s="595" t="s">
        <v>904</v>
      </c>
    </row>
    <row r="757" spans="1:36" ht="14.25" customHeight="1">
      <c r="G757" s="632" t="s">
        <v>325</v>
      </c>
      <c r="H757" s="631" t="s">
        <v>325</v>
      </c>
      <c r="I757" s="80"/>
      <c r="J757" s="80"/>
      <c r="K757" s="80"/>
      <c r="L757" s="80"/>
      <c r="M757" s="80"/>
      <c r="N757" s="80"/>
      <c r="O757" s="631" t="s">
        <v>261</v>
      </c>
      <c r="P757" s="80"/>
      <c r="Q757" s="80"/>
      <c r="R757" s="80"/>
      <c r="S757" s="80"/>
      <c r="T757" s="80"/>
      <c r="U757" s="59"/>
      <c r="X757" s="538"/>
      <c r="AB757" s="595"/>
    </row>
    <row r="758" spans="1:36" ht="14.25" customHeight="1">
      <c r="G758" s="632" t="s">
        <v>325</v>
      </c>
      <c r="H758" s="631" t="s">
        <v>325</v>
      </c>
      <c r="I758" s="80"/>
      <c r="J758" s="80"/>
      <c r="K758" s="80"/>
      <c r="L758" s="80"/>
      <c r="M758" s="80"/>
      <c r="N758" s="80"/>
      <c r="O758" s="631" t="s">
        <v>261</v>
      </c>
      <c r="P758" s="80"/>
      <c r="Q758" s="80"/>
      <c r="R758" s="80"/>
      <c r="S758" s="80"/>
      <c r="T758" s="80"/>
      <c r="U758" s="59"/>
      <c r="X758" s="538"/>
      <c r="AB758" s="595"/>
    </row>
    <row r="759" spans="1:36" ht="18" customHeight="1" outlineLevel="1">
      <c r="A759" s="184">
        <v>115</v>
      </c>
      <c r="B759" s="552" t="s">
        <v>1742</v>
      </c>
      <c r="C759" s="552" t="s">
        <v>1743</v>
      </c>
      <c r="D759" s="631" t="s">
        <v>922</v>
      </c>
      <c r="E759" s="552">
        <v>8</v>
      </c>
      <c r="F759" s="552" t="s">
        <v>260</v>
      </c>
      <c r="G759" s="553" t="s">
        <v>325</v>
      </c>
      <c r="H759" s="552" t="s">
        <v>325</v>
      </c>
      <c r="I759" s="552"/>
      <c r="J759" s="552"/>
      <c r="K759" s="552"/>
      <c r="L759" s="552"/>
      <c r="M759" s="552"/>
      <c r="N759" s="552"/>
      <c r="O759" s="631" t="s">
        <v>261</v>
      </c>
      <c r="P759" s="552"/>
      <c r="Q759" s="552"/>
      <c r="R759" s="552"/>
      <c r="S759" s="552"/>
      <c r="T759" s="552"/>
      <c r="U759" s="552"/>
      <c r="V759" s="554"/>
      <c r="W759" s="554"/>
      <c r="X759" s="554" t="s">
        <v>1744</v>
      </c>
      <c r="Y759" s="554"/>
      <c r="Z759" s="552"/>
      <c r="AA759" s="552"/>
      <c r="AB759" s="555">
        <v>0</v>
      </c>
      <c r="AC759" s="552"/>
      <c r="AD759" s="552"/>
      <c r="AE759" s="556"/>
      <c r="AF759" s="552"/>
      <c r="AG759" s="552"/>
      <c r="AH759" s="552"/>
      <c r="AI759" s="552"/>
      <c r="AJ759" s="552"/>
    </row>
    <row r="760" spans="1:36" ht="48" customHeight="1" outlineLevel="1">
      <c r="G760" s="553" t="s">
        <v>325</v>
      </c>
      <c r="H760" s="552" t="s">
        <v>325</v>
      </c>
      <c r="I760" s="80"/>
      <c r="J760" s="80"/>
      <c r="K760" s="80"/>
      <c r="L760" s="80"/>
      <c r="M760" s="80"/>
      <c r="N760" s="80"/>
      <c r="O760" s="631" t="s">
        <v>261</v>
      </c>
      <c r="P760" s="80"/>
      <c r="Q760" s="80"/>
      <c r="R760" s="80"/>
      <c r="S760" s="80"/>
      <c r="T760" s="80"/>
      <c r="U760" s="59"/>
      <c r="X760" s="676" t="s">
        <v>913</v>
      </c>
      <c r="Y760" s="718" t="s">
        <v>1745</v>
      </c>
      <c r="Z760" s="609">
        <v>0</v>
      </c>
      <c r="AA760" s="609">
        <v>0</v>
      </c>
      <c r="AB760" s="593">
        <v>0</v>
      </c>
      <c r="AC760" s="593">
        <v>8</v>
      </c>
      <c r="AD760" s="609"/>
      <c r="AE760" s="609" t="s">
        <v>914</v>
      </c>
      <c r="AF760" s="593">
        <v>0.4</v>
      </c>
      <c r="AG760" s="593">
        <v>0</v>
      </c>
      <c r="AH760" s="609">
        <v>100</v>
      </c>
      <c r="AI760" s="609"/>
      <c r="AJ760" s="593" t="s">
        <v>904</v>
      </c>
    </row>
    <row r="761" spans="1:36" ht="60.75" customHeight="1" outlineLevel="1">
      <c r="G761" s="553" t="s">
        <v>325</v>
      </c>
      <c r="H761" s="552" t="s">
        <v>325</v>
      </c>
      <c r="I761" s="80"/>
      <c r="J761" s="80"/>
      <c r="K761" s="80"/>
      <c r="L761" s="80"/>
      <c r="M761" s="80"/>
      <c r="N761" s="80"/>
      <c r="O761" s="631" t="s">
        <v>261</v>
      </c>
      <c r="P761" s="80"/>
      <c r="Q761" s="80"/>
      <c r="R761" s="80"/>
      <c r="S761" s="80"/>
      <c r="T761" s="80"/>
      <c r="U761" s="59"/>
      <c r="X761" s="2292" t="s">
        <v>1746</v>
      </c>
      <c r="Y761" s="718" t="s">
        <v>1747</v>
      </c>
      <c r="Z761" s="609">
        <v>1</v>
      </c>
      <c r="AA761" s="609">
        <v>0</v>
      </c>
      <c r="AB761" s="593">
        <v>8</v>
      </c>
      <c r="AC761" s="593">
        <v>8</v>
      </c>
      <c r="AD761" s="609"/>
      <c r="AE761" s="609" t="s">
        <v>916</v>
      </c>
      <c r="AF761" s="593">
        <v>0.4</v>
      </c>
      <c r="AG761" s="593">
        <v>0</v>
      </c>
      <c r="AH761" s="609">
        <v>100</v>
      </c>
      <c r="AI761" s="609"/>
      <c r="AJ761" s="593" t="s">
        <v>904</v>
      </c>
    </row>
    <row r="762" spans="1:36" ht="27.75" customHeight="1" outlineLevel="1">
      <c r="G762" s="553" t="s">
        <v>325</v>
      </c>
      <c r="H762" s="552" t="s">
        <v>325</v>
      </c>
      <c r="I762" s="80"/>
      <c r="J762" s="80"/>
      <c r="K762" s="80"/>
      <c r="L762" s="80"/>
      <c r="M762" s="80"/>
      <c r="N762" s="80"/>
      <c r="O762" s="631" t="s">
        <v>261</v>
      </c>
      <c r="P762" s="80"/>
      <c r="Q762" s="80"/>
      <c r="R762" s="80"/>
      <c r="S762" s="80"/>
      <c r="T762" s="80"/>
      <c r="U762" s="59"/>
      <c r="X762" s="2293" t="s">
        <v>1748</v>
      </c>
      <c r="Y762" s="718" t="s">
        <v>1749</v>
      </c>
      <c r="Z762" s="609">
        <v>2</v>
      </c>
      <c r="AA762" s="609">
        <v>0</v>
      </c>
      <c r="AB762" s="593">
        <v>16</v>
      </c>
      <c r="AC762" s="593">
        <v>1</v>
      </c>
      <c r="AD762" s="609"/>
      <c r="AE762" s="609" t="s">
        <v>875</v>
      </c>
      <c r="AF762" s="593">
        <v>1</v>
      </c>
      <c r="AG762" s="593">
        <v>0</v>
      </c>
      <c r="AH762" s="593"/>
      <c r="AI762" s="609"/>
      <c r="AJ762" s="609"/>
    </row>
    <row r="763" spans="1:36" ht="27.75" customHeight="1" outlineLevel="1">
      <c r="G763" s="553" t="s">
        <v>325</v>
      </c>
      <c r="H763" s="552" t="s">
        <v>325</v>
      </c>
      <c r="I763" s="80"/>
      <c r="J763" s="80"/>
      <c r="K763" s="80"/>
      <c r="L763" s="80"/>
      <c r="M763" s="80"/>
      <c r="N763" s="80"/>
      <c r="O763" s="631" t="s">
        <v>261</v>
      </c>
      <c r="P763" s="80"/>
      <c r="Q763" s="80"/>
      <c r="R763" s="80"/>
      <c r="S763" s="80"/>
      <c r="T763" s="80"/>
      <c r="U763" s="59"/>
      <c r="X763" s="2294" t="s">
        <v>877</v>
      </c>
      <c r="Y763" s="718" t="s">
        <v>1750</v>
      </c>
      <c r="Z763" s="609">
        <v>2</v>
      </c>
      <c r="AA763" s="609">
        <v>1</v>
      </c>
      <c r="AB763" s="593">
        <v>17</v>
      </c>
      <c r="AC763" s="593">
        <v>1</v>
      </c>
      <c r="AD763" s="609"/>
      <c r="AE763" s="609" t="s">
        <v>875</v>
      </c>
      <c r="AF763" s="593">
        <v>1</v>
      </c>
      <c r="AG763" s="593">
        <v>0</v>
      </c>
      <c r="AH763" s="593"/>
      <c r="AI763" s="609"/>
      <c r="AJ763" s="609"/>
    </row>
    <row r="764" spans="1:36" ht="27.75" customHeight="1" outlineLevel="1">
      <c r="G764" s="553" t="s">
        <v>325</v>
      </c>
      <c r="H764" s="552" t="s">
        <v>325</v>
      </c>
      <c r="I764" s="80"/>
      <c r="J764" s="80"/>
      <c r="K764" s="80"/>
      <c r="L764" s="80"/>
      <c r="M764" s="80"/>
      <c r="N764" s="80"/>
      <c r="O764" s="631" t="s">
        <v>261</v>
      </c>
      <c r="P764" s="80"/>
      <c r="Q764" s="80"/>
      <c r="R764" s="80"/>
      <c r="S764" s="80"/>
      <c r="T764" s="80"/>
      <c r="U764" s="59"/>
      <c r="X764" s="676" t="s">
        <v>879</v>
      </c>
      <c r="Y764" s="718" t="s">
        <v>1751</v>
      </c>
      <c r="Z764" s="609">
        <v>2</v>
      </c>
      <c r="AA764" s="609">
        <v>2</v>
      </c>
      <c r="AB764" s="593">
        <v>18</v>
      </c>
      <c r="AC764" s="593">
        <v>1</v>
      </c>
      <c r="AD764" s="609"/>
      <c r="AE764" s="609" t="s">
        <v>880</v>
      </c>
      <c r="AF764" s="593">
        <v>1</v>
      </c>
      <c r="AG764" s="593">
        <v>0</v>
      </c>
      <c r="AH764" s="593"/>
      <c r="AI764" s="609"/>
      <c r="AJ764" s="609"/>
    </row>
    <row r="765" spans="1:36" ht="27.75" customHeight="1" outlineLevel="1">
      <c r="G765" s="553" t="s">
        <v>325</v>
      </c>
      <c r="H765" s="552" t="s">
        <v>325</v>
      </c>
      <c r="I765" s="80"/>
      <c r="J765" s="80"/>
      <c r="K765" s="80"/>
      <c r="L765" s="80"/>
      <c r="M765" s="80"/>
      <c r="N765" s="80"/>
      <c r="O765" s="631" t="s">
        <v>261</v>
      </c>
      <c r="P765" s="80"/>
      <c r="Q765" s="80"/>
      <c r="R765" s="80"/>
      <c r="S765" s="80"/>
      <c r="T765" s="80"/>
      <c r="U765" s="59"/>
      <c r="X765" s="676" t="s">
        <v>882</v>
      </c>
      <c r="Y765" s="718" t="s">
        <v>1752</v>
      </c>
      <c r="Z765" s="609">
        <v>2</v>
      </c>
      <c r="AA765" s="609">
        <v>3</v>
      </c>
      <c r="AB765" s="593">
        <v>19</v>
      </c>
      <c r="AC765" s="593">
        <v>1</v>
      </c>
      <c r="AD765" s="609"/>
      <c r="AE765" s="609" t="s">
        <v>880</v>
      </c>
      <c r="AF765" s="593">
        <v>1</v>
      </c>
      <c r="AG765" s="593">
        <v>0</v>
      </c>
      <c r="AH765" s="593"/>
      <c r="AI765" s="609"/>
      <c r="AJ765" s="609"/>
    </row>
    <row r="766" spans="1:36" ht="27.75" customHeight="1" outlineLevel="1">
      <c r="G766" s="553" t="s">
        <v>325</v>
      </c>
      <c r="H766" s="552" t="s">
        <v>325</v>
      </c>
      <c r="I766" s="80"/>
      <c r="J766" s="80"/>
      <c r="K766" s="80"/>
      <c r="L766" s="80"/>
      <c r="M766" s="80"/>
      <c r="N766" s="80"/>
      <c r="O766" s="631" t="s">
        <v>261</v>
      </c>
      <c r="P766" s="80"/>
      <c r="Q766" s="80"/>
      <c r="R766" s="80"/>
      <c r="S766" s="80"/>
      <c r="T766" s="80"/>
      <c r="U766" s="59"/>
      <c r="X766" s="2295" t="s">
        <v>884</v>
      </c>
      <c r="Y766" s="157" t="s">
        <v>1753</v>
      </c>
      <c r="Z766" s="609">
        <v>2</v>
      </c>
      <c r="AA766" s="609">
        <v>4</v>
      </c>
      <c r="AB766" s="593">
        <v>20</v>
      </c>
      <c r="AC766" s="593">
        <v>1</v>
      </c>
      <c r="AD766" s="609"/>
      <c r="AE766" s="609" t="s">
        <v>885</v>
      </c>
      <c r="AF766" s="593">
        <v>1</v>
      </c>
      <c r="AG766" s="593">
        <v>0</v>
      </c>
      <c r="AH766" s="593"/>
      <c r="AI766" s="609"/>
      <c r="AJ766" s="609"/>
    </row>
    <row r="767" spans="1:36" ht="27.75" customHeight="1" outlineLevel="1">
      <c r="G767" s="553" t="s">
        <v>325</v>
      </c>
      <c r="H767" s="552" t="s">
        <v>325</v>
      </c>
      <c r="I767" s="80"/>
      <c r="J767" s="80"/>
      <c r="K767" s="80"/>
      <c r="L767" s="80"/>
      <c r="M767" s="80"/>
      <c r="N767" s="80"/>
      <c r="O767" s="631" t="s">
        <v>261</v>
      </c>
      <c r="P767" s="80"/>
      <c r="Q767" s="80"/>
      <c r="R767" s="80"/>
      <c r="S767" s="80"/>
      <c r="T767" s="80"/>
      <c r="U767" s="59"/>
      <c r="X767" s="2296" t="s">
        <v>887</v>
      </c>
      <c r="Y767" s="718" t="s">
        <v>1754</v>
      </c>
      <c r="Z767" s="609">
        <v>2</v>
      </c>
      <c r="AA767" s="609">
        <v>5</v>
      </c>
      <c r="AB767" s="593">
        <v>21</v>
      </c>
      <c r="AC767" s="593">
        <v>1</v>
      </c>
      <c r="AD767" s="609"/>
      <c r="AE767" s="609" t="s">
        <v>885</v>
      </c>
      <c r="AF767" s="593">
        <v>1</v>
      </c>
      <c r="AG767" s="593">
        <v>0</v>
      </c>
      <c r="AH767" s="593"/>
      <c r="AI767" s="609"/>
      <c r="AJ767" s="609"/>
    </row>
    <row r="768" spans="1:36" ht="41.25" customHeight="1" outlineLevel="1">
      <c r="G768" s="553" t="s">
        <v>325</v>
      </c>
      <c r="H768" s="552" t="s">
        <v>325</v>
      </c>
      <c r="I768" s="80"/>
      <c r="J768" s="80"/>
      <c r="K768" s="80"/>
      <c r="L768" s="80"/>
      <c r="M768" s="80"/>
      <c r="N768" s="80"/>
      <c r="O768" s="631" t="s">
        <v>261</v>
      </c>
      <c r="P768" s="80"/>
      <c r="Q768" s="80"/>
      <c r="R768" s="80"/>
      <c r="S768" s="80"/>
      <c r="T768" s="80"/>
      <c r="U768" s="59"/>
      <c r="X768" s="2297" t="s">
        <v>1755</v>
      </c>
      <c r="Y768" s="684" t="s">
        <v>1756</v>
      </c>
      <c r="Z768" s="719">
        <v>2</v>
      </c>
      <c r="AA768" s="609">
        <v>6</v>
      </c>
      <c r="AB768" s="593">
        <v>22</v>
      </c>
      <c r="AC768" s="593">
        <v>1</v>
      </c>
      <c r="AD768" s="609"/>
      <c r="AE768" s="609" t="s">
        <v>1757</v>
      </c>
      <c r="AF768" s="593">
        <v>1</v>
      </c>
      <c r="AG768" s="593">
        <v>0</v>
      </c>
      <c r="AH768" s="593"/>
      <c r="AI768" s="609"/>
      <c r="AJ768" s="609"/>
    </row>
    <row r="769" spans="1:40" ht="75.75" customHeight="1" outlineLevel="1">
      <c r="A769" s="1363"/>
      <c r="B769" s="1363"/>
      <c r="C769" s="1363"/>
      <c r="D769" s="1363"/>
      <c r="E769" s="1363"/>
      <c r="F769" s="1363"/>
      <c r="G769" s="553"/>
      <c r="H769" s="552"/>
      <c r="I769" s="1262"/>
      <c r="J769" s="1262"/>
      <c r="K769" s="1262"/>
      <c r="L769" s="1262"/>
      <c r="M769" s="1262"/>
      <c r="N769" s="1262"/>
      <c r="O769" s="672"/>
      <c r="P769" s="1262"/>
      <c r="Q769" s="1262"/>
      <c r="R769" s="1262"/>
      <c r="S769" s="1262"/>
      <c r="T769" s="1262"/>
      <c r="U769" s="613"/>
      <c r="V769" s="117"/>
      <c r="W769" s="117"/>
      <c r="X769" s="2298" t="s">
        <v>1758</v>
      </c>
      <c r="Y769" s="720" t="s">
        <v>1759</v>
      </c>
      <c r="Z769" s="1342">
        <v>2</v>
      </c>
      <c r="AA769" s="1373">
        <v>7</v>
      </c>
      <c r="AB769" s="1181">
        <v>23</v>
      </c>
      <c r="AC769" s="1181">
        <v>1</v>
      </c>
      <c r="AD769" s="1373"/>
      <c r="AE769" s="1373" t="s">
        <v>1757</v>
      </c>
      <c r="AF769" s="1181">
        <v>1</v>
      </c>
      <c r="AG769" s="1181">
        <v>0</v>
      </c>
      <c r="AH769" s="1181"/>
      <c r="AI769" s="1373"/>
      <c r="AJ769" s="609"/>
    </row>
    <row r="770" spans="1:40" ht="75.75" customHeight="1" outlineLevel="1">
      <c r="G770" s="553" t="s">
        <v>325</v>
      </c>
      <c r="H770" s="552" t="s">
        <v>325</v>
      </c>
      <c r="I770" s="80"/>
      <c r="J770" s="80"/>
      <c r="K770" s="80"/>
      <c r="L770" s="80"/>
      <c r="M770" s="80"/>
      <c r="N770" s="80"/>
      <c r="O770" s="631" t="s">
        <v>261</v>
      </c>
      <c r="P770" s="80"/>
      <c r="Q770" s="80"/>
      <c r="R770" s="80"/>
      <c r="S770" s="80"/>
      <c r="T770" s="80"/>
      <c r="U770" s="59"/>
      <c r="X770" s="2299" t="s">
        <v>902</v>
      </c>
      <c r="Y770" s="720" t="s">
        <v>1760</v>
      </c>
      <c r="Z770" s="719">
        <v>3</v>
      </c>
      <c r="AA770" s="609">
        <v>0</v>
      </c>
      <c r="AB770" s="593">
        <v>24</v>
      </c>
      <c r="AC770" s="593">
        <v>8</v>
      </c>
      <c r="AD770" s="609"/>
      <c r="AE770" s="609" t="s">
        <v>903</v>
      </c>
      <c r="AF770" s="593">
        <v>1</v>
      </c>
      <c r="AG770" s="593">
        <v>0</v>
      </c>
      <c r="AH770" s="593" t="s">
        <v>1761</v>
      </c>
      <c r="AI770" s="609"/>
      <c r="AJ770" s="609" t="s">
        <v>904</v>
      </c>
    </row>
    <row r="771" spans="1:40" ht="75.75" customHeight="1" outlineLevel="1">
      <c r="G771" s="553" t="s">
        <v>325</v>
      </c>
      <c r="H771" s="552" t="s">
        <v>325</v>
      </c>
      <c r="I771" s="80"/>
      <c r="J771" s="80"/>
      <c r="K771" s="80"/>
      <c r="L771" s="80"/>
      <c r="M771" s="80"/>
      <c r="N771" s="80"/>
      <c r="O771" s="631" t="s">
        <v>261</v>
      </c>
      <c r="P771" s="80"/>
      <c r="Q771" s="80"/>
      <c r="R771" s="80"/>
      <c r="S771" s="80"/>
      <c r="T771" s="80"/>
      <c r="U771" s="59"/>
      <c r="X771" s="2300" t="s">
        <v>1762</v>
      </c>
      <c r="Y771" s="720" t="s">
        <v>1763</v>
      </c>
      <c r="Z771" s="719">
        <v>4</v>
      </c>
      <c r="AA771" s="609">
        <v>0</v>
      </c>
      <c r="AB771" s="593">
        <v>32</v>
      </c>
      <c r="AC771" s="593">
        <v>8</v>
      </c>
      <c r="AD771" s="609"/>
      <c r="AE771" s="609" t="s">
        <v>1764</v>
      </c>
      <c r="AF771" s="593">
        <v>1</v>
      </c>
      <c r="AG771" s="593">
        <v>0</v>
      </c>
      <c r="AH771" s="593" t="s">
        <v>1761</v>
      </c>
      <c r="AI771" s="609"/>
      <c r="AJ771" s="609" t="s">
        <v>904</v>
      </c>
    </row>
    <row r="772" spans="1:40" ht="45.75" customHeight="1" outlineLevel="1">
      <c r="G772" s="553" t="s">
        <v>325</v>
      </c>
      <c r="H772" s="552" t="s">
        <v>325</v>
      </c>
      <c r="I772" s="80"/>
      <c r="J772" s="80"/>
      <c r="K772" s="80"/>
      <c r="L772" s="80"/>
      <c r="M772" s="80"/>
      <c r="N772" s="80"/>
      <c r="O772" s="631" t="s">
        <v>261</v>
      </c>
      <c r="P772" s="80"/>
      <c r="Q772" s="80"/>
      <c r="R772" s="80"/>
      <c r="S772" s="80"/>
      <c r="T772" s="80"/>
      <c r="U772" s="59"/>
      <c r="X772" s="2301" t="s">
        <v>1765</v>
      </c>
      <c r="Y772" s="718" t="s">
        <v>1766</v>
      </c>
      <c r="Z772" s="609">
        <v>5</v>
      </c>
      <c r="AA772" s="609">
        <v>0</v>
      </c>
      <c r="AB772" s="609">
        <v>40</v>
      </c>
      <c r="AC772" s="609">
        <v>8</v>
      </c>
      <c r="AD772" s="609"/>
      <c r="AE772" s="609" t="s">
        <v>1767</v>
      </c>
      <c r="AF772" s="593">
        <v>1</v>
      </c>
      <c r="AG772" s="593">
        <v>0</v>
      </c>
      <c r="AH772" s="593" t="s">
        <v>1761</v>
      </c>
      <c r="AI772" s="609"/>
      <c r="AJ772" s="609" t="s">
        <v>904</v>
      </c>
    </row>
    <row r="773" spans="1:40" ht="55.5" customHeight="1" outlineLevel="1">
      <c r="G773" s="553"/>
      <c r="H773" s="552"/>
      <c r="I773" s="80"/>
      <c r="J773" s="80"/>
      <c r="K773" s="80"/>
      <c r="L773" s="80"/>
      <c r="M773" s="80"/>
      <c r="N773" s="80"/>
      <c r="O773" s="631"/>
      <c r="P773" s="80"/>
      <c r="Q773" s="80"/>
      <c r="R773" s="80"/>
      <c r="S773" s="80"/>
      <c r="T773" s="80"/>
      <c r="U773" s="59"/>
      <c r="X773" s="45" t="s">
        <v>1768</v>
      </c>
      <c r="Y773" s="196" t="s">
        <v>1769</v>
      </c>
      <c r="Z773" s="196">
        <v>6</v>
      </c>
      <c r="AA773" s="45">
        <v>0</v>
      </c>
      <c r="AB773" s="45">
        <v>48</v>
      </c>
      <c r="AC773" s="45">
        <v>1</v>
      </c>
      <c r="AD773" s="45"/>
      <c r="AE773" s="209" t="s">
        <v>955</v>
      </c>
      <c r="AF773" s="45">
        <v>1</v>
      </c>
      <c r="AG773" s="45">
        <v>0</v>
      </c>
      <c r="AH773" s="45" t="s">
        <v>112</v>
      </c>
    </row>
    <row r="774" spans="1:40" ht="14.25" customHeight="1">
      <c r="G774" s="553"/>
      <c r="H774" s="552"/>
      <c r="I774" s="80"/>
      <c r="J774" s="80"/>
      <c r="K774" s="80"/>
      <c r="L774" s="80"/>
      <c r="M774" s="80"/>
      <c r="N774" s="80"/>
      <c r="O774" s="631"/>
      <c r="P774" s="80"/>
      <c r="Q774" s="80"/>
      <c r="R774" s="80"/>
      <c r="S774" s="80"/>
      <c r="T774" s="80"/>
      <c r="U774" s="59"/>
      <c r="X774" s="2302" t="s">
        <v>1770</v>
      </c>
      <c r="Y774" s="45" t="s">
        <v>1771</v>
      </c>
      <c r="Z774" s="45">
        <v>6</v>
      </c>
      <c r="AA774" s="45">
        <v>1</v>
      </c>
      <c r="AB774" s="45">
        <v>49</v>
      </c>
      <c r="AC774" s="45">
        <v>2</v>
      </c>
      <c r="AD774" s="45"/>
      <c r="AE774" s="2303" t="s">
        <v>958</v>
      </c>
      <c r="AF774" s="45">
        <v>1</v>
      </c>
      <c r="AG774" s="45">
        <v>0</v>
      </c>
      <c r="AH774" s="45"/>
    </row>
    <row r="775" spans="1:40" ht="15.75" customHeight="1">
      <c r="G775" s="553" t="s">
        <v>325</v>
      </c>
      <c r="H775" s="552" t="s">
        <v>325</v>
      </c>
      <c r="I775" s="80"/>
      <c r="J775" s="80"/>
      <c r="K775" s="80"/>
      <c r="L775" s="80"/>
      <c r="M775" s="80"/>
      <c r="N775" s="80"/>
      <c r="O775" s="631" t="s">
        <v>261</v>
      </c>
      <c r="P775" s="80"/>
      <c r="Q775" s="80"/>
      <c r="R775" s="80"/>
      <c r="S775" s="80"/>
      <c r="T775" s="80"/>
      <c r="U775" s="59"/>
      <c r="X775" s="538"/>
      <c r="AB775" s="595"/>
    </row>
    <row r="776" spans="1:40" ht="18" customHeight="1" outlineLevel="1">
      <c r="A776" s="184">
        <v>116</v>
      </c>
      <c r="B776" s="552" t="s">
        <v>1772</v>
      </c>
      <c r="C776" s="552" t="s">
        <v>1773</v>
      </c>
      <c r="D776" s="631" t="s">
        <v>922</v>
      </c>
      <c r="E776" s="552">
        <v>8</v>
      </c>
      <c r="F776" s="552" t="s">
        <v>260</v>
      </c>
      <c r="G776" s="553" t="s">
        <v>325</v>
      </c>
      <c r="H776" s="552" t="s">
        <v>325</v>
      </c>
      <c r="I776" s="552"/>
      <c r="J776" s="552"/>
      <c r="K776" s="552"/>
      <c r="L776" s="552"/>
      <c r="M776" s="552"/>
      <c r="N776" s="552"/>
      <c r="O776" s="631" t="s">
        <v>261</v>
      </c>
      <c r="P776" s="552"/>
      <c r="Q776" s="552"/>
      <c r="R776" s="552"/>
      <c r="S776" s="552"/>
      <c r="T776" s="552"/>
      <c r="U776" s="552"/>
      <c r="V776" s="554"/>
      <c r="W776" s="554"/>
      <c r="X776" s="554" t="s">
        <v>1774</v>
      </c>
      <c r="Y776" s="554"/>
      <c r="Z776" s="552"/>
      <c r="AA776" s="552"/>
      <c r="AB776" s="555">
        <v>0</v>
      </c>
      <c r="AC776" s="552"/>
      <c r="AD776" s="552"/>
      <c r="AE776" s="556"/>
      <c r="AF776" s="552"/>
      <c r="AG776" s="552"/>
      <c r="AH776" s="552"/>
      <c r="AI776" s="552"/>
      <c r="AJ776" s="552"/>
    </row>
    <row r="777" spans="1:40" ht="45.75" customHeight="1" outlineLevel="1">
      <c r="G777" s="553" t="s">
        <v>325</v>
      </c>
      <c r="H777" s="552" t="s">
        <v>325</v>
      </c>
      <c r="I777" s="80"/>
      <c r="J777" s="80"/>
      <c r="K777" s="80"/>
      <c r="L777" s="80"/>
      <c r="M777" s="80"/>
      <c r="N777" s="80"/>
      <c r="O777" s="631" t="s">
        <v>261</v>
      </c>
      <c r="P777" s="80"/>
      <c r="Q777" s="80"/>
      <c r="R777" s="80"/>
      <c r="S777" s="80"/>
      <c r="T777" s="80"/>
      <c r="U777" s="59"/>
      <c r="W777" s="117"/>
      <c r="X777" s="2304" t="s">
        <v>1775</v>
      </c>
      <c r="Y777" s="739" t="s">
        <v>1776</v>
      </c>
      <c r="Z777" s="1321">
        <v>0</v>
      </c>
      <c r="AA777" s="1321">
        <v>0</v>
      </c>
      <c r="AB777" s="1322">
        <v>0</v>
      </c>
      <c r="AC777" s="1321">
        <v>8</v>
      </c>
      <c r="AD777" s="646"/>
      <c r="AE777" s="646"/>
      <c r="AF777" s="652">
        <v>1</v>
      </c>
      <c r="AG777" s="1373">
        <v>-40</v>
      </c>
      <c r="AH777" s="1373"/>
      <c r="AI777" s="1373"/>
      <c r="AJ777" s="652" t="s">
        <v>508</v>
      </c>
      <c r="AK777" s="1363"/>
    </row>
    <row r="778" spans="1:40" ht="14.25" customHeight="1">
      <c r="G778" s="553" t="s">
        <v>325</v>
      </c>
      <c r="H778" s="552" t="s">
        <v>325</v>
      </c>
      <c r="I778" s="80"/>
      <c r="J778" s="80"/>
      <c r="K778" s="80"/>
      <c r="L778" s="80"/>
      <c r="M778" s="80"/>
      <c r="N778" s="80"/>
      <c r="O778" s="631" t="s">
        <v>261</v>
      </c>
      <c r="P778" s="80"/>
      <c r="Q778" s="80"/>
      <c r="R778" s="80"/>
      <c r="S778" s="80"/>
      <c r="T778" s="80"/>
      <c r="U778" s="59"/>
      <c r="W778" s="117"/>
      <c r="X778" s="2305" t="s">
        <v>1777</v>
      </c>
      <c r="Y778" s="739" t="s">
        <v>1778</v>
      </c>
      <c r="Z778" s="1321">
        <v>1</v>
      </c>
      <c r="AA778" s="1321">
        <v>0</v>
      </c>
      <c r="AB778" s="1322">
        <v>8</v>
      </c>
      <c r="AC778" s="1321">
        <v>8</v>
      </c>
      <c r="AD778" s="646"/>
      <c r="AE778" s="646"/>
      <c r="AF778" s="1373">
        <v>0.1</v>
      </c>
      <c r="AG778" s="1373">
        <v>0</v>
      </c>
      <c r="AH778" s="1373"/>
      <c r="AI778" s="1373"/>
      <c r="AJ778" s="1373" t="s">
        <v>934</v>
      </c>
      <c r="AK778" s="1363"/>
    </row>
    <row r="779" spans="1:40" ht="14.25" customHeight="1">
      <c r="G779" s="553" t="s">
        <v>325</v>
      </c>
      <c r="H779" s="552" t="s">
        <v>325</v>
      </c>
      <c r="I779" s="80"/>
      <c r="J779" s="80"/>
      <c r="K779" s="80"/>
      <c r="L779" s="80"/>
      <c r="M779" s="80"/>
      <c r="N779" s="80"/>
      <c r="O779" s="631" t="s">
        <v>261</v>
      </c>
      <c r="P779" s="80"/>
      <c r="Q779" s="80"/>
      <c r="R779" s="80"/>
      <c r="S779" s="80"/>
      <c r="T779" s="80"/>
      <c r="U779" s="59"/>
      <c r="W779" s="117"/>
      <c r="X779" s="2306" t="s">
        <v>1779</v>
      </c>
      <c r="Y779" s="1398" t="s">
        <v>1780</v>
      </c>
      <c r="Z779" s="1373">
        <v>0</v>
      </c>
      <c r="AA779" s="1373">
        <v>0</v>
      </c>
      <c r="AB779" s="1322">
        <v>0</v>
      </c>
      <c r="AC779" s="1373">
        <v>8</v>
      </c>
      <c r="AD779" s="1373"/>
      <c r="AE779" s="1373"/>
      <c r="AF779" s="1373">
        <v>1</v>
      </c>
      <c r="AG779" s="1373">
        <v>-40</v>
      </c>
      <c r="AH779" s="1373"/>
      <c r="AI779" s="1373"/>
      <c r="AJ779" s="1373" t="s">
        <v>508</v>
      </c>
      <c r="AK779" s="1363"/>
    </row>
    <row r="780" spans="1:40" s="54" customFormat="1" ht="14.25" customHeight="1">
      <c r="A780" s="49"/>
      <c r="B780" s="49"/>
      <c r="C780" s="49"/>
      <c r="D780" s="49"/>
      <c r="E780" s="49"/>
      <c r="F780" s="49"/>
      <c r="G780" s="553" t="s">
        <v>325</v>
      </c>
      <c r="H780" s="552" t="s">
        <v>325</v>
      </c>
      <c r="I780" s="49"/>
      <c r="J780" s="49"/>
      <c r="K780" s="49"/>
      <c r="L780" s="49"/>
      <c r="M780" s="49"/>
      <c r="N780" s="49"/>
      <c r="O780" s="631" t="s">
        <v>261</v>
      </c>
      <c r="P780" s="49"/>
      <c r="Q780" s="49"/>
      <c r="R780" s="49"/>
      <c r="S780" s="49"/>
      <c r="T780" s="49"/>
      <c r="U780" s="49"/>
      <c r="V780" s="56"/>
      <c r="W780" s="117"/>
      <c r="X780" s="2307" t="s">
        <v>1781</v>
      </c>
      <c r="Y780" s="1398" t="s">
        <v>1782</v>
      </c>
      <c r="Z780" s="1373">
        <v>1</v>
      </c>
      <c r="AA780" s="1373">
        <v>0</v>
      </c>
      <c r="AB780" s="1373">
        <v>8</v>
      </c>
      <c r="AC780" s="1373">
        <v>8</v>
      </c>
      <c r="AD780" s="1373"/>
      <c r="AE780" s="1373"/>
      <c r="AF780" s="1373">
        <v>0.1</v>
      </c>
      <c r="AG780" s="1373">
        <v>0</v>
      </c>
      <c r="AH780" s="1373"/>
      <c r="AI780" s="1373"/>
      <c r="AJ780" s="1373" t="s">
        <v>934</v>
      </c>
      <c r="AK780" s="1363"/>
      <c r="AL780" s="108"/>
      <c r="AM780" s="49"/>
      <c r="AN780" s="49"/>
    </row>
    <row r="781" spans="1:40" s="54" customFormat="1" ht="18" customHeight="1" outlineLevel="1">
      <c r="A781" s="721">
        <v>117</v>
      </c>
      <c r="B781" s="552" t="s">
        <v>1783</v>
      </c>
      <c r="C781" s="552" t="s">
        <v>1784</v>
      </c>
      <c r="D781" s="552" t="s">
        <v>259</v>
      </c>
      <c r="E781" s="552">
        <v>8</v>
      </c>
      <c r="F781" s="552" t="s">
        <v>260</v>
      </c>
      <c r="G781" s="553" t="s">
        <v>325</v>
      </c>
      <c r="H781" s="552" t="s">
        <v>261</v>
      </c>
      <c r="I781" s="552"/>
      <c r="J781" s="552"/>
      <c r="K781" s="552"/>
      <c r="L781" s="552"/>
      <c r="M781" s="552"/>
      <c r="N781" s="552"/>
      <c r="O781" s="552"/>
      <c r="P781" s="552"/>
      <c r="Q781" s="552"/>
      <c r="R781" s="552"/>
      <c r="S781" s="552"/>
      <c r="T781" s="552"/>
      <c r="U781" s="552"/>
      <c r="V781" s="554"/>
      <c r="W781" s="554"/>
      <c r="X781" s="1316" t="s">
        <v>1785</v>
      </c>
      <c r="Y781" s="1316"/>
      <c r="Z781" s="1317"/>
      <c r="AA781" s="1317"/>
      <c r="AB781" s="1318"/>
      <c r="AC781" s="1317"/>
      <c r="AD781" s="1317"/>
      <c r="AE781" s="1319"/>
      <c r="AF781" s="1317"/>
      <c r="AG781" s="1317"/>
      <c r="AH781" s="1317"/>
      <c r="AI781" s="1317"/>
      <c r="AJ781" s="1317"/>
      <c r="AK781" s="89"/>
      <c r="AL781" s="108" t="s">
        <v>794</v>
      </c>
    </row>
    <row r="782" spans="1:40" s="54" customFormat="1" ht="45.75" customHeight="1" outlineLevel="1">
      <c r="A782" s="190"/>
      <c r="B782" s="190"/>
      <c r="C782" s="190"/>
      <c r="D782" s="190"/>
      <c r="E782" s="190"/>
      <c r="F782" s="190"/>
      <c r="G782" s="553" t="s">
        <v>325</v>
      </c>
      <c r="H782" s="552" t="s">
        <v>261</v>
      </c>
      <c r="I782" s="190"/>
      <c r="J782" s="190"/>
      <c r="K782" s="190"/>
      <c r="L782" s="190"/>
      <c r="M782" s="190"/>
      <c r="N782" s="190"/>
      <c r="O782" s="190"/>
      <c r="P782" s="190"/>
      <c r="Q782" s="190"/>
      <c r="R782" s="190"/>
      <c r="S782" s="190"/>
      <c r="T782" s="190"/>
      <c r="U782" s="190"/>
      <c r="V782" s="192"/>
      <c r="W782" s="192"/>
      <c r="X782" s="2308" t="s">
        <v>1786</v>
      </c>
      <c r="Y782" s="718" t="s">
        <v>1787</v>
      </c>
      <c r="Z782" s="609">
        <v>0</v>
      </c>
      <c r="AA782" s="609">
        <v>0</v>
      </c>
      <c r="AB782" s="609">
        <v>0</v>
      </c>
      <c r="AC782" s="609">
        <v>1</v>
      </c>
      <c r="AD782" s="609"/>
      <c r="AE782" s="609" t="s">
        <v>1788</v>
      </c>
      <c r="AF782" s="722">
        <v>1</v>
      </c>
      <c r="AG782" s="609"/>
      <c r="AH782" s="609"/>
      <c r="AI782" s="609"/>
      <c r="AJ782" s="609"/>
      <c r="AK782" s="190"/>
      <c r="AL782" s="116"/>
    </row>
    <row r="783" spans="1:40" s="54" customFormat="1" ht="45.75" customHeight="1" outlineLevel="1">
      <c r="A783" s="190"/>
      <c r="B783" s="190"/>
      <c r="C783" s="190"/>
      <c r="D783" s="190"/>
      <c r="E783" s="190"/>
      <c r="F783" s="190"/>
      <c r="G783" s="553" t="s">
        <v>325</v>
      </c>
      <c r="H783" s="552" t="s">
        <v>261</v>
      </c>
      <c r="I783" s="190"/>
      <c r="J783" s="190"/>
      <c r="K783" s="190"/>
      <c r="L783" s="190"/>
      <c r="M783" s="190"/>
      <c r="N783" s="190"/>
      <c r="O783" s="190"/>
      <c r="P783" s="190"/>
      <c r="Q783" s="190"/>
      <c r="R783" s="190"/>
      <c r="S783" s="190"/>
      <c r="T783" s="190"/>
      <c r="U783" s="190"/>
      <c r="V783" s="192"/>
      <c r="W783" s="192"/>
      <c r="X783" s="2309" t="s">
        <v>1789</v>
      </c>
      <c r="Y783" s="718" t="s">
        <v>1790</v>
      </c>
      <c r="Z783" s="609">
        <v>0</v>
      </c>
      <c r="AA783" s="609">
        <v>1</v>
      </c>
      <c r="AB783" s="609">
        <v>1</v>
      </c>
      <c r="AC783" s="609">
        <v>1</v>
      </c>
      <c r="AD783" s="609"/>
      <c r="AE783" s="609" t="s">
        <v>1788</v>
      </c>
      <c r="AF783" s="722">
        <v>1</v>
      </c>
      <c r="AG783" s="609"/>
      <c r="AH783" s="609"/>
      <c r="AI783" s="609"/>
      <c r="AJ783" s="609"/>
      <c r="AK783" s="190"/>
      <c r="AL783" s="116"/>
    </row>
    <row r="784" spans="1:40" s="54" customFormat="1" ht="45.75" customHeight="1" outlineLevel="1">
      <c r="A784" s="190"/>
      <c r="B784" s="190"/>
      <c r="C784" s="190"/>
      <c r="D784" s="190"/>
      <c r="E784" s="190"/>
      <c r="F784" s="190"/>
      <c r="G784" s="553" t="s">
        <v>325</v>
      </c>
      <c r="H784" s="552" t="s">
        <v>261</v>
      </c>
      <c r="I784" s="190"/>
      <c r="J784" s="190"/>
      <c r="K784" s="190"/>
      <c r="L784" s="190"/>
      <c r="M784" s="190"/>
      <c r="N784" s="190"/>
      <c r="O784" s="190"/>
      <c r="P784" s="190"/>
      <c r="Q784" s="190"/>
      <c r="R784" s="190"/>
      <c r="S784" s="190"/>
      <c r="T784" s="190"/>
      <c r="U784" s="190"/>
      <c r="V784" s="192"/>
      <c r="W784" s="192"/>
      <c r="X784" s="2310" t="s">
        <v>1791</v>
      </c>
      <c r="Y784" s="718" t="s">
        <v>1792</v>
      </c>
      <c r="Z784" s="609">
        <v>0</v>
      </c>
      <c r="AA784" s="609">
        <v>2</v>
      </c>
      <c r="AB784" s="609">
        <v>2</v>
      </c>
      <c r="AC784" s="609">
        <v>1</v>
      </c>
      <c r="AD784" s="609"/>
      <c r="AE784" s="609" t="s">
        <v>1788</v>
      </c>
      <c r="AF784" s="722">
        <v>1</v>
      </c>
      <c r="AG784" s="609"/>
      <c r="AH784" s="609"/>
      <c r="AI784" s="609"/>
      <c r="AJ784" s="609"/>
      <c r="AK784" s="190"/>
      <c r="AL784" s="116"/>
    </row>
    <row r="785" spans="1:40" s="54" customFormat="1" ht="45.75" customHeight="1" outlineLevel="1">
      <c r="A785" s="190"/>
      <c r="B785" s="190"/>
      <c r="C785" s="190"/>
      <c r="D785" s="190"/>
      <c r="E785" s="190"/>
      <c r="F785" s="190"/>
      <c r="G785" s="553" t="s">
        <v>325</v>
      </c>
      <c r="H785" s="552" t="s">
        <v>261</v>
      </c>
      <c r="I785" s="190"/>
      <c r="J785" s="190"/>
      <c r="K785" s="190"/>
      <c r="L785" s="190"/>
      <c r="M785" s="190"/>
      <c r="N785" s="190"/>
      <c r="O785" s="190"/>
      <c r="P785" s="190"/>
      <c r="Q785" s="190"/>
      <c r="R785" s="190"/>
      <c r="S785" s="190"/>
      <c r="T785" s="190"/>
      <c r="U785" s="190"/>
      <c r="V785" s="192"/>
      <c r="W785" s="192"/>
      <c r="X785" s="2311" t="s">
        <v>1793</v>
      </c>
      <c r="Y785" s="718" t="s">
        <v>1794</v>
      </c>
      <c r="Z785" s="609">
        <v>0</v>
      </c>
      <c r="AA785" s="609">
        <v>3</v>
      </c>
      <c r="AB785" s="609">
        <v>3</v>
      </c>
      <c r="AC785" s="609">
        <v>1</v>
      </c>
      <c r="AD785" s="609"/>
      <c r="AE785" s="609" t="s">
        <v>1788</v>
      </c>
      <c r="AF785" s="722">
        <v>1</v>
      </c>
      <c r="AG785" s="609"/>
      <c r="AH785" s="609"/>
      <c r="AI785" s="609"/>
      <c r="AJ785" s="609"/>
      <c r="AK785" s="190"/>
      <c r="AL785" s="116"/>
    </row>
    <row r="786" spans="1:40" s="54" customFormat="1" ht="45.75" customHeight="1" outlineLevel="1">
      <c r="A786" s="190"/>
      <c r="B786" s="190"/>
      <c r="C786" s="190"/>
      <c r="D786" s="190"/>
      <c r="E786" s="190"/>
      <c r="F786" s="190"/>
      <c r="G786" s="553" t="s">
        <v>325</v>
      </c>
      <c r="H786" s="552" t="s">
        <v>261</v>
      </c>
      <c r="I786" s="190"/>
      <c r="J786" s="190"/>
      <c r="K786" s="190"/>
      <c r="L786" s="190"/>
      <c r="M786" s="190"/>
      <c r="N786" s="190"/>
      <c r="O786" s="190"/>
      <c r="P786" s="190"/>
      <c r="Q786" s="190"/>
      <c r="R786" s="190"/>
      <c r="S786" s="190"/>
      <c r="T786" s="190"/>
      <c r="U786" s="190"/>
      <c r="V786" s="192"/>
      <c r="W786" s="192"/>
      <c r="X786" s="2312" t="s">
        <v>1795</v>
      </c>
      <c r="Y786" s="718" t="s">
        <v>1796</v>
      </c>
      <c r="Z786" s="609">
        <v>0</v>
      </c>
      <c r="AA786" s="609">
        <v>4</v>
      </c>
      <c r="AB786" s="609">
        <v>4</v>
      </c>
      <c r="AC786" s="609">
        <v>1</v>
      </c>
      <c r="AD786" s="609"/>
      <c r="AE786" s="609" t="s">
        <v>1788</v>
      </c>
      <c r="AF786" s="722">
        <v>1</v>
      </c>
      <c r="AG786" s="609"/>
      <c r="AH786" s="609"/>
      <c r="AI786" s="609"/>
      <c r="AJ786" s="609"/>
      <c r="AK786" s="190"/>
      <c r="AL786" s="116"/>
    </row>
    <row r="787" spans="1:40" s="54" customFormat="1" ht="45.75" customHeight="1" outlineLevel="1">
      <c r="A787" s="190"/>
      <c r="B787" s="190"/>
      <c r="C787" s="190"/>
      <c r="D787" s="190"/>
      <c r="E787" s="190"/>
      <c r="F787" s="190"/>
      <c r="G787" s="553" t="s">
        <v>325</v>
      </c>
      <c r="H787" s="552" t="s">
        <v>261</v>
      </c>
      <c r="I787" s="190"/>
      <c r="J787" s="190"/>
      <c r="K787" s="190"/>
      <c r="L787" s="190"/>
      <c r="M787" s="190"/>
      <c r="N787" s="190"/>
      <c r="O787" s="190"/>
      <c r="P787" s="190"/>
      <c r="Q787" s="190"/>
      <c r="R787" s="190"/>
      <c r="S787" s="190"/>
      <c r="T787" s="190"/>
      <c r="U787" s="190"/>
      <c r="V787" s="192"/>
      <c r="W787" s="192"/>
      <c r="X787" s="2313" t="s">
        <v>1797</v>
      </c>
      <c r="Y787" s="596" t="s">
        <v>1798</v>
      </c>
      <c r="Z787" s="609">
        <v>0</v>
      </c>
      <c r="AA787" s="609">
        <v>5</v>
      </c>
      <c r="AB787" s="609">
        <v>5</v>
      </c>
      <c r="AC787" s="609">
        <v>1</v>
      </c>
      <c r="AD787" s="609"/>
      <c r="AE787" s="2314" t="s">
        <v>1799</v>
      </c>
      <c r="AF787" s="722">
        <v>1</v>
      </c>
      <c r="AG787" s="609"/>
      <c r="AH787" s="609"/>
      <c r="AI787" s="609"/>
      <c r="AJ787" s="609"/>
      <c r="AK787" s="190"/>
      <c r="AL787" s="116"/>
    </row>
    <row r="788" spans="1:40" s="54" customFormat="1" ht="30.75" customHeight="1" outlineLevel="1">
      <c r="A788" s="190"/>
      <c r="B788" s="190"/>
      <c r="C788" s="190"/>
      <c r="D788" s="190"/>
      <c r="E788" s="190"/>
      <c r="F788" s="190"/>
      <c r="G788" s="553" t="s">
        <v>325</v>
      </c>
      <c r="H788" s="552" t="s">
        <v>261</v>
      </c>
      <c r="I788" s="190"/>
      <c r="J788" s="190"/>
      <c r="K788" s="190"/>
      <c r="L788" s="190"/>
      <c r="M788" s="190"/>
      <c r="N788" s="190"/>
      <c r="O788" s="190"/>
      <c r="P788" s="190"/>
      <c r="Q788" s="190"/>
      <c r="R788" s="190"/>
      <c r="S788" s="190"/>
      <c r="T788" s="190"/>
      <c r="U788" s="190"/>
      <c r="V788" s="192"/>
      <c r="W788" s="192"/>
      <c r="X788" s="2315" t="s">
        <v>1800</v>
      </c>
      <c r="Y788" s="596" t="s">
        <v>1801</v>
      </c>
      <c r="Z788" s="609">
        <v>0</v>
      </c>
      <c r="AA788" s="609">
        <v>6</v>
      </c>
      <c r="AB788" s="609">
        <v>6</v>
      </c>
      <c r="AC788" s="609">
        <v>1</v>
      </c>
      <c r="AD788" s="609"/>
      <c r="AE788" s="609" t="s">
        <v>1802</v>
      </c>
      <c r="AF788" s="722">
        <v>1</v>
      </c>
      <c r="AG788" s="609"/>
      <c r="AH788" s="609"/>
      <c r="AI788" s="609"/>
      <c r="AJ788" s="609"/>
      <c r="AK788" s="190"/>
      <c r="AL788" s="116"/>
    </row>
    <row r="789" spans="1:40" s="54" customFormat="1" ht="45.75" customHeight="1" outlineLevel="1">
      <c r="A789" s="190"/>
      <c r="B789" s="190"/>
      <c r="C789" s="190"/>
      <c r="D789" s="190"/>
      <c r="E789" s="190"/>
      <c r="F789" s="190"/>
      <c r="G789" s="553" t="s">
        <v>325</v>
      </c>
      <c r="H789" s="552" t="s">
        <v>261</v>
      </c>
      <c r="I789" s="190"/>
      <c r="J789" s="190"/>
      <c r="K789" s="190"/>
      <c r="L789" s="190"/>
      <c r="M789" s="190"/>
      <c r="N789" s="190"/>
      <c r="O789" s="190"/>
      <c r="P789" s="190"/>
      <c r="Q789" s="190"/>
      <c r="R789" s="190"/>
      <c r="S789" s="190"/>
      <c r="T789" s="190"/>
      <c r="U789" s="190"/>
      <c r="V789" s="192"/>
      <c r="W789" s="192"/>
      <c r="X789" s="2316" t="s">
        <v>1803</v>
      </c>
      <c r="Y789" s="596" t="s">
        <v>1804</v>
      </c>
      <c r="Z789" s="609">
        <v>1</v>
      </c>
      <c r="AA789" s="609">
        <v>0</v>
      </c>
      <c r="AB789" s="609">
        <v>8</v>
      </c>
      <c r="AC789" s="609">
        <v>8</v>
      </c>
      <c r="AD789" s="609"/>
      <c r="AE789" s="609" t="s">
        <v>1805</v>
      </c>
      <c r="AF789" s="723">
        <v>0.4</v>
      </c>
      <c r="AG789" s="609"/>
      <c r="AH789" s="609">
        <v>100</v>
      </c>
      <c r="AI789" s="609"/>
      <c r="AJ789" s="609" t="s">
        <v>904</v>
      </c>
      <c r="AK789" s="190"/>
      <c r="AL789" s="116"/>
    </row>
    <row r="790" spans="1:40" s="54" customFormat="1" ht="45.75" customHeight="1" outlineLevel="1">
      <c r="A790" s="190"/>
      <c r="B790" s="190"/>
      <c r="C790" s="190"/>
      <c r="D790" s="190"/>
      <c r="E790" s="190"/>
      <c r="F790" s="190"/>
      <c r="G790" s="553" t="s">
        <v>325</v>
      </c>
      <c r="H790" s="552" t="s">
        <v>261</v>
      </c>
      <c r="I790" s="190"/>
      <c r="J790" s="190"/>
      <c r="K790" s="190"/>
      <c r="L790" s="190"/>
      <c r="M790" s="190"/>
      <c r="N790" s="190"/>
      <c r="O790" s="190"/>
      <c r="P790" s="190"/>
      <c r="Q790" s="190"/>
      <c r="R790" s="190"/>
      <c r="S790" s="190"/>
      <c r="T790" s="190"/>
      <c r="U790" s="190"/>
      <c r="V790" s="192"/>
      <c r="W790" s="192"/>
      <c r="X790" s="2317" t="s">
        <v>1806</v>
      </c>
      <c r="Y790" s="718" t="s">
        <v>1807</v>
      </c>
      <c r="Z790" s="609">
        <v>2</v>
      </c>
      <c r="AA790" s="609">
        <v>0</v>
      </c>
      <c r="AB790" s="609">
        <v>16</v>
      </c>
      <c r="AC790" s="609">
        <v>1</v>
      </c>
      <c r="AD790" s="609"/>
      <c r="AE790" s="609" t="s">
        <v>1788</v>
      </c>
      <c r="AF790" s="722">
        <v>1</v>
      </c>
      <c r="AG790" s="609"/>
      <c r="AH790" s="609"/>
      <c r="AI790" s="609"/>
      <c r="AJ790" s="609"/>
      <c r="AK790" s="190"/>
      <c r="AL790" s="116"/>
    </row>
    <row r="791" spans="1:40" s="54" customFormat="1" ht="45.75" customHeight="1" outlineLevel="1">
      <c r="A791" s="190"/>
      <c r="B791" s="190"/>
      <c r="C791" s="190"/>
      <c r="D791" s="190"/>
      <c r="E791" s="190"/>
      <c r="F791" s="190"/>
      <c r="G791" s="553" t="s">
        <v>325</v>
      </c>
      <c r="H791" s="552" t="s">
        <v>261</v>
      </c>
      <c r="I791" s="190"/>
      <c r="J791" s="190"/>
      <c r="K791" s="190"/>
      <c r="L791" s="190"/>
      <c r="M791" s="190"/>
      <c r="N791" s="190"/>
      <c r="O791" s="190"/>
      <c r="P791" s="190"/>
      <c r="Q791" s="190"/>
      <c r="R791" s="190"/>
      <c r="S791" s="190"/>
      <c r="T791" s="190"/>
      <c r="U791" s="190"/>
      <c r="V791" s="192"/>
      <c r="W791" s="192"/>
      <c r="X791" s="2318" t="s">
        <v>1808</v>
      </c>
      <c r="Y791" s="718" t="s">
        <v>1809</v>
      </c>
      <c r="Z791" s="609">
        <v>2</v>
      </c>
      <c r="AA791" s="609">
        <v>1</v>
      </c>
      <c r="AB791" s="609">
        <v>17</v>
      </c>
      <c r="AC791" s="609">
        <v>1</v>
      </c>
      <c r="AD791" s="609"/>
      <c r="AE791" s="609" t="s">
        <v>1788</v>
      </c>
      <c r="AF791" s="722">
        <v>1</v>
      </c>
      <c r="AG791" s="609"/>
      <c r="AH791" s="609"/>
      <c r="AI791" s="609"/>
      <c r="AJ791" s="609"/>
      <c r="AK791" s="190"/>
      <c r="AL791" s="116"/>
    </row>
    <row r="792" spans="1:40" s="54" customFormat="1" ht="45.75" customHeight="1" outlineLevel="1">
      <c r="A792" s="190"/>
      <c r="B792" s="190"/>
      <c r="C792" s="190"/>
      <c r="D792" s="190"/>
      <c r="E792" s="190"/>
      <c r="F792" s="190"/>
      <c r="G792" s="553" t="s">
        <v>325</v>
      </c>
      <c r="H792" s="552" t="s">
        <v>261</v>
      </c>
      <c r="I792" s="190"/>
      <c r="J792" s="190"/>
      <c r="K792" s="190"/>
      <c r="L792" s="190"/>
      <c r="M792" s="190"/>
      <c r="N792" s="190"/>
      <c r="O792" s="190"/>
      <c r="P792" s="190"/>
      <c r="Q792" s="190"/>
      <c r="R792" s="190"/>
      <c r="S792" s="190"/>
      <c r="T792" s="190"/>
      <c r="U792" s="190"/>
      <c r="V792" s="192"/>
      <c r="W792" s="192"/>
      <c r="X792" s="2319" t="s">
        <v>1810</v>
      </c>
      <c r="Y792" s="718" t="s">
        <v>1811</v>
      </c>
      <c r="Z792" s="609">
        <v>2</v>
      </c>
      <c r="AA792" s="609">
        <v>2</v>
      </c>
      <c r="AB792" s="609">
        <v>18</v>
      </c>
      <c r="AC792" s="609">
        <v>1</v>
      </c>
      <c r="AD792" s="609"/>
      <c r="AE792" s="609" t="s">
        <v>1788</v>
      </c>
      <c r="AF792" s="722">
        <v>1</v>
      </c>
      <c r="AG792" s="609"/>
      <c r="AH792" s="609"/>
      <c r="AI792" s="609"/>
      <c r="AJ792" s="609"/>
      <c r="AK792" s="190"/>
      <c r="AL792" s="116"/>
    </row>
    <row r="793" spans="1:40" s="54" customFormat="1" ht="45.75" customHeight="1" outlineLevel="1">
      <c r="A793" s="190"/>
      <c r="B793" s="190"/>
      <c r="C793" s="190"/>
      <c r="D793" s="190"/>
      <c r="E793" s="190"/>
      <c r="F793" s="190"/>
      <c r="G793" s="553" t="s">
        <v>325</v>
      </c>
      <c r="H793" s="552" t="s">
        <v>261</v>
      </c>
      <c r="I793" s="190"/>
      <c r="J793" s="190"/>
      <c r="K793" s="190"/>
      <c r="L793" s="190"/>
      <c r="M793" s="190"/>
      <c r="N793" s="190"/>
      <c r="O793" s="190"/>
      <c r="P793" s="190"/>
      <c r="Q793" s="190"/>
      <c r="R793" s="190"/>
      <c r="S793" s="190"/>
      <c r="T793" s="190"/>
      <c r="U793" s="190"/>
      <c r="V793" s="192"/>
      <c r="W793" s="192"/>
      <c r="X793" s="2320" t="s">
        <v>1812</v>
      </c>
      <c r="Y793" s="718" t="s">
        <v>1813</v>
      </c>
      <c r="Z793" s="609">
        <v>2</v>
      </c>
      <c r="AA793" s="609">
        <v>3</v>
      </c>
      <c r="AB793" s="609">
        <v>19</v>
      </c>
      <c r="AC793" s="609">
        <v>1</v>
      </c>
      <c r="AD793" s="609"/>
      <c r="AE793" s="609" t="s">
        <v>1788</v>
      </c>
      <c r="AF793" s="722">
        <v>1</v>
      </c>
      <c r="AG793" s="609"/>
      <c r="AH793" s="609"/>
      <c r="AI793" s="609"/>
      <c r="AJ793" s="609"/>
      <c r="AK793" s="190"/>
      <c r="AL793" s="116"/>
    </row>
    <row r="794" spans="1:40" s="54" customFormat="1" ht="45.75" customHeight="1" outlineLevel="1">
      <c r="A794" s="190"/>
      <c r="B794" s="190"/>
      <c r="C794" s="190"/>
      <c r="D794" s="190"/>
      <c r="E794" s="190"/>
      <c r="F794" s="190"/>
      <c r="G794" s="553" t="s">
        <v>325</v>
      </c>
      <c r="H794" s="552" t="s">
        <v>261</v>
      </c>
      <c r="I794" s="190"/>
      <c r="J794" s="190"/>
      <c r="K794" s="190"/>
      <c r="L794" s="190"/>
      <c r="M794" s="190"/>
      <c r="N794" s="190"/>
      <c r="O794" s="190"/>
      <c r="P794" s="190"/>
      <c r="Q794" s="190"/>
      <c r="R794" s="190"/>
      <c r="S794" s="190"/>
      <c r="T794" s="190"/>
      <c r="U794" s="190"/>
      <c r="V794" s="192"/>
      <c r="W794" s="192"/>
      <c r="X794" s="2321" t="s">
        <v>1814</v>
      </c>
      <c r="Y794" s="718" t="s">
        <v>1815</v>
      </c>
      <c r="Z794" s="609">
        <v>2</v>
      </c>
      <c r="AA794" s="609">
        <v>4</v>
      </c>
      <c r="AB794" s="609">
        <v>20</v>
      </c>
      <c r="AC794" s="609">
        <v>1</v>
      </c>
      <c r="AD794" s="609"/>
      <c r="AE794" s="609" t="s">
        <v>1788</v>
      </c>
      <c r="AF794" s="722">
        <v>1</v>
      </c>
      <c r="AG794" s="609"/>
      <c r="AH794" s="609"/>
      <c r="AI794" s="609"/>
      <c r="AJ794" s="609"/>
      <c r="AK794" s="190"/>
      <c r="AL794" s="116"/>
    </row>
    <row r="795" spans="1:40" s="54" customFormat="1" ht="45.75" customHeight="1" outlineLevel="1">
      <c r="A795" s="190"/>
      <c r="B795" s="190"/>
      <c r="C795" s="190"/>
      <c r="D795" s="190"/>
      <c r="E795" s="190"/>
      <c r="F795" s="190"/>
      <c r="G795" s="553" t="s">
        <v>325</v>
      </c>
      <c r="H795" s="552" t="s">
        <v>261</v>
      </c>
      <c r="I795" s="190"/>
      <c r="J795" s="190"/>
      <c r="K795" s="190"/>
      <c r="L795" s="190"/>
      <c r="M795" s="190"/>
      <c r="N795" s="190"/>
      <c r="O795" s="190"/>
      <c r="P795" s="190"/>
      <c r="Q795" s="190"/>
      <c r="R795" s="190"/>
      <c r="S795" s="190"/>
      <c r="T795" s="190"/>
      <c r="U795" s="190"/>
      <c r="V795" s="192"/>
      <c r="W795" s="192"/>
      <c r="X795" s="2322" t="s">
        <v>1816</v>
      </c>
      <c r="Y795" s="596" t="s">
        <v>1817</v>
      </c>
      <c r="Z795" s="609">
        <v>2</v>
      </c>
      <c r="AA795" s="609">
        <v>5</v>
      </c>
      <c r="AB795" s="609">
        <v>21</v>
      </c>
      <c r="AC795" s="609">
        <v>1</v>
      </c>
      <c r="AD795" s="609"/>
      <c r="AE795" s="2323" t="s">
        <v>1799</v>
      </c>
      <c r="AF795" s="722">
        <v>1</v>
      </c>
      <c r="AG795" s="609"/>
      <c r="AH795" s="609"/>
      <c r="AI795" s="609"/>
      <c r="AJ795" s="609"/>
      <c r="AK795" s="190"/>
      <c r="AL795" s="116"/>
    </row>
    <row r="796" spans="1:40" s="54" customFormat="1" ht="30.75" customHeight="1" outlineLevel="1">
      <c r="A796" s="190"/>
      <c r="B796" s="190"/>
      <c r="C796" s="190"/>
      <c r="D796" s="190"/>
      <c r="E796" s="190"/>
      <c r="F796" s="190"/>
      <c r="G796" s="553" t="s">
        <v>325</v>
      </c>
      <c r="H796" s="552" t="s">
        <v>261</v>
      </c>
      <c r="I796" s="190"/>
      <c r="J796" s="190"/>
      <c r="K796" s="190"/>
      <c r="L796" s="190"/>
      <c r="M796" s="190"/>
      <c r="N796" s="190"/>
      <c r="O796" s="190"/>
      <c r="P796" s="190"/>
      <c r="Q796" s="190"/>
      <c r="R796" s="190"/>
      <c r="S796" s="190"/>
      <c r="T796" s="190"/>
      <c r="U796" s="190"/>
      <c r="V796" s="192"/>
      <c r="W796" s="192"/>
      <c r="X796" s="2324" t="s">
        <v>1818</v>
      </c>
      <c r="Y796" s="596" t="s">
        <v>1819</v>
      </c>
      <c r="Z796" s="609">
        <v>2</v>
      </c>
      <c r="AA796" s="609">
        <v>6</v>
      </c>
      <c r="AB796" s="609">
        <v>22</v>
      </c>
      <c r="AC796" s="609">
        <v>1</v>
      </c>
      <c r="AD796" s="609"/>
      <c r="AE796" s="609" t="s">
        <v>1802</v>
      </c>
      <c r="AF796" s="722">
        <v>1</v>
      </c>
      <c r="AG796" s="609"/>
      <c r="AH796" s="609"/>
      <c r="AI796" s="609"/>
      <c r="AJ796" s="609"/>
      <c r="AK796" s="190"/>
      <c r="AL796" s="116"/>
    </row>
    <row r="797" spans="1:40" s="54" customFormat="1" ht="45.75" customHeight="1" outlineLevel="1">
      <c r="A797" s="190"/>
      <c r="B797" s="190"/>
      <c r="C797" s="190"/>
      <c r="D797" s="190"/>
      <c r="E797" s="190"/>
      <c r="F797" s="190"/>
      <c r="G797" s="553" t="s">
        <v>325</v>
      </c>
      <c r="H797" s="552" t="s">
        <v>261</v>
      </c>
      <c r="I797" s="190"/>
      <c r="J797" s="190"/>
      <c r="K797" s="190"/>
      <c r="L797" s="190"/>
      <c r="M797" s="190"/>
      <c r="N797" s="190"/>
      <c r="O797" s="190"/>
      <c r="P797" s="190"/>
      <c r="Q797" s="190"/>
      <c r="R797" s="190"/>
      <c r="S797" s="190"/>
      <c r="T797" s="190"/>
      <c r="U797" s="190"/>
      <c r="V797" s="192"/>
      <c r="W797" s="192"/>
      <c r="X797" s="2325" t="s">
        <v>1820</v>
      </c>
      <c r="Y797" s="596" t="s">
        <v>1821</v>
      </c>
      <c r="Z797" s="609">
        <v>3</v>
      </c>
      <c r="AA797" s="609">
        <v>0</v>
      </c>
      <c r="AB797" s="609">
        <v>24</v>
      </c>
      <c r="AC797" s="609">
        <v>8</v>
      </c>
      <c r="AD797" s="609"/>
      <c r="AE797" s="609" t="s">
        <v>1805</v>
      </c>
      <c r="AF797" s="723">
        <v>0.4</v>
      </c>
      <c r="AG797" s="609"/>
      <c r="AH797" s="609">
        <v>100</v>
      </c>
      <c r="AI797" s="609"/>
      <c r="AJ797" s="609" t="s">
        <v>904</v>
      </c>
      <c r="AK797" s="190"/>
      <c r="AL797" s="116"/>
    </row>
    <row r="798" spans="1:40" s="54" customFormat="1" ht="45.75" customHeight="1" outlineLevel="1">
      <c r="A798" s="190"/>
      <c r="B798" s="190"/>
      <c r="C798" s="190"/>
      <c r="D798" s="190"/>
      <c r="E798" s="190"/>
      <c r="F798" s="190"/>
      <c r="G798" s="553" t="s">
        <v>325</v>
      </c>
      <c r="H798" s="552" t="s">
        <v>261</v>
      </c>
      <c r="I798" s="190"/>
      <c r="J798" s="190"/>
      <c r="K798" s="190"/>
      <c r="L798" s="190"/>
      <c r="M798" s="190"/>
      <c r="N798" s="190"/>
      <c r="O798" s="190"/>
      <c r="P798" s="190"/>
      <c r="Q798" s="190"/>
      <c r="R798" s="190"/>
      <c r="S798" s="190"/>
      <c r="T798" s="190"/>
      <c r="U798" s="190"/>
      <c r="V798" s="192"/>
      <c r="W798" s="192"/>
      <c r="X798" s="2326" t="s">
        <v>1822</v>
      </c>
      <c r="Y798" s="1439" t="s">
        <v>1823</v>
      </c>
      <c r="Z798" s="1331">
        <v>4</v>
      </c>
      <c r="AA798" s="1331">
        <v>0</v>
      </c>
      <c r="AB798" s="1331">
        <v>32</v>
      </c>
      <c r="AC798" s="1331">
        <v>1</v>
      </c>
      <c r="AD798" s="1331"/>
      <c r="AE798" s="1331" t="s">
        <v>1788</v>
      </c>
      <c r="AF798" s="1440">
        <v>1</v>
      </c>
      <c r="AG798" s="1331"/>
      <c r="AH798" s="1331"/>
      <c r="AI798" s="1331"/>
      <c r="AJ798" s="1331"/>
      <c r="AK798" s="190"/>
      <c r="AL798" s="116"/>
    </row>
    <row r="799" spans="1:40" ht="14.25" customHeight="1">
      <c r="A799" s="190"/>
      <c r="B799" s="190"/>
      <c r="C799" s="190"/>
      <c r="D799" s="190"/>
      <c r="E799" s="190"/>
      <c r="F799" s="190"/>
      <c r="G799" s="553"/>
      <c r="H799" s="552"/>
      <c r="I799" s="190"/>
      <c r="J799" s="190"/>
      <c r="K799" s="190"/>
      <c r="L799" s="190"/>
      <c r="M799" s="190"/>
      <c r="N799" s="190"/>
      <c r="O799" s="190"/>
      <c r="P799" s="190"/>
      <c r="Q799" s="190"/>
      <c r="R799" s="190"/>
      <c r="S799" s="190"/>
      <c r="T799" s="190"/>
      <c r="U799" s="190"/>
      <c r="V799" s="192"/>
      <c r="W799" s="483"/>
      <c r="X799" s="2327" t="s">
        <v>1824</v>
      </c>
      <c r="Y799" s="1339" t="s">
        <v>1825</v>
      </c>
      <c r="Z799" s="1373">
        <v>4</v>
      </c>
      <c r="AA799" s="1373">
        <v>1</v>
      </c>
      <c r="AB799" s="1373">
        <v>33</v>
      </c>
      <c r="AC799" s="1373">
        <v>1</v>
      </c>
      <c r="AD799" s="1373"/>
      <c r="AE799" s="1373" t="s">
        <v>1788</v>
      </c>
      <c r="AF799" s="722">
        <v>1</v>
      </c>
      <c r="AG799" s="1373"/>
      <c r="AH799" s="1373"/>
      <c r="AI799" s="1373"/>
      <c r="AJ799" s="1373"/>
      <c r="AK799" s="190"/>
      <c r="AL799" s="116"/>
      <c r="AM799" s="54"/>
      <c r="AN799" s="54"/>
    </row>
    <row r="800" spans="1:40" ht="30.4" customHeight="1">
      <c r="G800" s="553" t="s">
        <v>325</v>
      </c>
      <c r="H800" s="552" t="s">
        <v>261</v>
      </c>
      <c r="W800" s="117"/>
      <c r="X800" s="2328" t="s">
        <v>1826</v>
      </c>
      <c r="Y800" s="1398" t="s">
        <v>1827</v>
      </c>
      <c r="Z800" s="1373">
        <v>4</v>
      </c>
      <c r="AA800" s="1373">
        <v>2</v>
      </c>
      <c r="AB800" s="1373">
        <v>34</v>
      </c>
      <c r="AC800" s="1373">
        <v>1</v>
      </c>
      <c r="AD800" s="1373"/>
      <c r="AE800" s="1373" t="s">
        <v>1788</v>
      </c>
      <c r="AF800" s="1373"/>
      <c r="AG800" s="1373"/>
      <c r="AH800" s="1373"/>
      <c r="AI800" s="1373"/>
      <c r="AJ800" s="1373"/>
      <c r="AK800" s="1363"/>
    </row>
    <row r="801" spans="1:39" ht="14.25" customHeight="1">
      <c r="V801" s="193"/>
      <c r="X801" s="484"/>
      <c r="Y801" s="117"/>
      <c r="Z801" s="1363"/>
      <c r="AA801" s="1363"/>
      <c r="AB801" s="1363"/>
      <c r="AC801" s="1363"/>
      <c r="AD801" s="1363"/>
      <c r="AE801" s="1363"/>
      <c r="AF801" s="1363"/>
      <c r="AG801" s="1363"/>
      <c r="AH801" s="1363"/>
      <c r="AI801" s="1363"/>
      <c r="AJ801" s="1363"/>
    </row>
    <row r="802" spans="1:39" ht="18" customHeight="1">
      <c r="A802" s="45">
        <v>17</v>
      </c>
      <c r="B802" s="191" t="s">
        <v>1828</v>
      </c>
      <c r="C802" s="191" t="s">
        <v>1829</v>
      </c>
      <c r="D802" s="191" t="s">
        <v>259</v>
      </c>
      <c r="E802" s="191">
        <v>8</v>
      </c>
      <c r="F802" s="191" t="s">
        <v>260</v>
      </c>
      <c r="G802" s="191" t="s">
        <v>325</v>
      </c>
      <c r="H802" s="191"/>
      <c r="I802" s="191"/>
      <c r="J802" s="191"/>
      <c r="K802" s="191"/>
      <c r="L802" s="191"/>
      <c r="M802" s="191"/>
      <c r="N802" s="191"/>
      <c r="O802" s="191" t="s">
        <v>261</v>
      </c>
      <c r="P802" s="191"/>
      <c r="Q802" s="191"/>
      <c r="R802" s="191"/>
      <c r="S802" s="191"/>
      <c r="T802" s="191"/>
      <c r="U802" s="194"/>
      <c r="V802" s="193"/>
      <c r="W802" s="357"/>
      <c r="X802" s="195" t="s">
        <v>1830</v>
      </c>
      <c r="Y802" s="45"/>
      <c r="Z802" s="45"/>
      <c r="AA802" s="45"/>
      <c r="AB802" s="45"/>
      <c r="AC802" s="45"/>
      <c r="AD802" s="45"/>
      <c r="AE802" s="45"/>
      <c r="AF802" s="45"/>
      <c r="AG802" s="45"/>
      <c r="AH802" s="45"/>
      <c r="AI802" s="45"/>
      <c r="AJ802" s="45"/>
    </row>
    <row r="803" spans="1:39" ht="18" customHeight="1" outlineLevel="1">
      <c r="A803" s="1298"/>
      <c r="B803" s="1338"/>
      <c r="C803" s="1338"/>
      <c r="D803" s="1338"/>
      <c r="E803" s="1338"/>
      <c r="F803" s="1338"/>
      <c r="G803" s="1338"/>
      <c r="H803" s="1338"/>
      <c r="I803" s="1338"/>
      <c r="J803" s="1338"/>
      <c r="K803" s="1338"/>
      <c r="L803" s="1338"/>
      <c r="M803" s="1338"/>
      <c r="N803" s="1338"/>
      <c r="O803" s="1338"/>
      <c r="P803" s="1338"/>
      <c r="Q803" s="1338"/>
      <c r="R803" s="1338"/>
      <c r="S803" s="1338"/>
      <c r="T803" s="1338"/>
      <c r="U803" s="1338"/>
      <c r="V803" s="1338"/>
      <c r="W803" s="1299"/>
      <c r="X803" s="1300" t="s">
        <v>1831</v>
      </c>
      <c r="Y803" s="1312" t="s">
        <v>1832</v>
      </c>
      <c r="Z803" s="1301">
        <v>0</v>
      </c>
      <c r="AA803" s="1301">
        <v>0</v>
      </c>
      <c r="AB803" s="1301">
        <v>0</v>
      </c>
      <c r="AC803" s="1301">
        <v>1</v>
      </c>
      <c r="AD803" s="1301"/>
      <c r="AE803" s="1301" t="s">
        <v>1833</v>
      </c>
      <c r="AF803" s="1301"/>
      <c r="AG803" s="1301"/>
      <c r="AH803" s="1301"/>
      <c r="AI803" s="1301"/>
      <c r="AJ803" s="1301"/>
      <c r="AK803" s="1285"/>
      <c r="AL803" s="1285"/>
      <c r="AM803" s="1285"/>
    </row>
    <row r="804" spans="1:39" ht="30.75" customHeight="1" outlineLevel="1">
      <c r="A804" s="1302"/>
      <c r="B804" s="1290"/>
      <c r="C804" s="1290"/>
      <c r="D804" s="1290"/>
      <c r="E804" s="1290"/>
      <c r="F804" s="1290"/>
      <c r="G804" s="1290"/>
      <c r="H804" s="1290"/>
      <c r="I804" s="1290"/>
      <c r="J804" s="1290"/>
      <c r="K804" s="1290"/>
      <c r="L804" s="1290"/>
      <c r="M804" s="1290"/>
      <c r="N804" s="1290"/>
      <c r="O804" s="1290"/>
      <c r="P804" s="1290"/>
      <c r="Q804" s="1290"/>
      <c r="R804" s="1290"/>
      <c r="S804" s="1290"/>
      <c r="T804" s="1290"/>
      <c r="U804" s="1290"/>
      <c r="V804" s="1290"/>
      <c r="W804" s="1288"/>
      <c r="X804" s="1280" t="s">
        <v>1834</v>
      </c>
      <c r="Y804" s="1296" t="s">
        <v>1835</v>
      </c>
      <c r="Z804" s="1282">
        <v>0</v>
      </c>
      <c r="AA804" s="1282">
        <v>1</v>
      </c>
      <c r="AB804" s="1282">
        <v>1</v>
      </c>
      <c r="AC804" s="1282">
        <v>1</v>
      </c>
      <c r="AD804" s="1282"/>
      <c r="AE804" s="1280" t="s">
        <v>1836</v>
      </c>
      <c r="AF804" s="1282"/>
      <c r="AG804" s="1282"/>
      <c r="AH804" s="1282"/>
      <c r="AI804" s="1282"/>
      <c r="AJ804" s="1282"/>
      <c r="AK804" s="1285"/>
      <c r="AL804" s="1285"/>
      <c r="AM804" s="1285"/>
    </row>
    <row r="805" spans="1:39" ht="30.75" customHeight="1" outlineLevel="1">
      <c r="A805" s="1302"/>
      <c r="B805" s="1290"/>
      <c r="C805" s="1290"/>
      <c r="D805" s="1290"/>
      <c r="E805" s="1290"/>
      <c r="F805" s="1290"/>
      <c r="G805" s="1290"/>
      <c r="H805" s="1290"/>
      <c r="I805" s="1290"/>
      <c r="J805" s="1290"/>
      <c r="K805" s="1290"/>
      <c r="L805" s="1290"/>
      <c r="M805" s="1290"/>
      <c r="N805" s="1290"/>
      <c r="O805" s="1290"/>
      <c r="P805" s="1290"/>
      <c r="Q805" s="1290"/>
      <c r="R805" s="1290"/>
      <c r="S805" s="1290"/>
      <c r="T805" s="1290"/>
      <c r="U805" s="1290"/>
      <c r="V805" s="1290"/>
      <c r="W805" s="1288"/>
      <c r="X805" s="1280" t="s">
        <v>1837</v>
      </c>
      <c r="Y805" s="1296" t="s">
        <v>1838</v>
      </c>
      <c r="Z805" s="1282">
        <v>0</v>
      </c>
      <c r="AA805" s="1282">
        <v>2</v>
      </c>
      <c r="AB805" s="1282">
        <v>2</v>
      </c>
      <c r="AC805" s="1282">
        <v>1</v>
      </c>
      <c r="AD805" s="1282"/>
      <c r="AE805" s="1280" t="s">
        <v>1839</v>
      </c>
      <c r="AF805" s="1282"/>
      <c r="AG805" s="1282"/>
      <c r="AH805" s="1282"/>
      <c r="AI805" s="1282"/>
      <c r="AJ805" s="1282"/>
      <c r="AK805" s="1285"/>
      <c r="AL805" s="1285"/>
      <c r="AM805" s="1285"/>
    </row>
    <row r="806" spans="1:39" ht="30.75" customHeight="1" outlineLevel="1">
      <c r="A806" s="1302"/>
      <c r="B806" s="1290"/>
      <c r="C806" s="1290"/>
      <c r="D806" s="1290"/>
      <c r="E806" s="1290"/>
      <c r="F806" s="1290"/>
      <c r="G806" s="1290"/>
      <c r="H806" s="1290"/>
      <c r="I806" s="1290"/>
      <c r="J806" s="1290"/>
      <c r="K806" s="1290"/>
      <c r="L806" s="1290"/>
      <c r="M806" s="1290"/>
      <c r="N806" s="1290"/>
      <c r="O806" s="1290"/>
      <c r="P806" s="1290"/>
      <c r="Q806" s="1290"/>
      <c r="R806" s="1290"/>
      <c r="S806" s="1290"/>
      <c r="T806" s="1290"/>
      <c r="U806" s="1290"/>
      <c r="V806" s="1290"/>
      <c r="W806" s="1288"/>
      <c r="X806" s="1280" t="s">
        <v>1840</v>
      </c>
      <c r="Y806" s="1296" t="s">
        <v>1841</v>
      </c>
      <c r="Z806" s="1282">
        <v>0</v>
      </c>
      <c r="AA806" s="1282">
        <v>3</v>
      </c>
      <c r="AB806" s="1282">
        <v>3</v>
      </c>
      <c r="AC806" s="1282">
        <v>1</v>
      </c>
      <c r="AD806" s="1282"/>
      <c r="AE806" s="1280" t="s">
        <v>1842</v>
      </c>
      <c r="AF806" s="1282"/>
      <c r="AG806" s="1282"/>
      <c r="AH806" s="1282"/>
      <c r="AI806" s="1282"/>
      <c r="AJ806" s="1282"/>
      <c r="AK806" s="1285"/>
      <c r="AL806" s="1285"/>
      <c r="AM806" s="1285"/>
    </row>
    <row r="807" spans="1:39" ht="18" customHeight="1" outlineLevel="1">
      <c r="A807" s="1302"/>
      <c r="B807" s="1290"/>
      <c r="C807" s="1290"/>
      <c r="D807" s="1290"/>
      <c r="E807" s="1290"/>
      <c r="F807" s="1290"/>
      <c r="G807" s="1290"/>
      <c r="H807" s="1290"/>
      <c r="I807" s="1290"/>
      <c r="J807" s="1290"/>
      <c r="K807" s="1290"/>
      <c r="L807" s="1290"/>
      <c r="M807" s="1290"/>
      <c r="N807" s="1290"/>
      <c r="O807" s="1290"/>
      <c r="P807" s="1290"/>
      <c r="Q807" s="1290"/>
      <c r="R807" s="1290"/>
      <c r="S807" s="1290"/>
      <c r="T807" s="1290"/>
      <c r="U807" s="1290"/>
      <c r="V807" s="1290"/>
      <c r="W807" s="1288"/>
      <c r="X807" s="1280" t="s">
        <v>1843</v>
      </c>
      <c r="Y807" s="1296" t="s">
        <v>1844</v>
      </c>
      <c r="Z807" s="1282">
        <v>0</v>
      </c>
      <c r="AA807" s="1282">
        <v>4</v>
      </c>
      <c r="AB807" s="1282">
        <v>4</v>
      </c>
      <c r="AC807" s="1282">
        <v>1</v>
      </c>
      <c r="AD807" s="1282"/>
      <c r="AE807" s="1280" t="s">
        <v>1842</v>
      </c>
      <c r="AF807" s="1282"/>
      <c r="AG807" s="1282"/>
      <c r="AH807" s="1282"/>
      <c r="AI807" s="1282"/>
      <c r="AJ807" s="1282"/>
      <c r="AK807" s="1285"/>
      <c r="AL807" s="1285"/>
      <c r="AM807" s="1285"/>
    </row>
    <row r="808" spans="1:39" ht="18" customHeight="1" outlineLevel="1">
      <c r="A808" s="1302"/>
      <c r="B808" s="1290"/>
      <c r="C808" s="1290"/>
      <c r="D808" s="1290"/>
      <c r="E808" s="1290"/>
      <c r="F808" s="1290"/>
      <c r="G808" s="1290"/>
      <c r="H808" s="1290"/>
      <c r="I808" s="1290"/>
      <c r="J808" s="1290"/>
      <c r="K808" s="1290"/>
      <c r="L808" s="1290"/>
      <c r="M808" s="1290"/>
      <c r="N808" s="1290"/>
      <c r="O808" s="1290"/>
      <c r="P808" s="1290"/>
      <c r="Q808" s="1290"/>
      <c r="R808" s="1290"/>
      <c r="S808" s="1290"/>
      <c r="T808" s="1290"/>
      <c r="U808" s="1290"/>
      <c r="V808" s="1290"/>
      <c r="W808" s="1288"/>
      <c r="X808" s="1280" t="s">
        <v>1845</v>
      </c>
      <c r="Y808" s="1296" t="s">
        <v>1846</v>
      </c>
      <c r="Z808" s="1282">
        <v>0</v>
      </c>
      <c r="AA808" s="1282">
        <v>5</v>
      </c>
      <c r="AB808" s="1282">
        <v>5</v>
      </c>
      <c r="AC808" s="1282">
        <v>1</v>
      </c>
      <c r="AD808" s="1282"/>
      <c r="AE808" s="1280" t="s">
        <v>1842</v>
      </c>
      <c r="AF808" s="1282"/>
      <c r="AG808" s="1282"/>
      <c r="AH808" s="1282"/>
      <c r="AI808" s="1282"/>
      <c r="AJ808" s="1282"/>
      <c r="AK808" s="1285"/>
      <c r="AL808" s="1285"/>
      <c r="AM808" s="1285"/>
    </row>
    <row r="809" spans="1:39" ht="30.75" customHeight="1" outlineLevel="1">
      <c r="A809" s="1302"/>
      <c r="B809" s="1290"/>
      <c r="C809" s="1290"/>
      <c r="D809" s="1290"/>
      <c r="E809" s="1290"/>
      <c r="F809" s="1290"/>
      <c r="G809" s="1290"/>
      <c r="H809" s="1290"/>
      <c r="I809" s="1290"/>
      <c r="J809" s="1290"/>
      <c r="K809" s="1290"/>
      <c r="L809" s="1290"/>
      <c r="M809" s="1290"/>
      <c r="N809" s="1290"/>
      <c r="O809" s="1290"/>
      <c r="P809" s="1290"/>
      <c r="Q809" s="1290"/>
      <c r="R809" s="1290"/>
      <c r="S809" s="1290"/>
      <c r="T809" s="1290"/>
      <c r="U809" s="1290"/>
      <c r="V809" s="1290"/>
      <c r="W809" s="1288"/>
      <c r="X809" s="2329" t="s">
        <v>1847</v>
      </c>
      <c r="Y809" s="1296" t="s">
        <v>1848</v>
      </c>
      <c r="Z809" s="1282">
        <v>0</v>
      </c>
      <c r="AA809" s="1282">
        <v>6</v>
      </c>
      <c r="AB809" s="1282">
        <v>6</v>
      </c>
      <c r="AC809" s="1282">
        <v>1</v>
      </c>
      <c r="AD809" s="1282"/>
      <c r="AE809" s="1280" t="s">
        <v>1842</v>
      </c>
      <c r="AF809" s="1282"/>
      <c r="AG809" s="1282"/>
      <c r="AH809" s="1282"/>
      <c r="AI809" s="1282"/>
      <c r="AJ809" s="1282"/>
      <c r="AK809" s="1285"/>
      <c r="AL809" s="1285"/>
      <c r="AM809" s="1285"/>
    </row>
    <row r="810" spans="1:39" ht="18" customHeight="1" outlineLevel="1">
      <c r="A810" s="1302"/>
      <c r="B810" s="1290"/>
      <c r="C810" s="1290"/>
      <c r="D810" s="1290"/>
      <c r="E810" s="1290"/>
      <c r="F810" s="1290"/>
      <c r="G810" s="1290"/>
      <c r="H810" s="1290"/>
      <c r="I810" s="1290"/>
      <c r="J810" s="1290"/>
      <c r="K810" s="1290"/>
      <c r="L810" s="1290"/>
      <c r="M810" s="1290"/>
      <c r="N810" s="1290"/>
      <c r="O810" s="1290"/>
      <c r="P810" s="1290"/>
      <c r="Q810" s="1290"/>
      <c r="R810" s="1290"/>
      <c r="S810" s="1290"/>
      <c r="T810" s="1290"/>
      <c r="U810" s="1290"/>
      <c r="V810" s="1290"/>
      <c r="W810" s="1288"/>
      <c r="X810" s="1280" t="s">
        <v>1849</v>
      </c>
      <c r="Y810" s="1296" t="s">
        <v>1850</v>
      </c>
      <c r="Z810" s="1282">
        <v>0</v>
      </c>
      <c r="AA810" s="1282">
        <v>7</v>
      </c>
      <c r="AB810" s="1282">
        <v>7</v>
      </c>
      <c r="AC810" s="1282">
        <v>1</v>
      </c>
      <c r="AD810" s="1282"/>
      <c r="AE810" s="1282" t="s">
        <v>1833</v>
      </c>
      <c r="AF810" s="1282"/>
      <c r="AG810" s="1282"/>
      <c r="AH810" s="1282"/>
      <c r="AI810" s="1282"/>
      <c r="AJ810" s="1282"/>
      <c r="AK810" s="1285"/>
      <c r="AL810" s="1285"/>
      <c r="AM810" s="1285"/>
    </row>
    <row r="811" spans="1:39" ht="30.75" customHeight="1" outlineLevel="1">
      <c r="A811" s="1302"/>
      <c r="B811" s="1290"/>
      <c r="C811" s="1290"/>
      <c r="D811" s="1290"/>
      <c r="E811" s="1290"/>
      <c r="F811" s="1290"/>
      <c r="G811" s="1290"/>
      <c r="H811" s="1290"/>
      <c r="I811" s="1290"/>
      <c r="J811" s="1290"/>
      <c r="K811" s="1290"/>
      <c r="L811" s="1290"/>
      <c r="M811" s="1290"/>
      <c r="N811" s="1290"/>
      <c r="O811" s="1290"/>
      <c r="P811" s="1290"/>
      <c r="Q811" s="1290"/>
      <c r="R811" s="1290"/>
      <c r="S811" s="1290"/>
      <c r="T811" s="1290"/>
      <c r="U811" s="1290"/>
      <c r="V811" s="1290"/>
      <c r="W811" s="1288"/>
      <c r="X811" s="1280" t="s">
        <v>1851</v>
      </c>
      <c r="Y811" s="1296" t="s">
        <v>1852</v>
      </c>
      <c r="Z811" s="1282">
        <v>1</v>
      </c>
      <c r="AA811" s="1282">
        <v>0</v>
      </c>
      <c r="AB811" s="1282">
        <v>8</v>
      </c>
      <c r="AC811" s="1282">
        <v>1</v>
      </c>
      <c r="AD811" s="1282"/>
      <c r="AE811" s="1280" t="s">
        <v>1836</v>
      </c>
      <c r="AF811" s="1282"/>
      <c r="AG811" s="1282"/>
      <c r="AH811" s="1282"/>
      <c r="AI811" s="1282"/>
      <c r="AJ811" s="1282"/>
      <c r="AK811" s="1285"/>
      <c r="AL811" s="1285"/>
      <c r="AM811" s="1285"/>
    </row>
    <row r="812" spans="1:39" ht="30.75" customHeight="1" outlineLevel="1">
      <c r="A812" s="1302"/>
      <c r="B812" s="1290"/>
      <c r="C812" s="1290"/>
      <c r="D812" s="1290"/>
      <c r="E812" s="1290"/>
      <c r="F812" s="1290"/>
      <c r="G812" s="1290"/>
      <c r="H812" s="1290"/>
      <c r="I812" s="1290"/>
      <c r="J812" s="1290"/>
      <c r="K812" s="1290"/>
      <c r="L812" s="1290"/>
      <c r="M812" s="1290"/>
      <c r="N812" s="1290"/>
      <c r="O812" s="1290"/>
      <c r="P812" s="1290"/>
      <c r="Q812" s="1290"/>
      <c r="R812" s="1290"/>
      <c r="S812" s="1290"/>
      <c r="T812" s="1290"/>
      <c r="U812" s="1290"/>
      <c r="V812" s="1290"/>
      <c r="W812" s="1288"/>
      <c r="X812" s="1280" t="s">
        <v>1853</v>
      </c>
      <c r="Y812" s="1296" t="s">
        <v>1854</v>
      </c>
      <c r="Z812" s="1282">
        <v>1</v>
      </c>
      <c r="AA812" s="1282">
        <v>1</v>
      </c>
      <c r="AB812" s="1282">
        <v>9</v>
      </c>
      <c r="AC812" s="1282">
        <v>1</v>
      </c>
      <c r="AD812" s="1282"/>
      <c r="AE812" s="1280" t="s">
        <v>1842</v>
      </c>
      <c r="AF812" s="1282"/>
      <c r="AG812" s="1282"/>
      <c r="AH812" s="1282"/>
      <c r="AI812" s="1282"/>
      <c r="AJ812" s="1282"/>
      <c r="AK812" s="1285"/>
      <c r="AL812" s="1285"/>
      <c r="AM812" s="1285"/>
    </row>
    <row r="813" spans="1:39" ht="30.75" customHeight="1" outlineLevel="1">
      <c r="A813" s="1302"/>
      <c r="B813" s="1290"/>
      <c r="C813" s="1290"/>
      <c r="D813" s="1290"/>
      <c r="E813" s="1290"/>
      <c r="F813" s="1290"/>
      <c r="G813" s="1290"/>
      <c r="H813" s="1290"/>
      <c r="I813" s="1290"/>
      <c r="J813" s="1290"/>
      <c r="K813" s="1290"/>
      <c r="L813" s="1290"/>
      <c r="M813" s="1290"/>
      <c r="N813" s="1290"/>
      <c r="O813" s="1290"/>
      <c r="P813" s="1290"/>
      <c r="Q813" s="1290"/>
      <c r="R813" s="1290"/>
      <c r="S813" s="1290"/>
      <c r="T813" s="1290"/>
      <c r="U813" s="1290"/>
      <c r="V813" s="1290"/>
      <c r="W813" s="1288"/>
      <c r="X813" s="1280" t="s">
        <v>1855</v>
      </c>
      <c r="Y813" s="1296" t="s">
        <v>1856</v>
      </c>
      <c r="Z813" s="1282">
        <v>1</v>
      </c>
      <c r="AA813" s="1282">
        <v>2</v>
      </c>
      <c r="AB813" s="1282">
        <v>10</v>
      </c>
      <c r="AC813" s="1282">
        <v>1</v>
      </c>
      <c r="AD813" s="1282"/>
      <c r="AE813" s="1280" t="s">
        <v>1842</v>
      </c>
      <c r="AF813" s="1282"/>
      <c r="AG813" s="1282"/>
      <c r="AH813" s="1282"/>
      <c r="AI813" s="1282"/>
      <c r="AJ813" s="1282"/>
      <c r="AK813" s="1285"/>
      <c r="AL813" s="1285"/>
      <c r="AM813" s="1285"/>
    </row>
    <row r="814" spans="1:39" ht="18" customHeight="1" outlineLevel="1">
      <c r="A814" s="1302"/>
      <c r="B814" s="1290"/>
      <c r="C814" s="1290"/>
      <c r="D814" s="1290"/>
      <c r="E814" s="1290"/>
      <c r="F814" s="1290"/>
      <c r="G814" s="1290"/>
      <c r="H814" s="1290"/>
      <c r="I814" s="1290"/>
      <c r="J814" s="1290"/>
      <c r="K814" s="1290"/>
      <c r="L814" s="1290"/>
      <c r="M814" s="1290"/>
      <c r="N814" s="1290"/>
      <c r="O814" s="1290"/>
      <c r="P814" s="1290"/>
      <c r="Q814" s="1290"/>
      <c r="R814" s="1290"/>
      <c r="S814" s="1290"/>
      <c r="T814" s="1290"/>
      <c r="U814" s="1290"/>
      <c r="V814" s="1290"/>
      <c r="W814" s="1288"/>
      <c r="X814" s="1280" t="s">
        <v>1857</v>
      </c>
      <c r="Y814" s="1296" t="s">
        <v>1858</v>
      </c>
      <c r="Z814" s="1282">
        <v>1</v>
      </c>
      <c r="AA814" s="1282">
        <v>3</v>
      </c>
      <c r="AB814" s="1282">
        <v>11</v>
      </c>
      <c r="AC814" s="1282">
        <v>1</v>
      </c>
      <c r="AD814" s="1282"/>
      <c r="AE814" s="1280" t="s">
        <v>1842</v>
      </c>
      <c r="AF814" s="1282"/>
      <c r="AG814" s="1282"/>
      <c r="AH814" s="1282"/>
      <c r="AI814" s="1282"/>
      <c r="AJ814" s="1282"/>
      <c r="AK814" s="1285"/>
      <c r="AL814" s="1285"/>
      <c r="AM814" s="1285"/>
    </row>
    <row r="815" spans="1:39" ht="18" customHeight="1" outlineLevel="1">
      <c r="A815" s="1302"/>
      <c r="B815" s="1290"/>
      <c r="C815" s="1290"/>
      <c r="D815" s="1290"/>
      <c r="E815" s="1290"/>
      <c r="F815" s="1290"/>
      <c r="G815" s="1290"/>
      <c r="H815" s="1290"/>
      <c r="I815" s="1290"/>
      <c r="J815" s="1290"/>
      <c r="K815" s="1290"/>
      <c r="L815" s="1290"/>
      <c r="M815" s="1290"/>
      <c r="N815" s="1290"/>
      <c r="O815" s="1290"/>
      <c r="P815" s="1290"/>
      <c r="Q815" s="1290"/>
      <c r="R815" s="1290"/>
      <c r="S815" s="1290"/>
      <c r="T815" s="1290"/>
      <c r="U815" s="1290"/>
      <c r="V815" s="1290"/>
      <c r="W815" s="1288"/>
      <c r="X815" s="1280" t="s">
        <v>1859</v>
      </c>
      <c r="Y815" s="1296" t="s">
        <v>1860</v>
      </c>
      <c r="Z815" s="1282">
        <v>1</v>
      </c>
      <c r="AA815" s="1282">
        <v>4</v>
      </c>
      <c r="AB815" s="1282">
        <v>12</v>
      </c>
      <c r="AC815" s="1282">
        <v>1</v>
      </c>
      <c r="AD815" s="1282"/>
      <c r="AE815" s="1280" t="s">
        <v>1842</v>
      </c>
      <c r="AF815" s="1282"/>
      <c r="AG815" s="1282"/>
      <c r="AH815" s="1282"/>
      <c r="AI815" s="1282"/>
      <c r="AJ815" s="1282"/>
      <c r="AK815" s="1285"/>
      <c r="AL815" s="1285"/>
      <c r="AM815" s="1285"/>
    </row>
    <row r="816" spans="1:39" ht="30.75" customHeight="1" outlineLevel="1">
      <c r="A816" s="1302"/>
      <c r="B816" s="1290"/>
      <c r="C816" s="1290"/>
      <c r="D816" s="1290"/>
      <c r="E816" s="1290"/>
      <c r="F816" s="1290"/>
      <c r="G816" s="1290"/>
      <c r="H816" s="1290"/>
      <c r="I816" s="1290"/>
      <c r="J816" s="1290"/>
      <c r="K816" s="1290"/>
      <c r="L816" s="1290"/>
      <c r="M816" s="1290"/>
      <c r="N816" s="1290"/>
      <c r="O816" s="1290"/>
      <c r="P816" s="1290"/>
      <c r="Q816" s="1290"/>
      <c r="R816" s="1290"/>
      <c r="S816" s="1290"/>
      <c r="T816" s="1290"/>
      <c r="U816" s="1290"/>
      <c r="V816" s="1290"/>
      <c r="W816" s="1288"/>
      <c r="X816" s="2330" t="s">
        <v>1861</v>
      </c>
      <c r="Y816" s="1296" t="s">
        <v>1862</v>
      </c>
      <c r="Z816" s="1282">
        <v>1</v>
      </c>
      <c r="AA816" s="1282">
        <v>5</v>
      </c>
      <c r="AB816" s="1282">
        <v>13</v>
      </c>
      <c r="AC816" s="1282">
        <v>1</v>
      </c>
      <c r="AD816" s="1282"/>
      <c r="AE816" s="1280" t="s">
        <v>1842</v>
      </c>
      <c r="AF816" s="1282"/>
      <c r="AG816" s="1282"/>
      <c r="AH816" s="1282"/>
      <c r="AI816" s="1282"/>
      <c r="AJ816" s="1282"/>
      <c r="AK816" s="1285"/>
      <c r="AL816" s="1285"/>
      <c r="AM816" s="1285"/>
    </row>
    <row r="817" spans="1:39" ht="18" customHeight="1" outlineLevel="1">
      <c r="A817" s="1302"/>
      <c r="B817" s="1290"/>
      <c r="C817" s="1290"/>
      <c r="D817" s="1290"/>
      <c r="E817" s="1290"/>
      <c r="F817" s="1290"/>
      <c r="G817" s="1290"/>
      <c r="H817" s="1290"/>
      <c r="I817" s="1290"/>
      <c r="J817" s="1290"/>
      <c r="K817" s="1290"/>
      <c r="L817" s="1290"/>
      <c r="M817" s="1290"/>
      <c r="N817" s="1290"/>
      <c r="O817" s="1290"/>
      <c r="P817" s="1290"/>
      <c r="Q817" s="1290"/>
      <c r="R817" s="1290"/>
      <c r="S817" s="1290"/>
      <c r="T817" s="1290"/>
      <c r="U817" s="1290"/>
      <c r="V817" s="1290"/>
      <c r="W817" s="1288"/>
      <c r="X817" s="1280" t="s">
        <v>1863</v>
      </c>
      <c r="Y817" s="1296" t="s">
        <v>1864</v>
      </c>
      <c r="Z817" s="1282">
        <v>1</v>
      </c>
      <c r="AA817" s="1282">
        <v>6</v>
      </c>
      <c r="AB817" s="1282">
        <v>14</v>
      </c>
      <c r="AC817" s="1282">
        <v>1</v>
      </c>
      <c r="AD817" s="1282"/>
      <c r="AE817" s="1282" t="s">
        <v>1833</v>
      </c>
      <c r="AF817" s="1282"/>
      <c r="AG817" s="1282"/>
      <c r="AH817" s="1282"/>
      <c r="AI817" s="1282"/>
      <c r="AJ817" s="1282"/>
      <c r="AK817" s="1285"/>
      <c r="AL817" s="1285"/>
      <c r="AM817" s="1285"/>
    </row>
    <row r="818" spans="1:39" ht="30.75" customHeight="1" outlineLevel="1">
      <c r="A818" s="1302"/>
      <c r="B818" s="1290"/>
      <c r="C818" s="1290"/>
      <c r="D818" s="1290"/>
      <c r="E818" s="1290"/>
      <c r="F818" s="1290"/>
      <c r="G818" s="1290"/>
      <c r="H818" s="1290"/>
      <c r="I818" s="1290"/>
      <c r="J818" s="1290"/>
      <c r="K818" s="1290"/>
      <c r="L818" s="1290"/>
      <c r="M818" s="1290"/>
      <c r="N818" s="1290"/>
      <c r="O818" s="1290"/>
      <c r="P818" s="1290"/>
      <c r="Q818" s="1290"/>
      <c r="R818" s="1290"/>
      <c r="S818" s="1290"/>
      <c r="T818" s="1290"/>
      <c r="U818" s="1290"/>
      <c r="V818" s="1290"/>
      <c r="W818" s="1288"/>
      <c r="X818" s="1280" t="s">
        <v>1865</v>
      </c>
      <c r="Y818" s="1296" t="s">
        <v>1866</v>
      </c>
      <c r="Z818" s="1282">
        <v>1</v>
      </c>
      <c r="AA818" s="1282">
        <v>7</v>
      </c>
      <c r="AB818" s="1282">
        <v>15</v>
      </c>
      <c r="AC818" s="1282">
        <v>1</v>
      </c>
      <c r="AD818" s="1282"/>
      <c r="AE818" s="1280" t="s">
        <v>1836</v>
      </c>
      <c r="AF818" s="1282"/>
      <c r="AG818" s="1282"/>
      <c r="AH818" s="1282"/>
      <c r="AI818" s="1282"/>
      <c r="AJ818" s="1282"/>
      <c r="AK818" s="1285"/>
      <c r="AL818" s="1285"/>
      <c r="AM818" s="1285"/>
    </row>
    <row r="819" spans="1:39" ht="30.75" customHeight="1" outlineLevel="1">
      <c r="A819" s="1302"/>
      <c r="B819" s="1290"/>
      <c r="C819" s="1290"/>
      <c r="D819" s="1290"/>
      <c r="E819" s="1290"/>
      <c r="F819" s="1290"/>
      <c r="G819" s="1290"/>
      <c r="H819" s="1290"/>
      <c r="I819" s="1290"/>
      <c r="J819" s="1290"/>
      <c r="K819" s="1290"/>
      <c r="L819" s="1290"/>
      <c r="M819" s="1290"/>
      <c r="N819" s="1290"/>
      <c r="O819" s="1290"/>
      <c r="P819" s="1290"/>
      <c r="Q819" s="1290"/>
      <c r="R819" s="1290"/>
      <c r="S819" s="1290"/>
      <c r="T819" s="1290"/>
      <c r="U819" s="1290"/>
      <c r="V819" s="1290"/>
      <c r="W819" s="1288"/>
      <c r="X819" s="1280" t="s">
        <v>1867</v>
      </c>
      <c r="Y819" s="1296" t="s">
        <v>1868</v>
      </c>
      <c r="Z819" s="1282">
        <v>2</v>
      </c>
      <c r="AA819" s="1282">
        <v>0</v>
      </c>
      <c r="AB819" s="1282">
        <v>16</v>
      </c>
      <c r="AC819" s="1282">
        <v>1</v>
      </c>
      <c r="AD819" s="1282"/>
      <c r="AE819" s="1280" t="s">
        <v>1842</v>
      </c>
      <c r="AF819" s="1282"/>
      <c r="AG819" s="1282"/>
      <c r="AH819" s="1282"/>
      <c r="AI819" s="1282"/>
      <c r="AJ819" s="1282"/>
      <c r="AK819" s="1285"/>
      <c r="AL819" s="1285"/>
      <c r="AM819" s="1285"/>
    </row>
    <row r="820" spans="1:39" ht="30.75" customHeight="1" outlineLevel="1">
      <c r="A820" s="1302"/>
      <c r="B820" s="1290"/>
      <c r="C820" s="1290"/>
      <c r="D820" s="1290"/>
      <c r="E820" s="1290"/>
      <c r="F820" s="1290"/>
      <c r="G820" s="1290"/>
      <c r="H820" s="1290"/>
      <c r="I820" s="1290"/>
      <c r="J820" s="1290"/>
      <c r="K820" s="1290"/>
      <c r="L820" s="1290"/>
      <c r="M820" s="1290"/>
      <c r="N820" s="1290"/>
      <c r="O820" s="1290"/>
      <c r="P820" s="1290"/>
      <c r="Q820" s="1290"/>
      <c r="R820" s="1290"/>
      <c r="S820" s="1290"/>
      <c r="T820" s="1290"/>
      <c r="U820" s="1290"/>
      <c r="V820" s="1290"/>
      <c r="W820" s="1288"/>
      <c r="X820" s="1280" t="s">
        <v>1869</v>
      </c>
      <c r="Y820" s="1296" t="s">
        <v>1870</v>
      </c>
      <c r="Z820" s="1282">
        <v>2</v>
      </c>
      <c r="AA820" s="1282">
        <v>1</v>
      </c>
      <c r="AB820" s="1282">
        <v>17</v>
      </c>
      <c r="AC820" s="1282">
        <v>1</v>
      </c>
      <c r="AD820" s="1282"/>
      <c r="AE820" s="1280" t="s">
        <v>1842</v>
      </c>
      <c r="AF820" s="1282"/>
      <c r="AG820" s="1282"/>
      <c r="AH820" s="1282"/>
      <c r="AI820" s="1282"/>
      <c r="AJ820" s="1282"/>
      <c r="AK820" s="1285"/>
      <c r="AL820" s="1285"/>
      <c r="AM820" s="1285"/>
    </row>
    <row r="821" spans="1:39" ht="18" customHeight="1" outlineLevel="1">
      <c r="A821" s="1302"/>
      <c r="B821" s="1290"/>
      <c r="C821" s="1290"/>
      <c r="D821" s="1290"/>
      <c r="E821" s="1290"/>
      <c r="F821" s="1290"/>
      <c r="G821" s="1290"/>
      <c r="H821" s="1290"/>
      <c r="I821" s="1290"/>
      <c r="J821" s="1290"/>
      <c r="K821" s="1290"/>
      <c r="L821" s="1290"/>
      <c r="M821" s="1290"/>
      <c r="N821" s="1290"/>
      <c r="O821" s="1290"/>
      <c r="P821" s="1290"/>
      <c r="Q821" s="1290"/>
      <c r="R821" s="1290"/>
      <c r="S821" s="1290"/>
      <c r="T821" s="1290"/>
      <c r="U821" s="1290"/>
      <c r="V821" s="1290"/>
      <c r="W821" s="1288"/>
      <c r="X821" s="1280" t="s">
        <v>1871</v>
      </c>
      <c r="Y821" s="1296" t="s">
        <v>1872</v>
      </c>
      <c r="Z821" s="1282">
        <v>2</v>
      </c>
      <c r="AA821" s="1282">
        <v>2</v>
      </c>
      <c r="AB821" s="1282">
        <v>18</v>
      </c>
      <c r="AC821" s="1282">
        <v>1</v>
      </c>
      <c r="AD821" s="1282"/>
      <c r="AE821" s="1280" t="s">
        <v>1842</v>
      </c>
      <c r="AF821" s="1282"/>
      <c r="AG821" s="1282"/>
      <c r="AH821" s="1282"/>
      <c r="AI821" s="1282"/>
      <c r="AJ821" s="1282"/>
      <c r="AK821" s="1285"/>
      <c r="AL821" s="1285"/>
      <c r="AM821" s="1285"/>
    </row>
    <row r="822" spans="1:39" ht="18" customHeight="1" outlineLevel="1">
      <c r="A822" s="1302"/>
      <c r="B822" s="1290"/>
      <c r="C822" s="1290"/>
      <c r="D822" s="1290"/>
      <c r="E822" s="1290"/>
      <c r="F822" s="1290"/>
      <c r="G822" s="1290"/>
      <c r="H822" s="1290"/>
      <c r="I822" s="1290"/>
      <c r="J822" s="1290"/>
      <c r="K822" s="1290"/>
      <c r="L822" s="1290"/>
      <c r="M822" s="1290"/>
      <c r="N822" s="1290"/>
      <c r="O822" s="1290"/>
      <c r="P822" s="1290"/>
      <c r="Q822" s="1290"/>
      <c r="R822" s="1290"/>
      <c r="S822" s="1290"/>
      <c r="T822" s="1290"/>
      <c r="U822" s="1290"/>
      <c r="V822" s="1290"/>
      <c r="W822" s="1288"/>
      <c r="X822" s="1280" t="s">
        <v>1873</v>
      </c>
      <c r="Y822" s="1296" t="s">
        <v>1874</v>
      </c>
      <c r="Z822" s="1282">
        <v>2</v>
      </c>
      <c r="AA822" s="1282">
        <v>3</v>
      </c>
      <c r="AB822" s="1282">
        <v>19</v>
      </c>
      <c r="AC822" s="1282">
        <v>1</v>
      </c>
      <c r="AD822" s="1282"/>
      <c r="AE822" s="1280" t="s">
        <v>1842</v>
      </c>
      <c r="AF822" s="1282"/>
      <c r="AG822" s="1282"/>
      <c r="AH822" s="1282"/>
      <c r="AI822" s="1282"/>
      <c r="AJ822" s="1282"/>
      <c r="AK822" s="1285"/>
      <c r="AL822" s="1285"/>
      <c r="AM822" s="1285"/>
    </row>
    <row r="823" spans="1:39" ht="30.75" customHeight="1" outlineLevel="1">
      <c r="A823" s="1302"/>
      <c r="B823" s="1290"/>
      <c r="C823" s="1290"/>
      <c r="D823" s="1290"/>
      <c r="E823" s="1290"/>
      <c r="F823" s="1290"/>
      <c r="G823" s="1290"/>
      <c r="H823" s="1290"/>
      <c r="I823" s="1290"/>
      <c r="J823" s="1290"/>
      <c r="K823" s="1290"/>
      <c r="L823" s="1290"/>
      <c r="M823" s="1290"/>
      <c r="N823" s="1290"/>
      <c r="O823" s="1290"/>
      <c r="P823" s="1290"/>
      <c r="Q823" s="1290"/>
      <c r="R823" s="1290"/>
      <c r="S823" s="1290"/>
      <c r="T823" s="1290"/>
      <c r="U823" s="1290"/>
      <c r="V823" s="1290"/>
      <c r="W823" s="1288"/>
      <c r="X823" s="2331" t="s">
        <v>1875</v>
      </c>
      <c r="Y823" s="1296" t="s">
        <v>1876</v>
      </c>
      <c r="Z823" s="1282">
        <v>2</v>
      </c>
      <c r="AA823" s="1282">
        <v>4</v>
      </c>
      <c r="AB823" s="1282">
        <v>20</v>
      </c>
      <c r="AC823" s="1282">
        <v>1</v>
      </c>
      <c r="AD823" s="1282"/>
      <c r="AE823" s="1280" t="s">
        <v>1842</v>
      </c>
      <c r="AF823" s="1282"/>
      <c r="AG823" s="1282"/>
      <c r="AH823" s="1282"/>
      <c r="AI823" s="1282"/>
      <c r="AJ823" s="1282"/>
      <c r="AK823" s="1285"/>
      <c r="AL823" s="1285"/>
      <c r="AM823" s="1285"/>
    </row>
    <row r="824" spans="1:39" ht="30.75" customHeight="1" outlineLevel="1">
      <c r="A824" s="1302"/>
      <c r="B824" s="1290"/>
      <c r="C824" s="1290"/>
      <c r="D824" s="1290"/>
      <c r="E824" s="1290"/>
      <c r="F824" s="1290"/>
      <c r="G824" s="1290"/>
      <c r="H824" s="1290"/>
      <c r="I824" s="1290"/>
      <c r="J824" s="1290"/>
      <c r="K824" s="1290"/>
      <c r="L824" s="1290"/>
      <c r="M824" s="1290"/>
      <c r="N824" s="1290"/>
      <c r="O824" s="1290"/>
      <c r="P824" s="1290"/>
      <c r="Q824" s="1290"/>
      <c r="R824" s="1290"/>
      <c r="S824" s="1290"/>
      <c r="T824" s="1290"/>
      <c r="U824" s="1290"/>
      <c r="V824" s="1290"/>
      <c r="W824" s="1288"/>
      <c r="X824" s="1280" t="s">
        <v>1877</v>
      </c>
      <c r="Y824" s="1296" t="s">
        <v>1878</v>
      </c>
      <c r="Z824" s="1282">
        <v>2</v>
      </c>
      <c r="AA824" s="1282">
        <v>5</v>
      </c>
      <c r="AB824" s="1282">
        <v>21</v>
      </c>
      <c r="AC824" s="1282">
        <v>1</v>
      </c>
      <c r="AD824" s="1282"/>
      <c r="AE824" s="1280" t="s">
        <v>1842</v>
      </c>
      <c r="AF824" s="1282"/>
      <c r="AG824" s="1282"/>
      <c r="AH824" s="1282"/>
      <c r="AI824" s="1282"/>
      <c r="AJ824" s="1282"/>
      <c r="AK824" s="1285"/>
      <c r="AL824" s="1285"/>
      <c r="AM824" s="1285"/>
    </row>
    <row r="825" spans="1:39" ht="30.75" customHeight="1" outlineLevel="1">
      <c r="A825" s="1302"/>
      <c r="B825" s="1290"/>
      <c r="C825" s="1290"/>
      <c r="D825" s="1290"/>
      <c r="E825" s="1290"/>
      <c r="F825" s="1290"/>
      <c r="G825" s="1290"/>
      <c r="H825" s="1290"/>
      <c r="I825" s="1290"/>
      <c r="J825" s="1290"/>
      <c r="K825" s="1290"/>
      <c r="L825" s="1290"/>
      <c r="M825" s="1290"/>
      <c r="N825" s="1290"/>
      <c r="O825" s="1290"/>
      <c r="P825" s="1290"/>
      <c r="Q825" s="1290"/>
      <c r="R825" s="1290"/>
      <c r="S825" s="1290"/>
      <c r="T825" s="1290"/>
      <c r="U825" s="1290"/>
      <c r="V825" s="1290"/>
      <c r="W825" s="1288"/>
      <c r="X825" s="1280" t="s">
        <v>1879</v>
      </c>
      <c r="Y825" s="1296" t="s">
        <v>1880</v>
      </c>
      <c r="Z825" s="1282">
        <v>2</v>
      </c>
      <c r="AA825" s="1282">
        <v>6</v>
      </c>
      <c r="AB825" s="1282">
        <v>22</v>
      </c>
      <c r="AC825" s="1282">
        <v>1</v>
      </c>
      <c r="AD825" s="1282"/>
      <c r="AE825" s="1280" t="s">
        <v>1842</v>
      </c>
      <c r="AF825" s="1282"/>
      <c r="AG825" s="1282"/>
      <c r="AH825" s="1282"/>
      <c r="AI825" s="1282"/>
      <c r="AJ825" s="1282"/>
      <c r="AK825" s="1285"/>
      <c r="AL825" s="1285"/>
      <c r="AM825" s="1285"/>
    </row>
    <row r="826" spans="1:39" ht="45.75" customHeight="1" outlineLevel="1">
      <c r="A826" s="1302"/>
      <c r="B826" s="1290"/>
      <c r="C826" s="1290"/>
      <c r="D826" s="1290"/>
      <c r="E826" s="1290"/>
      <c r="F826" s="1290"/>
      <c r="G826" s="1290"/>
      <c r="H826" s="1290"/>
      <c r="I826" s="1290"/>
      <c r="J826" s="1290"/>
      <c r="K826" s="1290"/>
      <c r="L826" s="1290"/>
      <c r="M826" s="1290"/>
      <c r="N826" s="1290"/>
      <c r="O826" s="1290"/>
      <c r="P826" s="1290"/>
      <c r="Q826" s="1290"/>
      <c r="R826" s="1290"/>
      <c r="S826" s="1290"/>
      <c r="T826" s="1290"/>
      <c r="U826" s="1290"/>
      <c r="V826" s="1290"/>
      <c r="W826" s="1288"/>
      <c r="X826" s="1280" t="s">
        <v>1881</v>
      </c>
      <c r="Y826" s="1296" t="s">
        <v>1882</v>
      </c>
      <c r="Z826" s="1282">
        <v>2</v>
      </c>
      <c r="AA826" s="1282">
        <v>7</v>
      </c>
      <c r="AB826" s="1282">
        <v>23</v>
      </c>
      <c r="AC826" s="1282">
        <v>1</v>
      </c>
      <c r="AD826" s="1282"/>
      <c r="AE826" s="1280" t="s">
        <v>1839</v>
      </c>
      <c r="AF826" s="1282"/>
      <c r="AG826" s="1282"/>
      <c r="AH826" s="1282"/>
      <c r="AI826" s="1282"/>
      <c r="AJ826" s="1282"/>
      <c r="AK826" s="1285"/>
      <c r="AL826" s="1285"/>
      <c r="AM826" s="1285"/>
    </row>
    <row r="827" spans="1:39" ht="45.75" customHeight="1" outlineLevel="1">
      <c r="A827" s="1302"/>
      <c r="B827" s="1290"/>
      <c r="C827" s="1290"/>
      <c r="D827" s="1290"/>
      <c r="E827" s="1290"/>
      <c r="F827" s="1290"/>
      <c r="G827" s="1290"/>
      <c r="H827" s="1290"/>
      <c r="I827" s="1290"/>
      <c r="J827" s="1290"/>
      <c r="K827" s="1290"/>
      <c r="L827" s="1290"/>
      <c r="M827" s="1290"/>
      <c r="N827" s="1290"/>
      <c r="O827" s="1290"/>
      <c r="P827" s="1290"/>
      <c r="Q827" s="1290"/>
      <c r="R827" s="1290"/>
      <c r="S827" s="1290"/>
      <c r="T827" s="1290"/>
      <c r="U827" s="1290"/>
      <c r="V827" s="1290"/>
      <c r="W827" s="1288"/>
      <c r="X827" s="1280" t="s">
        <v>1883</v>
      </c>
      <c r="Y827" s="1296" t="s">
        <v>1884</v>
      </c>
      <c r="Z827" s="1282">
        <v>3</v>
      </c>
      <c r="AA827" s="1282">
        <v>0</v>
      </c>
      <c r="AB827" s="1282">
        <v>24</v>
      </c>
      <c r="AC827" s="1282">
        <v>1</v>
      </c>
      <c r="AD827" s="1282"/>
      <c r="AE827" s="1280" t="s">
        <v>1839</v>
      </c>
      <c r="AF827" s="1282"/>
      <c r="AG827" s="1282"/>
      <c r="AH827" s="1282"/>
      <c r="AI827" s="1282"/>
      <c r="AJ827" s="1282"/>
      <c r="AK827" s="1285"/>
      <c r="AL827" s="1285"/>
      <c r="AM827" s="1285"/>
    </row>
    <row r="828" spans="1:39" ht="45.75" customHeight="1" outlineLevel="1">
      <c r="A828" s="1302"/>
      <c r="B828" s="1290"/>
      <c r="C828" s="1290"/>
      <c r="D828" s="1290"/>
      <c r="E828" s="1290"/>
      <c r="F828" s="1290"/>
      <c r="G828" s="1290"/>
      <c r="H828" s="1290"/>
      <c r="I828" s="1290"/>
      <c r="J828" s="1290"/>
      <c r="K828" s="1290"/>
      <c r="L828" s="1290"/>
      <c r="M828" s="1290"/>
      <c r="N828" s="1290"/>
      <c r="O828" s="1290"/>
      <c r="P828" s="1290"/>
      <c r="Q828" s="1290"/>
      <c r="R828" s="1290"/>
      <c r="S828" s="1290"/>
      <c r="T828" s="1290"/>
      <c r="U828" s="1290"/>
      <c r="V828" s="1290"/>
      <c r="W828" s="1288"/>
      <c r="X828" s="1280" t="s">
        <v>1885</v>
      </c>
      <c r="Y828" s="1296" t="s">
        <v>1886</v>
      </c>
      <c r="Z828" s="1282">
        <v>3</v>
      </c>
      <c r="AA828" s="1282">
        <v>1</v>
      </c>
      <c r="AB828" s="1282">
        <v>25</v>
      </c>
      <c r="AC828" s="1282">
        <v>1</v>
      </c>
      <c r="AD828" s="1282"/>
      <c r="AE828" s="1280" t="s">
        <v>1839</v>
      </c>
      <c r="AF828" s="1282"/>
      <c r="AG828" s="1282"/>
      <c r="AH828" s="1282"/>
      <c r="AI828" s="1282"/>
      <c r="AJ828" s="1282"/>
      <c r="AK828" s="1285"/>
      <c r="AL828" s="1285"/>
      <c r="AM828" s="1285"/>
    </row>
    <row r="829" spans="1:39" ht="60.75" customHeight="1" outlineLevel="1">
      <c r="A829" s="1302"/>
      <c r="B829" s="1290"/>
      <c r="C829" s="1290"/>
      <c r="D829" s="1290"/>
      <c r="E829" s="1290"/>
      <c r="F829" s="1290"/>
      <c r="G829" s="1290"/>
      <c r="H829" s="1290"/>
      <c r="I829" s="1290"/>
      <c r="J829" s="1290"/>
      <c r="K829" s="1290"/>
      <c r="L829" s="1290"/>
      <c r="M829" s="1290"/>
      <c r="N829" s="1290"/>
      <c r="O829" s="1290"/>
      <c r="P829" s="1290"/>
      <c r="Q829" s="1290"/>
      <c r="R829" s="1290"/>
      <c r="S829" s="1290"/>
      <c r="T829" s="1290"/>
      <c r="U829" s="1290"/>
      <c r="V829" s="1290"/>
      <c r="W829" s="1288"/>
      <c r="X829" s="1280" t="s">
        <v>1887</v>
      </c>
      <c r="Y829" s="1296" t="s">
        <v>1888</v>
      </c>
      <c r="Z829" s="1282">
        <v>3</v>
      </c>
      <c r="AA829" s="1282">
        <v>2</v>
      </c>
      <c r="AB829" s="1282">
        <v>26</v>
      </c>
      <c r="AC829" s="1282">
        <v>1</v>
      </c>
      <c r="AD829" s="1282"/>
      <c r="AE829" s="1280" t="s">
        <v>1839</v>
      </c>
      <c r="AF829" s="1282"/>
      <c r="AG829" s="1282"/>
      <c r="AH829" s="1282"/>
      <c r="AI829" s="1282"/>
      <c r="AJ829" s="1282"/>
      <c r="AK829" s="1285"/>
      <c r="AL829" s="1285"/>
      <c r="AM829" s="1285"/>
    </row>
    <row r="830" spans="1:39" ht="60.75" customHeight="1" outlineLevel="1">
      <c r="A830" s="1302"/>
      <c r="B830" s="1290"/>
      <c r="C830" s="1290"/>
      <c r="D830" s="1290"/>
      <c r="E830" s="1290"/>
      <c r="F830" s="1290"/>
      <c r="G830" s="1290"/>
      <c r="H830" s="1290"/>
      <c r="I830" s="1290"/>
      <c r="J830" s="1290"/>
      <c r="K830" s="1290"/>
      <c r="L830" s="1290"/>
      <c r="M830" s="1290"/>
      <c r="N830" s="1290"/>
      <c r="O830" s="1290"/>
      <c r="P830" s="1290"/>
      <c r="Q830" s="1290"/>
      <c r="R830" s="1290"/>
      <c r="S830" s="1290"/>
      <c r="T830" s="1290"/>
      <c r="U830" s="1290"/>
      <c r="V830" s="1290"/>
      <c r="W830" s="1288"/>
      <c r="X830" s="1280" t="s">
        <v>1889</v>
      </c>
      <c r="Y830" s="1296" t="s">
        <v>1890</v>
      </c>
      <c r="Z830" s="1282">
        <v>3</v>
      </c>
      <c r="AA830" s="1282">
        <v>3</v>
      </c>
      <c r="AB830" s="1282">
        <v>27</v>
      </c>
      <c r="AC830" s="1282">
        <v>1</v>
      </c>
      <c r="AD830" s="1282"/>
      <c r="AE830" s="1280" t="s">
        <v>1839</v>
      </c>
      <c r="AF830" s="1282"/>
      <c r="AG830" s="1282"/>
      <c r="AH830" s="1282"/>
      <c r="AI830" s="1282"/>
      <c r="AJ830" s="1282"/>
      <c r="AK830" s="1285"/>
      <c r="AL830" s="1285"/>
      <c r="AM830" s="1285"/>
    </row>
    <row r="831" spans="1:39" ht="75.75" customHeight="1" outlineLevel="1">
      <c r="A831" s="1302"/>
      <c r="B831" s="1290"/>
      <c r="C831" s="1290"/>
      <c r="D831" s="1290"/>
      <c r="E831" s="1290"/>
      <c r="F831" s="1290"/>
      <c r="G831" s="1290"/>
      <c r="H831" s="1290"/>
      <c r="I831" s="1290"/>
      <c r="J831" s="1290"/>
      <c r="K831" s="1290"/>
      <c r="L831" s="1290"/>
      <c r="M831" s="1290"/>
      <c r="N831" s="1290"/>
      <c r="O831" s="1290"/>
      <c r="P831" s="1290"/>
      <c r="Q831" s="1290"/>
      <c r="R831" s="1290"/>
      <c r="S831" s="1290"/>
      <c r="T831" s="1290"/>
      <c r="U831" s="1290"/>
      <c r="V831" s="1290"/>
      <c r="W831" s="1288"/>
      <c r="X831" s="1280" t="s">
        <v>1891</v>
      </c>
      <c r="Y831" s="1296" t="s">
        <v>1892</v>
      </c>
      <c r="Z831" s="1282">
        <v>3</v>
      </c>
      <c r="AA831" s="1282">
        <v>4</v>
      </c>
      <c r="AB831" s="1282">
        <v>28</v>
      </c>
      <c r="AC831" s="1282">
        <v>1</v>
      </c>
      <c r="AD831" s="1282"/>
      <c r="AE831" s="1280" t="s">
        <v>1839</v>
      </c>
      <c r="AF831" s="1282"/>
      <c r="AG831" s="1282"/>
      <c r="AH831" s="1282"/>
      <c r="AI831" s="1282"/>
      <c r="AJ831" s="1282"/>
      <c r="AK831" s="1285"/>
      <c r="AL831" s="1285"/>
      <c r="AM831" s="1285"/>
    </row>
    <row r="832" spans="1:39" ht="60.75" customHeight="1" outlineLevel="1">
      <c r="A832" s="1302"/>
      <c r="B832" s="1290"/>
      <c r="C832" s="1290"/>
      <c r="D832" s="1290"/>
      <c r="E832" s="1290"/>
      <c r="F832" s="1290"/>
      <c r="G832" s="1290"/>
      <c r="H832" s="1290"/>
      <c r="I832" s="1290"/>
      <c r="J832" s="1290"/>
      <c r="K832" s="1290"/>
      <c r="L832" s="1290"/>
      <c r="M832" s="1290"/>
      <c r="N832" s="1290"/>
      <c r="O832" s="1290"/>
      <c r="P832" s="1290"/>
      <c r="Q832" s="1290"/>
      <c r="R832" s="1290"/>
      <c r="S832" s="1290"/>
      <c r="T832" s="1290"/>
      <c r="U832" s="1290"/>
      <c r="V832" s="1290"/>
      <c r="W832" s="1288"/>
      <c r="X832" s="1280" t="s">
        <v>1893</v>
      </c>
      <c r="Y832" s="1296" t="s">
        <v>1894</v>
      </c>
      <c r="Z832" s="1282">
        <v>3</v>
      </c>
      <c r="AA832" s="1282">
        <v>5</v>
      </c>
      <c r="AB832" s="1282">
        <v>29</v>
      </c>
      <c r="AC832" s="1282">
        <v>1</v>
      </c>
      <c r="AD832" s="1282"/>
      <c r="AE832" s="1280" t="s">
        <v>1839</v>
      </c>
      <c r="AF832" s="1282"/>
      <c r="AG832" s="1282"/>
      <c r="AH832" s="1282"/>
      <c r="AI832" s="1282"/>
      <c r="AJ832" s="1282"/>
      <c r="AK832" s="1285"/>
      <c r="AL832" s="1285"/>
      <c r="AM832" s="1285"/>
    </row>
    <row r="833" spans="1:40" ht="60.75" customHeight="1" outlineLevel="1">
      <c r="A833" s="1302"/>
      <c r="B833" s="1290"/>
      <c r="C833" s="1290"/>
      <c r="D833" s="1290"/>
      <c r="E833" s="1290"/>
      <c r="F833" s="1290"/>
      <c r="G833" s="1290"/>
      <c r="H833" s="1290"/>
      <c r="I833" s="1290"/>
      <c r="J833" s="1290"/>
      <c r="K833" s="1290"/>
      <c r="L833" s="1290"/>
      <c r="M833" s="1290"/>
      <c r="N833" s="1290"/>
      <c r="O833" s="1290"/>
      <c r="P833" s="1290"/>
      <c r="Q833" s="1290"/>
      <c r="R833" s="1290"/>
      <c r="S833" s="1290"/>
      <c r="T833" s="1290"/>
      <c r="U833" s="1290"/>
      <c r="V833" s="1290"/>
      <c r="W833" s="1288"/>
      <c r="X833" s="1280" t="s">
        <v>1895</v>
      </c>
      <c r="Y833" s="1296" t="s">
        <v>1896</v>
      </c>
      <c r="Z833" s="1282">
        <v>3</v>
      </c>
      <c r="AA833" s="1282">
        <v>6</v>
      </c>
      <c r="AB833" s="1282">
        <v>30</v>
      </c>
      <c r="AC833" s="1282">
        <v>1</v>
      </c>
      <c r="AD833" s="1282"/>
      <c r="AE833" s="1280" t="s">
        <v>1839</v>
      </c>
      <c r="AF833" s="1282"/>
      <c r="AG833" s="1282"/>
      <c r="AH833" s="1282"/>
      <c r="AI833" s="1282"/>
      <c r="AJ833" s="1282"/>
      <c r="AK833" s="1285"/>
      <c r="AL833" s="1285"/>
      <c r="AM833" s="1285"/>
    </row>
    <row r="834" spans="1:40" ht="60.75" customHeight="1" outlineLevel="1">
      <c r="A834" s="1302"/>
      <c r="B834" s="1290"/>
      <c r="C834" s="1290"/>
      <c r="D834" s="1290"/>
      <c r="E834" s="1290"/>
      <c r="F834" s="1290"/>
      <c r="G834" s="1290"/>
      <c r="H834" s="1290"/>
      <c r="I834" s="1290"/>
      <c r="J834" s="1290"/>
      <c r="K834" s="1290"/>
      <c r="L834" s="1290"/>
      <c r="M834" s="1290"/>
      <c r="N834" s="1290"/>
      <c r="O834" s="1290"/>
      <c r="P834" s="1290"/>
      <c r="Q834" s="1290"/>
      <c r="R834" s="1290"/>
      <c r="S834" s="1290"/>
      <c r="T834" s="1290"/>
      <c r="U834" s="1290"/>
      <c r="V834" s="1290"/>
      <c r="W834" s="1288"/>
      <c r="X834" s="1280" t="s">
        <v>1897</v>
      </c>
      <c r="Y834" s="1296" t="s">
        <v>1898</v>
      </c>
      <c r="Z834" s="1282">
        <v>3</v>
      </c>
      <c r="AA834" s="1282">
        <v>7</v>
      </c>
      <c r="AB834" s="1282">
        <v>31</v>
      </c>
      <c r="AC834" s="1282">
        <v>1</v>
      </c>
      <c r="AD834" s="1282"/>
      <c r="AE834" s="1280" t="s">
        <v>1839</v>
      </c>
      <c r="AF834" s="1282"/>
      <c r="AG834" s="1282"/>
      <c r="AH834" s="1282"/>
      <c r="AI834" s="1282"/>
      <c r="AJ834" s="1282"/>
      <c r="AK834" s="1285"/>
      <c r="AL834" s="1285"/>
      <c r="AM834" s="1285"/>
    </row>
    <row r="835" spans="1:40" ht="60.75" customHeight="1" outlineLevel="1">
      <c r="A835" s="1302"/>
      <c r="B835" s="1290"/>
      <c r="C835" s="1290"/>
      <c r="D835" s="1290"/>
      <c r="E835" s="1290"/>
      <c r="F835" s="1290"/>
      <c r="G835" s="1290"/>
      <c r="H835" s="1290"/>
      <c r="I835" s="1290"/>
      <c r="J835" s="1290"/>
      <c r="K835" s="1290"/>
      <c r="L835" s="1290"/>
      <c r="M835" s="1290"/>
      <c r="N835" s="1290"/>
      <c r="O835" s="1290"/>
      <c r="P835" s="1290"/>
      <c r="Q835" s="1290"/>
      <c r="R835" s="1290"/>
      <c r="S835" s="1290"/>
      <c r="T835" s="1290"/>
      <c r="U835" s="1290"/>
      <c r="V835" s="1290"/>
      <c r="W835" s="1288"/>
      <c r="X835" s="1280" t="s">
        <v>1899</v>
      </c>
      <c r="Y835" s="1296" t="s">
        <v>1900</v>
      </c>
      <c r="Z835" s="1282">
        <v>4</v>
      </c>
      <c r="AA835" s="1282">
        <v>0</v>
      </c>
      <c r="AB835" s="1282">
        <v>32</v>
      </c>
      <c r="AC835" s="1282">
        <v>1</v>
      </c>
      <c r="AD835" s="1282"/>
      <c r="AE835" s="1280" t="s">
        <v>1839</v>
      </c>
      <c r="AF835" s="1282"/>
      <c r="AG835" s="1282"/>
      <c r="AH835" s="1282"/>
      <c r="AI835" s="1282"/>
      <c r="AJ835" s="1282"/>
      <c r="AK835" s="1285"/>
      <c r="AL835" s="1285"/>
      <c r="AM835" s="1285"/>
    </row>
    <row r="836" spans="1:40" ht="60.75" customHeight="1" outlineLevel="1">
      <c r="A836" s="1302"/>
      <c r="B836" s="1290"/>
      <c r="C836" s="1290"/>
      <c r="D836" s="1290"/>
      <c r="E836" s="1290"/>
      <c r="F836" s="1290"/>
      <c r="G836" s="1290"/>
      <c r="H836" s="1290"/>
      <c r="I836" s="1290"/>
      <c r="J836" s="1290"/>
      <c r="K836" s="1290"/>
      <c r="L836" s="1290"/>
      <c r="M836" s="1290"/>
      <c r="N836" s="1290"/>
      <c r="O836" s="1290"/>
      <c r="P836" s="1290"/>
      <c r="Q836" s="1290"/>
      <c r="R836" s="1290"/>
      <c r="S836" s="1290"/>
      <c r="T836" s="1290"/>
      <c r="U836" s="1290"/>
      <c r="V836" s="1290"/>
      <c r="W836" s="1288"/>
      <c r="X836" s="1280" t="s">
        <v>1901</v>
      </c>
      <c r="Y836" s="1296" t="s">
        <v>1902</v>
      </c>
      <c r="Z836" s="1282">
        <v>4</v>
      </c>
      <c r="AA836" s="1282">
        <v>1</v>
      </c>
      <c r="AB836" s="1282">
        <v>33</v>
      </c>
      <c r="AC836" s="1282">
        <v>1</v>
      </c>
      <c r="AD836" s="1282"/>
      <c r="AE836" s="1280" t="s">
        <v>1839</v>
      </c>
      <c r="AF836" s="1282"/>
      <c r="AG836" s="1282"/>
      <c r="AH836" s="1282"/>
      <c r="AI836" s="1282"/>
      <c r="AJ836" s="1282"/>
      <c r="AK836" s="1285"/>
      <c r="AL836" s="1285"/>
      <c r="AM836" s="1285"/>
    </row>
    <row r="837" spans="1:40" ht="60.75" customHeight="1" outlineLevel="1">
      <c r="A837" s="1302"/>
      <c r="B837" s="1290"/>
      <c r="C837" s="1290"/>
      <c r="D837" s="1290"/>
      <c r="E837" s="1290"/>
      <c r="F837" s="1290"/>
      <c r="G837" s="1290"/>
      <c r="H837" s="1290"/>
      <c r="I837" s="1290"/>
      <c r="J837" s="1290"/>
      <c r="K837" s="1290"/>
      <c r="L837" s="1290"/>
      <c r="M837" s="1290"/>
      <c r="N837" s="1290"/>
      <c r="O837" s="1290"/>
      <c r="P837" s="1290"/>
      <c r="Q837" s="1290"/>
      <c r="R837" s="1290"/>
      <c r="S837" s="1290"/>
      <c r="T837" s="1290"/>
      <c r="U837" s="1290"/>
      <c r="V837" s="1290"/>
      <c r="W837" s="1288"/>
      <c r="X837" s="1280" t="s">
        <v>1903</v>
      </c>
      <c r="Y837" s="1296" t="s">
        <v>1904</v>
      </c>
      <c r="Z837" s="1282">
        <v>4</v>
      </c>
      <c r="AA837" s="1282">
        <v>2</v>
      </c>
      <c r="AB837" s="1282">
        <v>34</v>
      </c>
      <c r="AC837" s="1282">
        <v>1</v>
      </c>
      <c r="AD837" s="1282"/>
      <c r="AE837" s="1280" t="s">
        <v>1839</v>
      </c>
      <c r="AF837" s="1282"/>
      <c r="AG837" s="1282"/>
      <c r="AH837" s="1282"/>
      <c r="AI837" s="1282"/>
      <c r="AJ837" s="1282"/>
      <c r="AK837" s="1285"/>
      <c r="AL837" s="1285"/>
      <c r="AM837" s="1285"/>
    </row>
    <row r="838" spans="1:40" ht="60.75" customHeight="1" outlineLevel="1">
      <c r="A838" s="1231"/>
      <c r="B838" s="1253"/>
      <c r="C838" s="1253"/>
      <c r="D838" s="1253"/>
      <c r="E838" s="1253"/>
      <c r="F838" s="1253"/>
      <c r="G838" s="1253"/>
      <c r="H838" s="1253"/>
      <c r="I838" s="1253"/>
      <c r="J838" s="1253"/>
      <c r="K838" s="1253"/>
      <c r="L838" s="1253"/>
      <c r="M838" s="1253"/>
      <c r="N838" s="1253"/>
      <c r="O838" s="1253"/>
      <c r="P838" s="1253"/>
      <c r="Q838" s="1253"/>
      <c r="R838" s="1253"/>
      <c r="S838" s="1253"/>
      <c r="T838" s="1253"/>
      <c r="U838" s="1253"/>
      <c r="V838" s="1253"/>
      <c r="W838" s="1254"/>
      <c r="X838" s="1313" t="s">
        <v>1905</v>
      </c>
      <c r="Y838" s="1314" t="s">
        <v>1906</v>
      </c>
      <c r="Z838" s="1282">
        <v>4</v>
      </c>
      <c r="AA838" s="1282">
        <v>3</v>
      </c>
      <c r="AB838" s="1282">
        <v>35</v>
      </c>
      <c r="AC838" s="1282">
        <v>1</v>
      </c>
      <c r="AD838" s="1282"/>
      <c r="AE838" s="1280" t="s">
        <v>1839</v>
      </c>
      <c r="AF838" s="1282"/>
      <c r="AG838" s="1282"/>
      <c r="AH838" s="1282"/>
      <c r="AI838" s="1282"/>
      <c r="AJ838" s="1282"/>
      <c r="AK838" s="1285"/>
      <c r="AL838" s="1285"/>
      <c r="AM838" s="1285"/>
    </row>
    <row r="839" spans="1:40" ht="18" customHeight="1" outlineLevel="1">
      <c r="A839" s="1323"/>
      <c r="B839" s="1323"/>
      <c r="C839" s="1323"/>
      <c r="D839" s="1323"/>
      <c r="E839" s="1323"/>
      <c r="F839" s="1323"/>
      <c r="G839" s="1323"/>
      <c r="H839" s="1323"/>
      <c r="I839" s="1323"/>
      <c r="J839" s="1323"/>
      <c r="K839" s="1323"/>
      <c r="L839" s="1323"/>
      <c r="M839" s="1323"/>
      <c r="N839" s="1323"/>
      <c r="O839" s="1323"/>
      <c r="P839" s="1323"/>
      <c r="Q839" s="1323"/>
      <c r="R839" s="1323"/>
      <c r="S839" s="1323"/>
      <c r="T839" s="1323"/>
      <c r="U839" s="1323"/>
      <c r="V839" s="1323"/>
      <c r="W839" s="1324"/>
      <c r="X839" s="1325" t="s">
        <v>1907</v>
      </c>
      <c r="Y839" s="1325" t="s">
        <v>1908</v>
      </c>
      <c r="Z839" s="1301">
        <v>4</v>
      </c>
      <c r="AA839" s="1301">
        <v>4</v>
      </c>
      <c r="AB839" s="1301">
        <v>36</v>
      </c>
      <c r="AC839" s="1301">
        <v>1</v>
      </c>
      <c r="AD839" s="1301"/>
      <c r="AE839" s="1296" t="s">
        <v>1842</v>
      </c>
      <c r="AF839" s="1369"/>
      <c r="AG839" s="1301"/>
      <c r="AH839" s="1301"/>
      <c r="AI839" s="1301"/>
      <c r="AJ839" s="1301" t="s">
        <v>1909</v>
      </c>
      <c r="AK839" s="1285"/>
      <c r="AL839" s="1285"/>
      <c r="AM839" s="1285"/>
    </row>
    <row r="840" spans="1:40" ht="18" customHeight="1" outlineLevel="1">
      <c r="A840" s="1323"/>
      <c r="B840" s="1323"/>
      <c r="C840" s="1323"/>
      <c r="D840" s="1323"/>
      <c r="E840" s="1323"/>
      <c r="F840" s="1323"/>
      <c r="G840" s="1323"/>
      <c r="H840" s="1323"/>
      <c r="I840" s="1323"/>
      <c r="J840" s="1323"/>
      <c r="K840" s="1323"/>
      <c r="L840" s="1323"/>
      <c r="M840" s="1323"/>
      <c r="N840" s="1323"/>
      <c r="O840" s="1323"/>
      <c r="P840" s="1323"/>
      <c r="Q840" s="1323"/>
      <c r="R840" s="1323"/>
      <c r="S840" s="1323"/>
      <c r="T840" s="1323"/>
      <c r="U840" s="1323"/>
      <c r="V840" s="1323"/>
      <c r="W840" s="1324"/>
      <c r="X840" s="1325" t="s">
        <v>1910</v>
      </c>
      <c r="Y840" s="1325" t="s">
        <v>1908</v>
      </c>
      <c r="Z840" s="1282">
        <v>4</v>
      </c>
      <c r="AA840" s="1282">
        <v>5</v>
      </c>
      <c r="AB840" s="1282">
        <v>37</v>
      </c>
      <c r="AC840" s="1282">
        <v>1</v>
      </c>
      <c r="AD840" s="1282"/>
      <c r="AE840" s="1296" t="s">
        <v>1842</v>
      </c>
      <c r="AF840" s="1303"/>
      <c r="AG840" s="1282"/>
      <c r="AH840" s="1282"/>
      <c r="AI840" s="1282"/>
      <c r="AJ840" s="1282" t="s">
        <v>1909</v>
      </c>
      <c r="AK840" s="1285"/>
      <c r="AL840" s="1285"/>
      <c r="AM840" s="1285"/>
    </row>
    <row r="841" spans="1:40" ht="18" customHeight="1" outlineLevel="1">
      <c r="A841" s="1323"/>
      <c r="B841" s="1323"/>
      <c r="C841" s="1323"/>
      <c r="D841" s="1323"/>
      <c r="E841" s="1323"/>
      <c r="F841" s="1323"/>
      <c r="G841" s="1323"/>
      <c r="H841" s="1323"/>
      <c r="I841" s="1323"/>
      <c r="J841" s="1323"/>
      <c r="K841" s="1323"/>
      <c r="L841" s="1323"/>
      <c r="M841" s="1323"/>
      <c r="N841" s="1323"/>
      <c r="O841" s="1323"/>
      <c r="P841" s="1323"/>
      <c r="Q841" s="1323"/>
      <c r="R841" s="1323"/>
      <c r="S841" s="1323"/>
      <c r="T841" s="1323"/>
      <c r="U841" s="1323"/>
      <c r="V841" s="1323"/>
      <c r="W841" s="1324"/>
      <c r="X841" s="3293" t="s">
        <v>1911</v>
      </c>
      <c r="Y841" s="3293" t="s">
        <v>1912</v>
      </c>
      <c r="Z841" s="3309">
        <v>4</v>
      </c>
      <c r="AA841" s="3297">
        <v>6</v>
      </c>
      <c r="AB841" s="3297">
        <v>38</v>
      </c>
      <c r="AC841" s="3297">
        <v>1</v>
      </c>
      <c r="AD841" s="3297"/>
      <c r="AE841" s="1296" t="s">
        <v>1842</v>
      </c>
      <c r="AF841" s="3297"/>
      <c r="AG841" s="3297"/>
      <c r="AH841" s="3297"/>
      <c r="AI841" s="3297"/>
      <c r="AJ841" s="3297" t="s">
        <v>1909</v>
      </c>
      <c r="AK841" s="1285"/>
      <c r="AL841" s="1285"/>
      <c r="AM841" s="1285"/>
      <c r="AN841" s="366"/>
    </row>
    <row r="842" spans="1:40" ht="30.75" customHeight="1" outlineLevel="1">
      <c r="A842" s="1323"/>
      <c r="B842" s="1323"/>
      <c r="C842" s="1323"/>
      <c r="D842" s="1323"/>
      <c r="E842" s="1323"/>
      <c r="F842" s="1323"/>
      <c r="G842" s="1323"/>
      <c r="H842" s="1323"/>
      <c r="I842" s="1323"/>
      <c r="J842" s="1323"/>
      <c r="K842" s="1323"/>
      <c r="L842" s="1323"/>
      <c r="M842" s="1323"/>
      <c r="N842" s="1323"/>
      <c r="O842" s="1323"/>
      <c r="P842" s="1323"/>
      <c r="Q842" s="1323"/>
      <c r="R842" s="1323"/>
      <c r="S842" s="1323"/>
      <c r="T842" s="1323"/>
      <c r="U842" s="1323"/>
      <c r="V842" s="1323"/>
      <c r="W842" s="1324"/>
      <c r="X842" s="3294"/>
      <c r="Y842" s="3294"/>
      <c r="Z842" s="3298"/>
      <c r="AA842" s="3298"/>
      <c r="AB842" s="3298"/>
      <c r="AC842" s="3298"/>
      <c r="AD842" s="3298"/>
      <c r="AE842" s="1296" t="s">
        <v>1842</v>
      </c>
      <c r="AF842" s="3298"/>
      <c r="AG842" s="3298"/>
      <c r="AH842" s="3298"/>
      <c r="AI842" s="3298"/>
      <c r="AJ842" s="3298"/>
      <c r="AK842" s="1285"/>
      <c r="AL842" s="1285"/>
      <c r="AM842" s="1285"/>
    </row>
    <row r="843" spans="1:40" ht="30.75" customHeight="1" outlineLevel="1">
      <c r="A843" s="1323"/>
      <c r="B843" s="1323"/>
      <c r="C843" s="1323"/>
      <c r="D843" s="1323"/>
      <c r="E843" s="1323"/>
      <c r="F843" s="1323"/>
      <c r="G843" s="1323"/>
      <c r="H843" s="1323"/>
      <c r="I843" s="1323"/>
      <c r="J843" s="1323"/>
      <c r="K843" s="1323"/>
      <c r="L843" s="1323"/>
      <c r="M843" s="1323"/>
      <c r="N843" s="1323"/>
      <c r="O843" s="1323"/>
      <c r="P843" s="1323"/>
      <c r="Q843" s="1323"/>
      <c r="R843" s="1323"/>
      <c r="S843" s="1323"/>
      <c r="T843" s="1323"/>
      <c r="U843" s="1323"/>
      <c r="V843" s="1323"/>
      <c r="W843" s="1324"/>
      <c r="X843" s="2332" t="s">
        <v>1913</v>
      </c>
      <c r="Y843" s="1325" t="s">
        <v>1914</v>
      </c>
      <c r="Z843" s="1305">
        <v>4</v>
      </c>
      <c r="AA843" s="1305">
        <v>7</v>
      </c>
      <c r="AB843" s="1305">
        <v>39</v>
      </c>
      <c r="AC843" s="1305">
        <v>1</v>
      </c>
      <c r="AD843" s="1305"/>
      <c r="AE843" s="1306" t="s">
        <v>1915</v>
      </c>
      <c r="AF843" s="1305"/>
      <c r="AG843" s="1305"/>
      <c r="AH843" s="1305"/>
      <c r="AI843" s="1305"/>
      <c r="AJ843" s="1305"/>
      <c r="AK843" s="1285"/>
      <c r="AL843" s="1285"/>
      <c r="AM843" s="1285"/>
    </row>
    <row r="844" spans="1:40" ht="30.75" customHeight="1" outlineLevel="1">
      <c r="A844" s="1323"/>
      <c r="B844" s="1323"/>
      <c r="C844" s="1323"/>
      <c r="D844" s="1323"/>
      <c r="E844" s="1323"/>
      <c r="F844" s="1323"/>
      <c r="G844" s="1323"/>
      <c r="H844" s="1323"/>
      <c r="I844" s="1323"/>
      <c r="J844" s="1323"/>
      <c r="K844" s="1323"/>
      <c r="L844" s="1323"/>
      <c r="M844" s="1323"/>
      <c r="N844" s="1323"/>
      <c r="O844" s="1323"/>
      <c r="P844" s="1323"/>
      <c r="Q844" s="1323"/>
      <c r="R844" s="1323"/>
      <c r="S844" s="1323"/>
      <c r="T844" s="1323"/>
      <c r="U844" s="1323"/>
      <c r="V844" s="1323"/>
      <c r="W844" s="1324"/>
      <c r="X844" s="2333" t="s">
        <v>1916</v>
      </c>
      <c r="Y844" s="1325" t="s">
        <v>1917</v>
      </c>
      <c r="Z844" s="1306">
        <v>5</v>
      </c>
      <c r="AA844" s="1306">
        <v>0</v>
      </c>
      <c r="AB844" s="1306">
        <v>40</v>
      </c>
      <c r="AC844" s="1306">
        <v>1</v>
      </c>
      <c r="AD844" s="1306"/>
      <c r="AE844" s="1306" t="s">
        <v>1915</v>
      </c>
      <c r="AF844" s="1306"/>
      <c r="AG844" s="1306"/>
      <c r="AH844" s="1306"/>
      <c r="AI844" s="1306"/>
      <c r="AJ844" s="1306"/>
      <c r="AK844" s="1285"/>
      <c r="AL844" s="1285"/>
      <c r="AM844" s="1285"/>
    </row>
    <row r="845" spans="1:40" ht="30.75" customHeight="1" outlineLevel="1">
      <c r="A845" s="1323"/>
      <c r="B845" s="1323"/>
      <c r="C845" s="1323"/>
      <c r="D845" s="1323"/>
      <c r="E845" s="1323"/>
      <c r="F845" s="1323"/>
      <c r="G845" s="1323"/>
      <c r="H845" s="1323"/>
      <c r="I845" s="1323"/>
      <c r="J845" s="1323"/>
      <c r="K845" s="1323"/>
      <c r="L845" s="1323"/>
      <c r="M845" s="1323"/>
      <c r="N845" s="1323"/>
      <c r="O845" s="1323"/>
      <c r="P845" s="1323"/>
      <c r="Q845" s="1323"/>
      <c r="R845" s="1323"/>
      <c r="S845" s="1323"/>
      <c r="T845" s="1323"/>
      <c r="U845" s="1323"/>
      <c r="V845" s="1323"/>
      <c r="W845" s="1324"/>
      <c r="X845" s="2334" t="s">
        <v>1918</v>
      </c>
      <c r="Y845" s="1325" t="s">
        <v>1919</v>
      </c>
      <c r="Z845" s="1306">
        <v>5</v>
      </c>
      <c r="AA845" s="1306">
        <v>1</v>
      </c>
      <c r="AB845" s="1306">
        <v>41</v>
      </c>
      <c r="AC845" s="1306">
        <v>1</v>
      </c>
      <c r="AD845" s="1306"/>
      <c r="AE845" s="1306" t="s">
        <v>1915</v>
      </c>
      <c r="AF845" s="1306"/>
      <c r="AG845" s="1306"/>
      <c r="AH845" s="1306"/>
      <c r="AI845" s="1306"/>
      <c r="AJ845" s="1306"/>
      <c r="AK845" s="1285"/>
      <c r="AL845" s="1285"/>
      <c r="AM845" s="1285"/>
    </row>
    <row r="846" spans="1:40" ht="30.75" customHeight="1" outlineLevel="1">
      <c r="A846" s="1323"/>
      <c r="B846" s="1323"/>
      <c r="C846" s="1323"/>
      <c r="D846" s="1323"/>
      <c r="E846" s="1323"/>
      <c r="F846" s="1323"/>
      <c r="G846" s="1323"/>
      <c r="H846" s="1323"/>
      <c r="I846" s="1323"/>
      <c r="J846" s="1323"/>
      <c r="K846" s="1323"/>
      <c r="L846" s="1323"/>
      <c r="M846" s="1323"/>
      <c r="N846" s="1323"/>
      <c r="O846" s="1323"/>
      <c r="P846" s="1323"/>
      <c r="Q846" s="1323"/>
      <c r="R846" s="1323"/>
      <c r="S846" s="1323"/>
      <c r="T846" s="1323"/>
      <c r="U846" s="1323"/>
      <c r="V846" s="1323"/>
      <c r="W846" s="1324"/>
      <c r="X846" s="2335" t="s">
        <v>1920</v>
      </c>
      <c r="Y846" s="1325" t="s">
        <v>1921</v>
      </c>
      <c r="Z846" s="1306">
        <v>5</v>
      </c>
      <c r="AA846" s="1306">
        <v>2</v>
      </c>
      <c r="AB846" s="1306">
        <v>42</v>
      </c>
      <c r="AC846" s="1306">
        <v>1</v>
      </c>
      <c r="AD846" s="1306"/>
      <c r="AE846" s="1306" t="s">
        <v>1915</v>
      </c>
      <c r="AF846" s="1306"/>
      <c r="AG846" s="1306"/>
      <c r="AH846" s="1306"/>
      <c r="AI846" s="1306"/>
      <c r="AJ846" s="1306"/>
      <c r="AK846" s="1285"/>
      <c r="AL846" s="1285"/>
      <c r="AM846" s="1285"/>
    </row>
    <row r="847" spans="1:40" s="115" customFormat="1" ht="14.25" customHeight="1" outlineLevel="1">
      <c r="A847" s="1323"/>
      <c r="B847" s="1323"/>
      <c r="C847" s="1323"/>
      <c r="D847" s="1323"/>
      <c r="E847" s="1323"/>
      <c r="F847" s="1323"/>
      <c r="G847" s="1323"/>
      <c r="H847" s="1323"/>
      <c r="I847" s="1323"/>
      <c r="J847" s="1323"/>
      <c r="K847" s="1323"/>
      <c r="L847" s="1323"/>
      <c r="M847" s="1323"/>
      <c r="N847" s="1323"/>
      <c r="O847" s="1323"/>
      <c r="P847" s="1323"/>
      <c r="Q847" s="1323"/>
      <c r="R847" s="1323"/>
      <c r="S847" s="1323"/>
      <c r="T847" s="1323"/>
      <c r="U847" s="1323"/>
      <c r="V847" s="1323"/>
      <c r="W847" s="1324"/>
      <c r="X847" s="2336" t="s">
        <v>1922</v>
      </c>
      <c r="Y847" s="1325" t="s">
        <v>1923</v>
      </c>
      <c r="Z847" s="1306">
        <v>5</v>
      </c>
      <c r="AA847" s="1306">
        <v>3</v>
      </c>
      <c r="AB847" s="1306">
        <v>43</v>
      </c>
      <c r="AC847" s="1306">
        <v>1</v>
      </c>
      <c r="AD847" s="1306"/>
      <c r="AE847" s="1306" t="s">
        <v>1915</v>
      </c>
      <c r="AF847" s="1306"/>
      <c r="AG847" s="1306"/>
      <c r="AH847" s="1306"/>
      <c r="AI847" s="1306"/>
      <c r="AJ847" s="1306"/>
      <c r="AK847" s="1285"/>
      <c r="AL847" s="1285"/>
      <c r="AM847" s="1285"/>
      <c r="AN847" s="49"/>
    </row>
    <row r="848" spans="1:40" s="115" customFormat="1" ht="14.25" customHeight="1" outlineLevel="1">
      <c r="A848" s="1323"/>
      <c r="B848" s="1323"/>
      <c r="C848" s="1323"/>
      <c r="D848" s="1323"/>
      <c r="E848" s="1323"/>
      <c r="F848" s="1323"/>
      <c r="G848" s="1323"/>
      <c r="H848" s="1323"/>
      <c r="I848" s="1323"/>
      <c r="J848" s="1323"/>
      <c r="K848" s="1323"/>
      <c r="L848" s="1323"/>
      <c r="M848" s="1323"/>
      <c r="N848" s="1323"/>
      <c r="O848" s="1323"/>
      <c r="P848" s="1323"/>
      <c r="Q848" s="1323"/>
      <c r="R848" s="1323"/>
      <c r="S848" s="1323"/>
      <c r="T848" s="1323"/>
      <c r="U848" s="1323"/>
      <c r="V848" s="1323"/>
      <c r="W848" s="1324"/>
      <c r="X848" s="2337" t="s">
        <v>1924</v>
      </c>
      <c r="Y848" s="1325" t="s">
        <v>1925</v>
      </c>
      <c r="Z848" s="1306">
        <v>5</v>
      </c>
      <c r="AA848" s="1306">
        <v>4</v>
      </c>
      <c r="AB848" s="1306">
        <v>44</v>
      </c>
      <c r="AC848" s="1306">
        <v>1</v>
      </c>
      <c r="AD848" s="1306"/>
      <c r="AE848" s="1306" t="s">
        <v>1915</v>
      </c>
      <c r="AF848" s="1306"/>
      <c r="AG848" s="1306"/>
      <c r="AH848" s="1306"/>
      <c r="AI848" s="1306"/>
      <c r="AJ848" s="1306"/>
      <c r="AK848" s="1285"/>
      <c r="AL848" s="1285"/>
      <c r="AM848" s="1285"/>
      <c r="AN848" s="49"/>
    </row>
    <row r="849" spans="1:40" s="115" customFormat="1" ht="14.25" customHeight="1" outlineLevel="1">
      <c r="A849" s="1323"/>
      <c r="B849" s="1323"/>
      <c r="C849" s="1323"/>
      <c r="D849" s="1323"/>
      <c r="E849" s="1323"/>
      <c r="F849" s="1323"/>
      <c r="G849" s="1323"/>
      <c r="H849" s="1323"/>
      <c r="I849" s="1323"/>
      <c r="J849" s="1323"/>
      <c r="K849" s="1323"/>
      <c r="L849" s="1323"/>
      <c r="M849" s="1323"/>
      <c r="N849" s="1323"/>
      <c r="O849" s="1323"/>
      <c r="P849" s="1323"/>
      <c r="Q849" s="1323"/>
      <c r="R849" s="1323"/>
      <c r="S849" s="1323"/>
      <c r="T849" s="1323"/>
      <c r="U849" s="1323"/>
      <c r="V849" s="1323"/>
      <c r="W849" s="1324"/>
      <c r="X849" s="1328" t="s">
        <v>1926</v>
      </c>
      <c r="Y849" s="1325" t="s">
        <v>1927</v>
      </c>
      <c r="Z849" s="1306">
        <v>5</v>
      </c>
      <c r="AA849" s="1306">
        <v>5</v>
      </c>
      <c r="AB849" s="1306">
        <v>45</v>
      </c>
      <c r="AC849" s="1306">
        <v>1</v>
      </c>
      <c r="AD849" s="1306"/>
      <c r="AE849" s="1306" t="s">
        <v>1915</v>
      </c>
      <c r="AF849" s="1306"/>
      <c r="AG849" s="1306"/>
      <c r="AH849" s="1306"/>
      <c r="AI849" s="1306"/>
      <c r="AJ849" s="1306"/>
      <c r="AK849" s="1285"/>
      <c r="AL849" s="1285"/>
      <c r="AM849" s="1285"/>
      <c r="AN849" s="49"/>
    </row>
    <row r="850" spans="1:40" s="115" customFormat="1" ht="14.25" customHeight="1" outlineLevel="1">
      <c r="A850" s="1323"/>
      <c r="B850" s="1323"/>
      <c r="C850" s="1323"/>
      <c r="D850" s="1323"/>
      <c r="E850" s="1323"/>
      <c r="F850" s="1323"/>
      <c r="G850" s="1323"/>
      <c r="H850" s="1323"/>
      <c r="I850" s="1323"/>
      <c r="J850" s="1323"/>
      <c r="K850" s="1323"/>
      <c r="L850" s="1323"/>
      <c r="M850" s="1323"/>
      <c r="N850" s="1323"/>
      <c r="O850" s="1323"/>
      <c r="P850" s="1323"/>
      <c r="Q850" s="1323"/>
      <c r="R850" s="1323"/>
      <c r="S850" s="1323"/>
      <c r="T850" s="1323"/>
      <c r="U850" s="1323"/>
      <c r="V850" s="1323"/>
      <c r="W850" s="1324"/>
      <c r="X850" s="1328" t="s">
        <v>1928</v>
      </c>
      <c r="Y850" s="1325" t="s">
        <v>1929</v>
      </c>
      <c r="Z850" s="1306">
        <v>5</v>
      </c>
      <c r="AA850" s="1306">
        <v>6</v>
      </c>
      <c r="AB850" s="1306">
        <v>46</v>
      </c>
      <c r="AC850" s="1306">
        <v>1</v>
      </c>
      <c r="AD850" s="1306"/>
      <c r="AE850" s="1306" t="s">
        <v>1915</v>
      </c>
      <c r="AF850" s="1306"/>
      <c r="AG850" s="1306"/>
      <c r="AH850" s="1306"/>
      <c r="AI850" s="1306"/>
      <c r="AJ850" s="1306"/>
      <c r="AK850" s="1285"/>
      <c r="AL850" s="1285"/>
      <c r="AM850" s="1285"/>
      <c r="AN850" s="49"/>
    </row>
    <row r="851" spans="1:40" s="115" customFormat="1" ht="14.25" customHeight="1" outlineLevel="1">
      <c r="A851" s="1373"/>
      <c r="B851" s="1373"/>
      <c r="C851" s="1373"/>
      <c r="D851" s="1373"/>
      <c r="E851" s="1373"/>
      <c r="F851" s="1373"/>
      <c r="G851" s="1373"/>
      <c r="H851" s="1373"/>
      <c r="I851" s="1373"/>
      <c r="J851" s="1373"/>
      <c r="K851" s="1373"/>
      <c r="L851" s="1373"/>
      <c r="M851" s="1373"/>
      <c r="N851" s="1373"/>
      <c r="O851" s="652"/>
      <c r="P851" s="1373"/>
      <c r="Q851" s="1373"/>
      <c r="R851" s="1373"/>
      <c r="S851" s="1373"/>
      <c r="T851" s="1373"/>
      <c r="U851" s="1373"/>
      <c r="V851" s="1373"/>
      <c r="W851" s="1373"/>
      <c r="X851" s="1376"/>
      <c r="Y851" s="1376"/>
      <c r="Z851" s="1320"/>
      <c r="AA851" s="547"/>
      <c r="AB851" s="547"/>
      <c r="AC851" s="547"/>
      <c r="AD851" s="418"/>
      <c r="AE851" s="547"/>
      <c r="AF851" s="418"/>
      <c r="AG851" s="418"/>
      <c r="AH851" s="418"/>
      <c r="AI851" s="418"/>
      <c r="AJ851" s="418"/>
      <c r="AK851" s="49"/>
      <c r="AL851" s="108"/>
      <c r="AM851" s="49"/>
      <c r="AN851" s="49"/>
    </row>
    <row r="852" spans="1:40" s="115" customFormat="1" ht="14.25" customHeight="1" outlineLevel="1">
      <c r="A852" s="1373"/>
      <c r="B852" s="1373"/>
      <c r="C852" s="1373"/>
      <c r="D852" s="1373"/>
      <c r="E852" s="1373"/>
      <c r="F852" s="1373"/>
      <c r="G852" s="1373"/>
      <c r="H852" s="1373"/>
      <c r="I852" s="1373"/>
      <c r="J852" s="1373"/>
      <c r="K852" s="1373"/>
      <c r="L852" s="1373"/>
      <c r="M852" s="1373"/>
      <c r="N852" s="1373"/>
      <c r="O852" s="652"/>
      <c r="P852" s="1373"/>
      <c r="Q852" s="1373"/>
      <c r="R852" s="1373"/>
      <c r="S852" s="1373"/>
      <c r="T852" s="1373"/>
      <c r="U852" s="1373"/>
      <c r="V852" s="1373"/>
      <c r="W852" s="1373"/>
      <c r="X852" s="1376"/>
      <c r="Y852" s="1376"/>
      <c r="Z852" s="1320"/>
      <c r="AA852" s="547"/>
      <c r="AB852" s="547"/>
      <c r="AC852" s="547"/>
      <c r="AD852" s="418"/>
      <c r="AE852" s="547"/>
      <c r="AF852" s="418"/>
      <c r="AG852" s="418"/>
      <c r="AH852" s="418"/>
      <c r="AI852" s="418"/>
      <c r="AJ852" s="418"/>
      <c r="AK852" s="49"/>
      <c r="AL852" s="108"/>
      <c r="AM852" s="49"/>
      <c r="AN852" s="49"/>
    </row>
    <row r="853" spans="1:40" s="115" customFormat="1" ht="14.25" customHeight="1">
      <c r="A853" s="501"/>
      <c r="B853" s="1260"/>
      <c r="C853" s="1260"/>
      <c r="D853" s="1260"/>
      <c r="E853" s="1260"/>
      <c r="F853" s="1260"/>
      <c r="G853" s="1315"/>
      <c r="H853" s="1260"/>
      <c r="I853" s="1260"/>
      <c r="J853" s="1260"/>
      <c r="K853" s="1260"/>
      <c r="L853" s="1260"/>
      <c r="M853" s="1260"/>
      <c r="N853" s="1260"/>
      <c r="O853" s="1260"/>
      <c r="P853" s="1260"/>
      <c r="Q853" s="1260"/>
      <c r="R853" s="1260"/>
      <c r="S853" s="1260"/>
      <c r="T853" s="1260"/>
      <c r="U853" s="1260"/>
      <c r="V853" s="502"/>
      <c r="W853" s="502"/>
      <c r="X853" s="502"/>
      <c r="Y853" s="502"/>
      <c r="Z853" s="622"/>
      <c r="AA853" s="622"/>
      <c r="AB853" s="621"/>
      <c r="AC853" s="622"/>
      <c r="AD853" s="622"/>
      <c r="AE853" s="608"/>
      <c r="AF853" s="622"/>
      <c r="AG853" s="622"/>
      <c r="AH853" s="622"/>
      <c r="AI853" s="622"/>
      <c r="AJ853" s="622"/>
      <c r="AK853" s="725"/>
      <c r="AL853" s="726"/>
      <c r="AM853" s="727"/>
      <c r="AN853" s="727"/>
    </row>
    <row r="854" spans="1:40" s="116" customFormat="1" ht="18" customHeight="1" outlineLevel="1">
      <c r="A854" s="724">
        <v>119</v>
      </c>
      <c r="B854" s="622" t="s">
        <v>1930</v>
      </c>
      <c r="C854" s="622" t="s">
        <v>1931</v>
      </c>
      <c r="D854" s="622" t="s">
        <v>1932</v>
      </c>
      <c r="E854" s="622">
        <v>8</v>
      </c>
      <c r="F854" s="622" t="s">
        <v>260</v>
      </c>
      <c r="G854" s="623"/>
      <c r="H854" s="622" t="s">
        <v>325</v>
      </c>
      <c r="I854" s="622"/>
      <c r="J854" s="622"/>
      <c r="K854" s="622"/>
      <c r="L854" s="622"/>
      <c r="M854" s="622"/>
      <c r="N854" s="622"/>
      <c r="O854" s="622"/>
      <c r="P854" s="622" t="s">
        <v>261</v>
      </c>
      <c r="Q854" s="622"/>
      <c r="R854" s="622"/>
      <c r="S854" s="622"/>
      <c r="T854" s="622"/>
      <c r="U854" s="622"/>
      <c r="V854" s="597"/>
      <c r="W854" s="597"/>
      <c r="X854" s="597" t="s">
        <v>1933</v>
      </c>
      <c r="Y854" s="597"/>
      <c r="Z854" s="622"/>
      <c r="AA854" s="622"/>
      <c r="AB854" s="621"/>
      <c r="AC854" s="622"/>
      <c r="AD854" s="622"/>
      <c r="AE854" s="608"/>
      <c r="AF854" s="622"/>
      <c r="AG854" s="622"/>
      <c r="AH854" s="622"/>
      <c r="AI854" s="622"/>
      <c r="AJ854" s="622"/>
      <c r="AK854" s="725"/>
      <c r="AL854" s="726"/>
      <c r="AM854" s="727"/>
      <c r="AN854" s="727"/>
    </row>
    <row r="855" spans="1:40" s="116" customFormat="1" ht="45.75" customHeight="1" outlineLevel="1">
      <c r="A855" s="197"/>
      <c r="B855" s="197"/>
      <c r="C855" s="197"/>
      <c r="D855" s="197"/>
      <c r="E855" s="197"/>
      <c r="F855" s="197"/>
      <c r="G855" s="365"/>
      <c r="H855" s="175" t="s">
        <v>325</v>
      </c>
      <c r="I855" s="197"/>
      <c r="J855" s="197"/>
      <c r="K855" s="197"/>
      <c r="L855" s="197"/>
      <c r="M855" s="197"/>
      <c r="N855" s="197"/>
      <c r="O855" s="197"/>
      <c r="P855" s="197" t="s">
        <v>261</v>
      </c>
      <c r="Q855" s="197"/>
      <c r="R855" s="197"/>
      <c r="S855" s="197"/>
      <c r="T855" s="197"/>
      <c r="U855" s="197"/>
      <c r="V855" s="198"/>
      <c r="W855" s="198"/>
      <c r="X855" s="2338" t="s">
        <v>1934</v>
      </c>
      <c r="Y855" s="166" t="s">
        <v>1935</v>
      </c>
      <c r="Z855" s="199">
        <v>0</v>
      </c>
      <c r="AA855" s="199">
        <v>0</v>
      </c>
      <c r="AB855" s="199">
        <v>0</v>
      </c>
      <c r="AC855" s="199">
        <v>8</v>
      </c>
      <c r="AD855" s="199" t="s">
        <v>286</v>
      </c>
      <c r="AE855" s="2339" t="s">
        <v>1936</v>
      </c>
      <c r="AF855" s="600">
        <v>1</v>
      </c>
      <c r="AG855" s="600">
        <v>0</v>
      </c>
      <c r="AH855" s="600"/>
      <c r="AI855" s="600">
        <v>0</v>
      </c>
      <c r="AJ855" s="600"/>
      <c r="AK855" s="197"/>
    </row>
    <row r="856" spans="1:40" s="116" customFormat="1" ht="30.75" customHeight="1" outlineLevel="1">
      <c r="A856" s="197"/>
      <c r="B856" s="197"/>
      <c r="C856" s="197"/>
      <c r="D856" s="197"/>
      <c r="E856" s="197"/>
      <c r="F856" s="197"/>
      <c r="G856" s="365"/>
      <c r="H856" s="175" t="s">
        <v>325</v>
      </c>
      <c r="I856" s="197"/>
      <c r="J856" s="197"/>
      <c r="K856" s="197"/>
      <c r="L856" s="197"/>
      <c r="M856" s="197"/>
      <c r="N856" s="197"/>
      <c r="O856" s="197"/>
      <c r="P856" s="197" t="s">
        <v>261</v>
      </c>
      <c r="Q856" s="197"/>
      <c r="R856" s="197"/>
      <c r="S856" s="197"/>
      <c r="T856" s="197"/>
      <c r="U856" s="197"/>
      <c r="V856" s="198"/>
      <c r="W856" s="198"/>
      <c r="X856" s="2340" t="s">
        <v>1937</v>
      </c>
      <c r="Y856" s="686" t="s">
        <v>1938</v>
      </c>
      <c r="Z856" s="671">
        <v>1</v>
      </c>
      <c r="AA856" s="671">
        <v>0</v>
      </c>
      <c r="AB856" s="671">
        <v>8</v>
      </c>
      <c r="AC856" s="671">
        <v>8</v>
      </c>
      <c r="AD856" s="671" t="s">
        <v>286</v>
      </c>
      <c r="AE856" s="2341" t="s">
        <v>1939</v>
      </c>
      <c r="AF856" s="600">
        <v>1</v>
      </c>
      <c r="AG856" s="600">
        <v>0</v>
      </c>
      <c r="AH856" s="600"/>
      <c r="AI856" s="600">
        <v>0</v>
      </c>
      <c r="AJ856" s="600" t="s">
        <v>409</v>
      </c>
      <c r="AK856" s="197"/>
    </row>
    <row r="857" spans="1:40" ht="45.75" customHeight="1" outlineLevel="1">
      <c r="A857" s="197"/>
      <c r="B857" s="197"/>
      <c r="C857" s="197"/>
      <c r="D857" s="197"/>
      <c r="E857" s="197"/>
      <c r="F857" s="197"/>
      <c r="G857" s="365"/>
      <c r="H857" s="175" t="s">
        <v>325</v>
      </c>
      <c r="I857" s="197"/>
      <c r="J857" s="197"/>
      <c r="K857" s="197"/>
      <c r="L857" s="197"/>
      <c r="M857" s="197"/>
      <c r="N857" s="197"/>
      <c r="O857" s="197"/>
      <c r="P857" s="197" t="s">
        <v>261</v>
      </c>
      <c r="Q857" s="197"/>
      <c r="R857" s="197"/>
      <c r="S857" s="197"/>
      <c r="T857" s="197"/>
      <c r="U857" s="197"/>
      <c r="V857" s="198"/>
      <c r="W857" s="198"/>
      <c r="X857" s="2342" t="s">
        <v>1940</v>
      </c>
      <c r="Y857" s="686" t="s">
        <v>1941</v>
      </c>
      <c r="Z857" s="671">
        <v>2</v>
      </c>
      <c r="AA857" s="671">
        <v>0</v>
      </c>
      <c r="AB857" s="671">
        <v>16</v>
      </c>
      <c r="AC857" s="671">
        <v>8</v>
      </c>
      <c r="AD857" s="671" t="s">
        <v>286</v>
      </c>
      <c r="AE857" s="671" t="s">
        <v>1942</v>
      </c>
      <c r="AF857" s="600">
        <v>1</v>
      </c>
      <c r="AG857" s="600">
        <v>0</v>
      </c>
      <c r="AH857" s="600"/>
      <c r="AI857" s="600">
        <v>0</v>
      </c>
      <c r="AJ857" s="600"/>
      <c r="AK857" s="728"/>
      <c r="AL857" s="729"/>
      <c r="AM857" s="729"/>
      <c r="AN857" s="729"/>
    </row>
    <row r="858" spans="1:40" ht="75.75" customHeight="1" outlineLevel="1">
      <c r="H858" s="49" t="s">
        <v>325</v>
      </c>
      <c r="P858" s="94" t="s">
        <v>261</v>
      </c>
      <c r="X858" s="2343" t="s">
        <v>1943</v>
      </c>
      <c r="Y858" s="1516" t="s">
        <v>1944</v>
      </c>
      <c r="Z858" s="671">
        <v>3</v>
      </c>
      <c r="AA858" s="671">
        <v>0</v>
      </c>
      <c r="AB858" s="671">
        <v>24</v>
      </c>
      <c r="AC858" s="671">
        <v>8</v>
      </c>
      <c r="AD858" s="671" t="s">
        <v>286</v>
      </c>
      <c r="AE858" s="671" t="s">
        <v>1942</v>
      </c>
      <c r="AF858" s="600">
        <v>1</v>
      </c>
      <c r="AG858" s="671">
        <v>0</v>
      </c>
      <c r="AH858" s="671"/>
      <c r="AI858" s="671">
        <v>0</v>
      </c>
      <c r="AJ858" s="671"/>
    </row>
    <row r="859" spans="1:40" ht="75.75" customHeight="1" outlineLevel="1">
      <c r="H859" s="49" t="s">
        <v>325</v>
      </c>
      <c r="P859" s="94" t="s">
        <v>261</v>
      </c>
      <c r="X859" s="2344" t="s">
        <v>1945</v>
      </c>
      <c r="Y859" s="1516" t="s">
        <v>1946</v>
      </c>
      <c r="Z859" s="557">
        <v>4</v>
      </c>
      <c r="AA859" s="557">
        <v>0</v>
      </c>
      <c r="AB859" s="557">
        <v>32</v>
      </c>
      <c r="AC859" s="557">
        <v>8</v>
      </c>
      <c r="AD859" s="671" t="s">
        <v>286</v>
      </c>
      <c r="AE859" s="557" t="s">
        <v>1942</v>
      </c>
      <c r="AF859" s="600">
        <v>1</v>
      </c>
      <c r="AG859" s="557">
        <v>0</v>
      </c>
      <c r="AH859" s="557"/>
      <c r="AI859" s="557">
        <v>0</v>
      </c>
      <c r="AJ859" s="557"/>
    </row>
    <row r="860" spans="1:40" s="115" customFormat="1" ht="29.25" customHeight="1">
      <c r="A860" s="49"/>
      <c r="B860" s="49"/>
      <c r="C860" s="49"/>
      <c r="D860" s="49"/>
      <c r="E860" s="49"/>
      <c r="F860" s="49"/>
      <c r="G860" s="49"/>
      <c r="H860" s="49" t="s">
        <v>325</v>
      </c>
      <c r="I860" s="49"/>
      <c r="J860" s="49"/>
      <c r="K860" s="49"/>
      <c r="L860" s="49"/>
      <c r="M860" s="49"/>
      <c r="N860" s="49"/>
      <c r="O860" s="49"/>
      <c r="P860" s="94" t="s">
        <v>261</v>
      </c>
      <c r="Q860" s="49"/>
      <c r="R860" s="49"/>
      <c r="S860" s="49"/>
      <c r="T860" s="49"/>
      <c r="U860" s="49"/>
      <c r="V860" s="56"/>
      <c r="W860" s="56"/>
      <c r="X860" s="2345" t="s">
        <v>1947</v>
      </c>
      <c r="Y860" s="1516" t="s">
        <v>1948</v>
      </c>
      <c r="Z860" s="671">
        <v>5</v>
      </c>
      <c r="AA860" s="671">
        <v>0</v>
      </c>
      <c r="AB860" s="671">
        <v>40</v>
      </c>
      <c r="AC860" s="671">
        <v>8</v>
      </c>
      <c r="AD860" s="671" t="s">
        <v>286</v>
      </c>
      <c r="AE860" s="671" t="s">
        <v>1942</v>
      </c>
      <c r="AF860" s="600">
        <v>1</v>
      </c>
      <c r="AG860" s="671">
        <v>0</v>
      </c>
      <c r="AH860" s="671"/>
      <c r="AI860" s="671">
        <v>0</v>
      </c>
      <c r="AJ860" s="671"/>
      <c r="AK860" s="49"/>
      <c r="AL860" s="108"/>
      <c r="AM860" s="49"/>
      <c r="AN860" s="49"/>
    </row>
    <row r="861" spans="1:40" s="115" customFormat="1" ht="29.25" customHeight="1">
      <c r="A861" s="49"/>
      <c r="B861" s="49"/>
      <c r="C861" s="49"/>
      <c r="D861" s="49"/>
      <c r="E861" s="49"/>
      <c r="F861" s="49"/>
      <c r="G861" s="49"/>
      <c r="H861" s="49"/>
      <c r="I861" s="49"/>
      <c r="J861" s="49"/>
      <c r="K861" s="49"/>
      <c r="L861" s="49"/>
      <c r="M861" s="49"/>
      <c r="N861" s="49"/>
      <c r="O861" s="49"/>
      <c r="P861" s="94"/>
      <c r="Q861" s="49"/>
      <c r="R861" s="49"/>
      <c r="S861" s="49"/>
      <c r="T861" s="49"/>
      <c r="U861" s="49"/>
      <c r="V861" s="56"/>
      <c r="W861" s="56"/>
      <c r="X861" s="2346" t="s">
        <v>1949</v>
      </c>
      <c r="Y861" s="1516" t="s">
        <v>1950</v>
      </c>
      <c r="Z861" s="671">
        <v>6</v>
      </c>
      <c r="AA861" s="671">
        <v>0</v>
      </c>
      <c r="AB861" s="671">
        <v>48</v>
      </c>
      <c r="AC861" s="671">
        <v>8</v>
      </c>
      <c r="AD861" s="671" t="s">
        <v>286</v>
      </c>
      <c r="AE861" s="671" t="s">
        <v>1942</v>
      </c>
      <c r="AF861" s="600">
        <v>1</v>
      </c>
      <c r="AG861" s="671">
        <v>0</v>
      </c>
      <c r="AH861" s="671"/>
      <c r="AI861" s="671">
        <v>0</v>
      </c>
      <c r="AJ861" s="671"/>
      <c r="AK861" s="49"/>
      <c r="AL861" s="108"/>
      <c r="AM861" s="49"/>
      <c r="AN861" s="49"/>
    </row>
    <row r="862" spans="1:40" s="115" customFormat="1" ht="29.25" customHeight="1">
      <c r="A862" s="49"/>
      <c r="B862" s="49"/>
      <c r="C862" s="49"/>
      <c r="D862" s="49"/>
      <c r="E862" s="49"/>
      <c r="F862" s="49"/>
      <c r="G862" s="49"/>
      <c r="H862" s="49"/>
      <c r="I862" s="49"/>
      <c r="J862" s="49"/>
      <c r="K862" s="49"/>
      <c r="L862" s="49"/>
      <c r="M862" s="49"/>
      <c r="N862" s="49"/>
      <c r="O862" s="49"/>
      <c r="P862" s="94"/>
      <c r="Q862" s="49"/>
      <c r="R862" s="49"/>
      <c r="S862" s="49"/>
      <c r="T862" s="49"/>
      <c r="U862" s="49"/>
      <c r="V862" s="56"/>
      <c r="W862" s="56"/>
      <c r="X862" s="2347" t="s">
        <v>1951</v>
      </c>
      <c r="Y862" s="1516" t="s">
        <v>1952</v>
      </c>
      <c r="Z862" s="671">
        <v>7</v>
      </c>
      <c r="AA862" s="671">
        <v>0</v>
      </c>
      <c r="AB862" s="671">
        <v>56</v>
      </c>
      <c r="AC862" s="671">
        <v>8</v>
      </c>
      <c r="AD862" s="671" t="s">
        <v>286</v>
      </c>
      <c r="AE862" s="671" t="s">
        <v>1942</v>
      </c>
      <c r="AF862" s="600">
        <v>1</v>
      </c>
      <c r="AG862" s="671">
        <v>0</v>
      </c>
      <c r="AH862" s="671"/>
      <c r="AI862" s="671">
        <v>0</v>
      </c>
      <c r="AJ862" s="671"/>
      <c r="AK862" s="49"/>
      <c r="AL862" s="108"/>
      <c r="AM862" s="49"/>
      <c r="AN862" s="49"/>
    </row>
    <row r="863" spans="1:40" s="115" customFormat="1" ht="14.25" customHeight="1">
      <c r="A863" s="49"/>
      <c r="B863" s="49"/>
      <c r="C863" s="49"/>
      <c r="D863" s="49"/>
      <c r="E863" s="49"/>
      <c r="F863" s="49"/>
      <c r="G863" s="49"/>
      <c r="H863" s="49"/>
      <c r="I863" s="49"/>
      <c r="J863" s="49"/>
      <c r="K863" s="49"/>
      <c r="L863" s="49"/>
      <c r="M863" s="49"/>
      <c r="N863" s="49"/>
      <c r="O863" s="49"/>
      <c r="P863" s="94"/>
      <c r="Q863" s="49"/>
      <c r="R863" s="49"/>
      <c r="S863" s="49"/>
      <c r="T863" s="49"/>
      <c r="U863" s="49"/>
      <c r="V863" s="56"/>
      <c r="W863" s="56"/>
      <c r="X863" s="1513"/>
      <c r="Y863" s="686"/>
      <c r="Z863" s="671"/>
      <c r="AA863" s="671"/>
      <c r="AB863" s="671"/>
      <c r="AC863" s="671"/>
      <c r="AD863" s="671"/>
      <c r="AE863" s="671"/>
      <c r="AF863" s="600"/>
      <c r="AG863" s="671"/>
      <c r="AH863" s="671"/>
      <c r="AI863" s="671"/>
      <c r="AJ863" s="671"/>
      <c r="AK863" s="49"/>
      <c r="AL863" s="108"/>
      <c r="AM863" s="49"/>
      <c r="AN863" s="49"/>
    </row>
    <row r="864" spans="1:40" s="116" customFormat="1" ht="18" customHeight="1" outlineLevel="1">
      <c r="A864" s="724">
        <v>120</v>
      </c>
      <c r="B864" s="622" t="s">
        <v>1930</v>
      </c>
      <c r="C864" s="622" t="s">
        <v>1953</v>
      </c>
      <c r="D864" s="622" t="s">
        <v>259</v>
      </c>
      <c r="E864" s="622">
        <v>8</v>
      </c>
      <c r="F864" s="622" t="s">
        <v>260</v>
      </c>
      <c r="G864" s="623"/>
      <c r="H864" s="622" t="s">
        <v>325</v>
      </c>
      <c r="I864" s="622"/>
      <c r="J864" s="622"/>
      <c r="K864" s="622"/>
      <c r="L864" s="622"/>
      <c r="M864" s="622"/>
      <c r="N864" s="622"/>
      <c r="O864" s="622"/>
      <c r="P864" s="622" t="s">
        <v>261</v>
      </c>
      <c r="Q864" s="622"/>
      <c r="R864" s="622"/>
      <c r="S864" s="622"/>
      <c r="T864" s="622"/>
      <c r="U864" s="622"/>
      <c r="V864" s="597"/>
      <c r="W864" s="597"/>
      <c r="X864" s="597" t="s">
        <v>1954</v>
      </c>
      <c r="Y864" s="597"/>
      <c r="Z864" s="622"/>
      <c r="AA864" s="622"/>
      <c r="AB864" s="621"/>
      <c r="AC864" s="622"/>
      <c r="AD864" s="622"/>
      <c r="AE864" s="608"/>
      <c r="AF864" s="622"/>
      <c r="AG864" s="622"/>
      <c r="AH864" s="622"/>
      <c r="AI864" s="622"/>
      <c r="AJ864" s="622"/>
      <c r="AK864" s="725"/>
      <c r="AL864" s="726"/>
      <c r="AM864" s="727"/>
      <c r="AN864" s="727"/>
    </row>
    <row r="865" spans="1:40" s="116" customFormat="1" ht="30.75" customHeight="1" outlineLevel="1">
      <c r="A865" s="197"/>
      <c r="B865" s="197"/>
      <c r="C865" s="197"/>
      <c r="D865" s="197"/>
      <c r="E865" s="197"/>
      <c r="F865" s="197"/>
      <c r="G865" s="1388"/>
      <c r="H865" s="175" t="s">
        <v>325</v>
      </c>
      <c r="I865" s="197"/>
      <c r="J865" s="197"/>
      <c r="K865" s="197"/>
      <c r="L865" s="197"/>
      <c r="M865" s="197"/>
      <c r="N865" s="197"/>
      <c r="O865" s="197"/>
      <c r="P865" s="197" t="s">
        <v>261</v>
      </c>
      <c r="Q865" s="197"/>
      <c r="R865" s="197"/>
      <c r="S865" s="197"/>
      <c r="T865" s="197"/>
      <c r="U865" s="197"/>
      <c r="V865" s="198"/>
      <c r="W865" s="198"/>
      <c r="X865" s="2348" t="s">
        <v>1955</v>
      </c>
      <c r="Y865" s="1518" t="s">
        <v>1956</v>
      </c>
      <c r="Z865" s="1519">
        <v>0</v>
      </c>
      <c r="AA865" s="1519">
        <v>0</v>
      </c>
      <c r="AB865" s="1519">
        <v>0</v>
      </c>
      <c r="AC865" s="1519">
        <v>8</v>
      </c>
      <c r="AD865" s="1519" t="s">
        <v>286</v>
      </c>
      <c r="AE865" s="1519"/>
      <c r="AF865" s="1528">
        <v>1</v>
      </c>
      <c r="AG865" s="1528">
        <v>0</v>
      </c>
      <c r="AH865" s="1528"/>
      <c r="AI865" s="1528">
        <v>0</v>
      </c>
      <c r="AJ865" s="1528"/>
      <c r="AK865" s="197"/>
    </row>
    <row r="866" spans="1:40" s="116" customFormat="1" ht="30.75" customHeight="1" outlineLevel="1">
      <c r="A866" s="197"/>
      <c r="B866" s="197"/>
      <c r="C866" s="197"/>
      <c r="D866" s="197"/>
      <c r="E866" s="197"/>
      <c r="F866" s="197"/>
      <c r="G866" s="1388"/>
      <c r="H866" s="175" t="s">
        <v>325</v>
      </c>
      <c r="I866" s="197"/>
      <c r="J866" s="197"/>
      <c r="K866" s="197"/>
      <c r="L866" s="197"/>
      <c r="M866" s="197"/>
      <c r="N866" s="197"/>
      <c r="O866" s="197"/>
      <c r="P866" s="197" t="s">
        <v>261</v>
      </c>
      <c r="Q866" s="197"/>
      <c r="R866" s="197"/>
      <c r="S866" s="197"/>
      <c r="T866" s="197"/>
      <c r="U866" s="197"/>
      <c r="V866" s="198"/>
      <c r="W866" s="198"/>
      <c r="X866" s="2349" t="s">
        <v>1957</v>
      </c>
      <c r="Y866" s="1516" t="s">
        <v>1958</v>
      </c>
      <c r="Z866" s="1517">
        <v>1</v>
      </c>
      <c r="AA866" s="1517">
        <v>0</v>
      </c>
      <c r="AB866" s="1517">
        <v>8</v>
      </c>
      <c r="AC866" s="1517">
        <v>8</v>
      </c>
      <c r="AD866" s="1517" t="s">
        <v>286</v>
      </c>
      <c r="AE866" s="1517"/>
      <c r="AF866" s="1528">
        <v>1</v>
      </c>
      <c r="AG866" s="1528">
        <v>0</v>
      </c>
      <c r="AH866" s="1528" t="s">
        <v>451</v>
      </c>
      <c r="AI866" s="1528">
        <v>0</v>
      </c>
      <c r="AJ866" s="1528"/>
      <c r="AK866" s="197"/>
    </row>
    <row r="867" spans="1:40" s="729" customFormat="1" ht="157.5" customHeight="1" outlineLevel="1">
      <c r="A867" s="197"/>
      <c r="B867" s="197"/>
      <c r="C867" s="197"/>
      <c r="D867" s="197"/>
      <c r="E867" s="197"/>
      <c r="F867" s="197"/>
      <c r="G867" s="1388"/>
      <c r="H867" s="175" t="s">
        <v>325</v>
      </c>
      <c r="I867" s="197"/>
      <c r="J867" s="197"/>
      <c r="K867" s="197"/>
      <c r="L867" s="197"/>
      <c r="M867" s="197"/>
      <c r="N867" s="197"/>
      <c r="O867" s="197"/>
      <c r="P867" s="197" t="s">
        <v>261</v>
      </c>
      <c r="Q867" s="197"/>
      <c r="R867" s="197"/>
      <c r="S867" s="197"/>
      <c r="T867" s="197"/>
      <c r="U867" s="197"/>
      <c r="V867" s="198"/>
      <c r="W867" s="198"/>
      <c r="X867" s="2350" t="s">
        <v>1959</v>
      </c>
      <c r="Y867" s="1514" t="s">
        <v>1960</v>
      </c>
      <c r="Z867" s="1515">
        <v>2</v>
      </c>
      <c r="AA867" s="1515">
        <v>0</v>
      </c>
      <c r="AB867" s="1515">
        <v>16</v>
      </c>
      <c r="AC867" s="1515">
        <v>8</v>
      </c>
      <c r="AD867" s="1515" t="s">
        <v>286</v>
      </c>
      <c r="AE867" s="2351" t="s">
        <v>1961</v>
      </c>
      <c r="AF867" s="1528">
        <v>1</v>
      </c>
      <c r="AG867" s="1528">
        <v>0</v>
      </c>
      <c r="AH867" s="1528"/>
      <c r="AI867" s="1528">
        <v>0</v>
      </c>
      <c r="AJ867" s="1528"/>
      <c r="AK867" s="197"/>
      <c r="AL867" s="116"/>
      <c r="AM867" s="116"/>
      <c r="AN867" s="116"/>
    </row>
    <row r="868" spans="1:40" s="727" customFormat="1" ht="43.5" customHeight="1">
      <c r="A868" s="197"/>
      <c r="B868" s="197"/>
      <c r="C868" s="197"/>
      <c r="D868" s="197"/>
      <c r="E868" s="197"/>
      <c r="F868" s="197"/>
      <c r="G868" s="1388"/>
      <c r="H868" s="175" t="s">
        <v>325</v>
      </c>
      <c r="I868" s="197"/>
      <c r="J868" s="197"/>
      <c r="K868" s="197"/>
      <c r="L868" s="197"/>
      <c r="M868" s="197"/>
      <c r="N868" s="197"/>
      <c r="O868" s="197"/>
      <c r="P868" s="197" t="s">
        <v>261</v>
      </c>
      <c r="Q868" s="197"/>
      <c r="R868" s="197"/>
      <c r="S868" s="197"/>
      <c r="T868" s="197"/>
      <c r="U868" s="197"/>
      <c r="V868" s="198"/>
      <c r="W868" s="198"/>
      <c r="X868" s="2352" t="s">
        <v>1962</v>
      </c>
      <c r="Y868" s="1516" t="s">
        <v>1963</v>
      </c>
      <c r="Z868" s="1517">
        <v>3</v>
      </c>
      <c r="AA868" s="1517">
        <v>0</v>
      </c>
      <c r="AB868" s="1517">
        <v>24</v>
      </c>
      <c r="AC868" s="1517">
        <v>8</v>
      </c>
      <c r="AD868" s="1517" t="s">
        <v>286</v>
      </c>
      <c r="AE868" s="2353" t="s">
        <v>1964</v>
      </c>
      <c r="AF868" s="1528">
        <v>1</v>
      </c>
      <c r="AG868" s="1528">
        <v>0</v>
      </c>
      <c r="AH868" s="1528"/>
      <c r="AI868" s="1528">
        <v>0</v>
      </c>
      <c r="AJ868" s="1528"/>
      <c r="AK868" s="728"/>
      <c r="AL868" s="729"/>
      <c r="AM868" s="729"/>
      <c r="AN868" s="729"/>
    </row>
    <row r="869" spans="1:40" s="727" customFormat="1" ht="29.25" customHeight="1">
      <c r="A869" s="197"/>
      <c r="B869" s="197"/>
      <c r="C869" s="197"/>
      <c r="D869" s="197"/>
      <c r="E869" s="197"/>
      <c r="F869" s="197"/>
      <c r="G869" s="1388"/>
      <c r="H869" s="175"/>
      <c r="I869" s="197"/>
      <c r="J869" s="197"/>
      <c r="K869" s="197"/>
      <c r="L869" s="197"/>
      <c r="M869" s="197"/>
      <c r="N869" s="197"/>
      <c r="O869" s="197"/>
      <c r="P869" s="197"/>
      <c r="Q869" s="197"/>
      <c r="R869" s="197"/>
      <c r="S869" s="197"/>
      <c r="T869" s="197"/>
      <c r="U869" s="197"/>
      <c r="V869" s="198"/>
      <c r="W869" s="198"/>
      <c r="X869" s="2354" t="s">
        <v>1965</v>
      </c>
      <c r="Y869" s="1516" t="s">
        <v>1966</v>
      </c>
      <c r="Z869" s="1517">
        <v>4</v>
      </c>
      <c r="AA869" s="1517">
        <v>0</v>
      </c>
      <c r="AB869" s="1517">
        <v>32</v>
      </c>
      <c r="AC869" s="1517">
        <v>8</v>
      </c>
      <c r="AD869" s="1517" t="s">
        <v>286</v>
      </c>
      <c r="AE869" s="1517"/>
      <c r="AF869" s="1528">
        <v>1</v>
      </c>
      <c r="AG869" s="1528">
        <v>0</v>
      </c>
      <c r="AH869" s="1528"/>
      <c r="AI869" s="1528">
        <v>0</v>
      </c>
      <c r="AJ869" s="1528"/>
      <c r="AK869" s="728"/>
      <c r="AL869" s="729"/>
      <c r="AM869" s="729"/>
      <c r="AN869" s="729"/>
    </row>
    <row r="870" spans="1:40" s="727" customFormat="1" ht="29.25" customHeight="1">
      <c r="A870" s="197"/>
      <c r="B870" s="197"/>
      <c r="C870" s="197"/>
      <c r="D870" s="197"/>
      <c r="E870" s="197"/>
      <c r="F870" s="197"/>
      <c r="G870" s="1388"/>
      <c r="H870" s="175"/>
      <c r="I870" s="197"/>
      <c r="J870" s="197"/>
      <c r="K870" s="197"/>
      <c r="L870" s="197"/>
      <c r="M870" s="197"/>
      <c r="N870" s="197"/>
      <c r="O870" s="197"/>
      <c r="P870" s="197"/>
      <c r="Q870" s="197"/>
      <c r="R870" s="197"/>
      <c r="S870" s="197"/>
      <c r="T870" s="197"/>
      <c r="U870" s="197"/>
      <c r="V870" s="198"/>
      <c r="W870" s="198"/>
      <c r="X870" s="2355" t="s">
        <v>1967</v>
      </c>
      <c r="Y870" s="1516" t="s">
        <v>1968</v>
      </c>
      <c r="Z870" s="1517">
        <v>5</v>
      </c>
      <c r="AA870" s="1517">
        <v>0</v>
      </c>
      <c r="AB870" s="1517">
        <v>40</v>
      </c>
      <c r="AC870" s="1517">
        <v>8</v>
      </c>
      <c r="AD870" s="1517" t="s">
        <v>286</v>
      </c>
      <c r="AE870" s="1517"/>
      <c r="AF870" s="1528">
        <v>1</v>
      </c>
      <c r="AG870" s="1528">
        <v>0</v>
      </c>
      <c r="AH870" s="1528"/>
      <c r="AI870" s="1528">
        <v>0</v>
      </c>
      <c r="AJ870" s="1528"/>
      <c r="AK870" s="728"/>
      <c r="AL870" s="729"/>
      <c r="AM870" s="729"/>
      <c r="AN870" s="729"/>
    </row>
    <row r="871" spans="1:40" s="115" customFormat="1" ht="14.25" customHeight="1">
      <c r="A871" s="197"/>
      <c r="B871" s="197"/>
      <c r="C871" s="197"/>
      <c r="D871" s="197"/>
      <c r="E871" s="197"/>
      <c r="F871" s="197"/>
      <c r="G871" s="365"/>
      <c r="H871" s="175"/>
      <c r="I871" s="197"/>
      <c r="J871" s="197"/>
      <c r="K871" s="197"/>
      <c r="L871" s="197"/>
      <c r="M871" s="197"/>
      <c r="N871" s="197"/>
      <c r="O871" s="197"/>
      <c r="P871" s="197"/>
      <c r="Q871" s="197"/>
      <c r="R871" s="197"/>
      <c r="S871" s="197"/>
      <c r="T871" s="197"/>
      <c r="U871" s="197"/>
      <c r="V871" s="198"/>
      <c r="W871" s="198"/>
      <c r="X871" s="1516"/>
      <c r="Y871" s="686"/>
      <c r="Z871" s="671"/>
      <c r="AA871" s="671"/>
      <c r="AB871" s="671"/>
      <c r="AC871" s="671"/>
      <c r="AD871" s="671"/>
      <c r="AE871" s="1517"/>
      <c r="AF871" s="600"/>
      <c r="AG871" s="600"/>
      <c r="AH871" s="600"/>
      <c r="AI871" s="600"/>
      <c r="AJ871" s="600"/>
      <c r="AK871" s="728"/>
      <c r="AL871" s="729"/>
      <c r="AM871" s="729"/>
      <c r="AN871" s="729"/>
    </row>
    <row r="872" spans="1:40" s="115" customFormat="1" ht="14.25" customHeight="1">
      <c r="A872" s="197"/>
      <c r="B872" s="197"/>
      <c r="C872" s="197"/>
      <c r="D872" s="197"/>
      <c r="E872" s="197"/>
      <c r="F872" s="197"/>
      <c r="G872" s="365"/>
      <c r="H872" s="175"/>
      <c r="I872" s="197"/>
      <c r="J872" s="197"/>
      <c r="K872" s="197"/>
      <c r="L872" s="197"/>
      <c r="M872" s="197"/>
      <c r="N872" s="197"/>
      <c r="O872" s="197"/>
      <c r="P872" s="197"/>
      <c r="Q872" s="197"/>
      <c r="R872" s="197"/>
      <c r="S872" s="197"/>
      <c r="T872" s="197"/>
      <c r="U872" s="197"/>
      <c r="V872" s="198"/>
      <c r="W872" s="198"/>
      <c r="X872" s="1516"/>
      <c r="Y872" s="686"/>
      <c r="Z872" s="671"/>
      <c r="AA872" s="671"/>
      <c r="AB872" s="671"/>
      <c r="AC872" s="671"/>
      <c r="AD872" s="671"/>
      <c r="AE872" s="1517"/>
      <c r="AF872" s="600"/>
      <c r="AG872" s="600"/>
      <c r="AH872" s="600"/>
      <c r="AI872" s="600"/>
      <c r="AJ872" s="600"/>
      <c r="AK872" s="728"/>
      <c r="AL872" s="729"/>
      <c r="AM872" s="729"/>
      <c r="AN872" s="729"/>
    </row>
    <row r="873" spans="1:40" s="116" customFormat="1" ht="18" customHeight="1" outlineLevel="1">
      <c r="A873" s="724">
        <v>121</v>
      </c>
      <c r="B873" s="622" t="s">
        <v>1969</v>
      </c>
      <c r="C873" s="622" t="s">
        <v>1970</v>
      </c>
      <c r="D873" s="622" t="s">
        <v>401</v>
      </c>
      <c r="E873" s="622">
        <v>8</v>
      </c>
      <c r="F873" s="622" t="s">
        <v>260</v>
      </c>
      <c r="G873" s="623"/>
      <c r="H873" s="622" t="s">
        <v>261</v>
      </c>
      <c r="I873" s="622"/>
      <c r="J873" s="622"/>
      <c r="K873" s="622"/>
      <c r="L873" s="622"/>
      <c r="M873" s="622"/>
      <c r="N873" s="622"/>
      <c r="O873" s="622"/>
      <c r="P873" s="622" t="s">
        <v>325</v>
      </c>
      <c r="Q873" s="622"/>
      <c r="R873" s="622"/>
      <c r="S873" s="622"/>
      <c r="T873" s="622"/>
      <c r="U873" s="622"/>
      <c r="V873" s="597"/>
      <c r="W873" s="597"/>
      <c r="X873" s="597" t="s">
        <v>1971</v>
      </c>
      <c r="Y873" s="597"/>
      <c r="Z873" s="622"/>
      <c r="AA873" s="622"/>
      <c r="AB873" s="621"/>
      <c r="AC873" s="622"/>
      <c r="AD873" s="622"/>
      <c r="AE873" s="608"/>
      <c r="AF873" s="622"/>
      <c r="AG873" s="622"/>
      <c r="AH873" s="622"/>
      <c r="AI873" s="622"/>
      <c r="AJ873" s="622"/>
      <c r="AK873" s="725"/>
      <c r="AL873" s="726"/>
      <c r="AM873" s="727"/>
      <c r="AN873" s="727"/>
    </row>
    <row r="874" spans="1:40" ht="14.25" customHeight="1">
      <c r="A874" s="197"/>
      <c r="B874" s="197"/>
      <c r="C874" s="197"/>
      <c r="D874" s="197"/>
      <c r="E874" s="197"/>
      <c r="F874" s="197"/>
      <c r="G874" s="365"/>
      <c r="H874" s="175" t="s">
        <v>261</v>
      </c>
      <c r="I874" s="197"/>
      <c r="J874" s="197"/>
      <c r="K874" s="197"/>
      <c r="L874" s="197"/>
      <c r="M874" s="197"/>
      <c r="N874" s="197"/>
      <c r="O874" s="197"/>
      <c r="P874" s="197" t="s">
        <v>325</v>
      </c>
      <c r="Q874" s="197"/>
      <c r="R874" s="197"/>
      <c r="S874" s="197"/>
      <c r="T874" s="197"/>
      <c r="U874" s="197"/>
      <c r="V874" s="198"/>
      <c r="W874" s="198"/>
      <c r="X874" s="2356" t="s">
        <v>1972</v>
      </c>
      <c r="Y874" s="166" t="s">
        <v>1973</v>
      </c>
      <c r="Z874" s="199">
        <v>0</v>
      </c>
      <c r="AA874" s="199">
        <v>0</v>
      </c>
      <c r="AB874" s="199">
        <v>0</v>
      </c>
      <c r="AC874" s="199">
        <v>1</v>
      </c>
      <c r="AD874" s="199" t="s">
        <v>286</v>
      </c>
      <c r="AE874" s="2357" t="s">
        <v>1974</v>
      </c>
      <c r="AF874" s="600">
        <v>1</v>
      </c>
      <c r="AG874" s="600">
        <v>0</v>
      </c>
      <c r="AH874" s="600"/>
      <c r="AI874" s="600">
        <v>0</v>
      </c>
      <c r="AJ874" s="600"/>
      <c r="AK874" s="197"/>
      <c r="AL874" s="116"/>
      <c r="AM874" s="116"/>
      <c r="AN874" s="116"/>
    </row>
    <row r="875" spans="1:40" ht="18" customHeight="1" outlineLevel="1">
      <c r="A875" s="724">
        <v>122</v>
      </c>
      <c r="B875" s="622" t="s">
        <v>620</v>
      </c>
      <c r="C875" s="622" t="s">
        <v>1975</v>
      </c>
      <c r="D875" s="622" t="s">
        <v>922</v>
      </c>
      <c r="E875" s="622">
        <v>8</v>
      </c>
      <c r="F875" s="622" t="s">
        <v>260</v>
      </c>
      <c r="G875" s="623" t="s">
        <v>325</v>
      </c>
      <c r="H875" s="622"/>
      <c r="I875" s="622"/>
      <c r="J875" s="622"/>
      <c r="K875" s="622"/>
      <c r="L875" s="622"/>
      <c r="M875" s="622"/>
      <c r="N875" s="622"/>
      <c r="O875" s="622"/>
      <c r="P875" s="622" t="s">
        <v>261</v>
      </c>
      <c r="Q875" s="622"/>
      <c r="R875" s="622"/>
      <c r="S875" s="622"/>
      <c r="T875" s="622"/>
      <c r="U875" s="622"/>
      <c r="V875" s="597"/>
      <c r="W875" s="597"/>
      <c r="X875" s="544" t="s">
        <v>1976</v>
      </c>
      <c r="Y875" s="544"/>
      <c r="Z875" s="536"/>
      <c r="AA875" s="536"/>
      <c r="AB875" s="1138"/>
      <c r="AC875" s="536"/>
      <c r="AD875" s="536"/>
      <c r="AE875" s="545"/>
      <c r="AF875" s="536"/>
      <c r="AG875" s="536"/>
      <c r="AH875" s="536"/>
      <c r="AI875" s="536"/>
      <c r="AJ875" s="536"/>
      <c r="AK875" s="725"/>
      <c r="AL875" s="726"/>
    </row>
    <row r="876" spans="1:40" ht="30.75" customHeight="1" outlineLevel="1">
      <c r="G876" s="49" t="s">
        <v>325</v>
      </c>
      <c r="P876" s="49" t="s">
        <v>261</v>
      </c>
      <c r="W876" s="117"/>
      <c r="X876" s="2358" t="s">
        <v>1977</v>
      </c>
      <c r="Y876" s="1398" t="s">
        <v>1978</v>
      </c>
      <c r="Z876" s="1373">
        <v>0</v>
      </c>
      <c r="AA876" s="1373">
        <v>0</v>
      </c>
      <c r="AB876" s="1373">
        <v>0</v>
      </c>
      <c r="AC876" s="1373">
        <v>1</v>
      </c>
      <c r="AD876" s="1373" t="s">
        <v>286</v>
      </c>
      <c r="AE876" s="2359" t="s">
        <v>1979</v>
      </c>
      <c r="AF876" s="1373">
        <v>1</v>
      </c>
      <c r="AG876" s="1373">
        <v>0</v>
      </c>
      <c r="AH876" s="1373"/>
      <c r="AI876" s="1373">
        <v>0</v>
      </c>
      <c r="AJ876" s="1373"/>
      <c r="AK876" s="1363"/>
    </row>
    <row r="877" spans="1:40" ht="30.75" customHeight="1" outlineLevel="1">
      <c r="G877" s="49" t="s">
        <v>325</v>
      </c>
      <c r="P877" s="49" t="s">
        <v>261</v>
      </c>
      <c r="W877" s="117"/>
      <c r="X877" s="2360" t="s">
        <v>1980</v>
      </c>
      <c r="Y877" s="1398" t="s">
        <v>1981</v>
      </c>
      <c r="Z877" s="1373">
        <v>0</v>
      </c>
      <c r="AA877" s="1373">
        <v>1</v>
      </c>
      <c r="AB877" s="1373">
        <v>1</v>
      </c>
      <c r="AC877" s="1373">
        <v>1</v>
      </c>
      <c r="AD877" s="1373" t="s">
        <v>286</v>
      </c>
      <c r="AE877" s="2361" t="s">
        <v>1979</v>
      </c>
      <c r="AF877" s="1373">
        <v>1</v>
      </c>
      <c r="AG877" s="1373">
        <v>0</v>
      </c>
      <c r="AH877" s="1373"/>
      <c r="AI877" s="1373">
        <v>0</v>
      </c>
      <c r="AJ877" s="1373"/>
      <c r="AK877" s="1363"/>
    </row>
    <row r="878" spans="1:40" ht="30.75" customHeight="1" outlineLevel="1">
      <c r="G878" s="49" t="s">
        <v>325</v>
      </c>
      <c r="P878" s="49" t="s">
        <v>261</v>
      </c>
      <c r="W878" s="117"/>
      <c r="X878" s="2362" t="s">
        <v>1982</v>
      </c>
      <c r="Y878" s="1398" t="s">
        <v>1983</v>
      </c>
      <c r="Z878" s="1373">
        <v>0</v>
      </c>
      <c r="AA878" s="1373">
        <v>2</v>
      </c>
      <c r="AB878" s="1373">
        <v>2</v>
      </c>
      <c r="AC878" s="1373">
        <v>1</v>
      </c>
      <c r="AD878" s="1373" t="s">
        <v>286</v>
      </c>
      <c r="AE878" s="2363" t="s">
        <v>1979</v>
      </c>
      <c r="AF878" s="1373">
        <v>1</v>
      </c>
      <c r="AG878" s="1373">
        <v>0</v>
      </c>
      <c r="AH878" s="1373"/>
      <c r="AI878" s="1373">
        <v>0</v>
      </c>
      <c r="AJ878" s="1373"/>
      <c r="AK878" s="1363"/>
    </row>
    <row r="879" spans="1:40" ht="30.75" customHeight="1" outlineLevel="1">
      <c r="G879" s="49" t="s">
        <v>325</v>
      </c>
      <c r="P879" s="49" t="s">
        <v>261</v>
      </c>
      <c r="W879" s="117"/>
      <c r="X879" s="2364" t="s">
        <v>1984</v>
      </c>
      <c r="Y879" s="1398" t="s">
        <v>1985</v>
      </c>
      <c r="Z879" s="1373">
        <v>0</v>
      </c>
      <c r="AA879" s="1373">
        <v>3</v>
      </c>
      <c r="AB879" s="1373">
        <v>3</v>
      </c>
      <c r="AC879" s="1373">
        <v>1</v>
      </c>
      <c r="AD879" s="1373" t="s">
        <v>286</v>
      </c>
      <c r="AE879" s="2365" t="s">
        <v>1979</v>
      </c>
      <c r="AF879" s="1373">
        <v>1</v>
      </c>
      <c r="AG879" s="1373">
        <v>0</v>
      </c>
      <c r="AH879" s="1373"/>
      <c r="AI879" s="1373">
        <v>0</v>
      </c>
      <c r="AJ879" s="1373"/>
      <c r="AK879" s="1363"/>
    </row>
    <row r="880" spans="1:40" ht="30.75" customHeight="1" outlineLevel="1">
      <c r="G880" s="49" t="s">
        <v>325</v>
      </c>
      <c r="P880" s="49" t="s">
        <v>261</v>
      </c>
      <c r="W880" s="117"/>
      <c r="X880" s="2366" t="s">
        <v>1986</v>
      </c>
      <c r="Y880" s="1398" t="s">
        <v>1987</v>
      </c>
      <c r="Z880" s="1373">
        <v>0</v>
      </c>
      <c r="AA880" s="1373">
        <v>4</v>
      </c>
      <c r="AB880" s="1373">
        <v>4</v>
      </c>
      <c r="AC880" s="1373">
        <v>1</v>
      </c>
      <c r="AD880" s="1373" t="s">
        <v>286</v>
      </c>
      <c r="AE880" s="2367" t="s">
        <v>1979</v>
      </c>
      <c r="AF880" s="1373">
        <v>1</v>
      </c>
      <c r="AG880" s="1373">
        <v>0</v>
      </c>
      <c r="AH880" s="1373"/>
      <c r="AI880" s="1373">
        <v>0</v>
      </c>
      <c r="AJ880" s="1373"/>
      <c r="AK880" s="1363"/>
    </row>
    <row r="881" spans="1:38" ht="30.75" customHeight="1" outlineLevel="1">
      <c r="G881" s="49" t="s">
        <v>325</v>
      </c>
      <c r="P881" s="49" t="s">
        <v>261</v>
      </c>
      <c r="W881" s="117"/>
      <c r="X881" s="2368" t="s">
        <v>1988</v>
      </c>
      <c r="Y881" s="1398" t="s">
        <v>1989</v>
      </c>
      <c r="Z881" s="1373">
        <v>0</v>
      </c>
      <c r="AA881" s="1373">
        <v>5</v>
      </c>
      <c r="AB881" s="1373">
        <v>5</v>
      </c>
      <c r="AC881" s="1373">
        <v>1</v>
      </c>
      <c r="AD881" s="1373" t="s">
        <v>286</v>
      </c>
      <c r="AE881" s="2369" t="s">
        <v>1979</v>
      </c>
      <c r="AF881" s="1373">
        <v>1</v>
      </c>
      <c r="AG881" s="1373">
        <v>0</v>
      </c>
      <c r="AH881" s="1373"/>
      <c r="AI881" s="1373">
        <v>0</v>
      </c>
      <c r="AJ881" s="1373"/>
      <c r="AK881" s="1363"/>
    </row>
    <row r="882" spans="1:38" ht="29.25" customHeight="1">
      <c r="G882" s="49" t="s">
        <v>325</v>
      </c>
      <c r="P882" s="49" t="s">
        <v>261</v>
      </c>
      <c r="W882" s="117"/>
      <c r="X882" s="2370" t="s">
        <v>1990</v>
      </c>
      <c r="Y882" s="1398" t="s">
        <v>1991</v>
      </c>
      <c r="Z882" s="1373">
        <v>0</v>
      </c>
      <c r="AA882" s="1373">
        <v>6</v>
      </c>
      <c r="AB882" s="1373">
        <v>6</v>
      </c>
      <c r="AC882" s="1373">
        <v>1</v>
      </c>
      <c r="AD882" s="1373" t="s">
        <v>286</v>
      </c>
      <c r="AE882" s="2371" t="s">
        <v>1979</v>
      </c>
      <c r="AF882" s="1373">
        <v>1</v>
      </c>
      <c r="AG882" s="1373">
        <v>0</v>
      </c>
      <c r="AH882" s="1373"/>
      <c r="AI882" s="1373">
        <v>0</v>
      </c>
      <c r="AJ882" s="1373"/>
      <c r="AK882" s="1363"/>
    </row>
    <row r="883" spans="1:38" ht="14.25" customHeight="1">
      <c r="X883" s="1397"/>
      <c r="Y883" s="117"/>
      <c r="Z883" s="1363"/>
      <c r="AA883" s="1363"/>
      <c r="AB883" s="1363"/>
      <c r="AC883" s="1363"/>
      <c r="AD883" s="1363"/>
      <c r="AE883" s="1363"/>
      <c r="AF883" s="1363"/>
      <c r="AG883" s="1363"/>
      <c r="AH883" s="1363"/>
      <c r="AI883" s="1363"/>
      <c r="AJ883" s="1363"/>
    </row>
    <row r="884" spans="1:38" ht="18" customHeight="1" outlineLevel="1">
      <c r="A884" s="691">
        <v>25</v>
      </c>
      <c r="B884" s="396" t="s">
        <v>1992</v>
      </c>
      <c r="C884" s="730" t="s">
        <v>1993</v>
      </c>
      <c r="D884" s="730" t="s">
        <v>617</v>
      </c>
      <c r="E884" s="730">
        <v>8</v>
      </c>
      <c r="F884" s="730" t="s">
        <v>260</v>
      </c>
      <c r="G884" s="730" t="s">
        <v>325</v>
      </c>
      <c r="H884" s="730" t="s">
        <v>261</v>
      </c>
      <c r="I884" s="730" t="s">
        <v>398</v>
      </c>
      <c r="J884" s="730" t="s">
        <v>398</v>
      </c>
      <c r="K884" s="730"/>
      <c r="L884" s="730"/>
      <c r="M884" s="730" t="s">
        <v>398</v>
      </c>
      <c r="N884" s="730" t="s">
        <v>398</v>
      </c>
      <c r="O884" s="730" t="s">
        <v>398</v>
      </c>
      <c r="P884" s="730" t="s">
        <v>398</v>
      </c>
      <c r="Q884" s="730" t="s">
        <v>398</v>
      </c>
      <c r="R884" s="730" t="s">
        <v>398</v>
      </c>
      <c r="S884" s="730" t="s">
        <v>398</v>
      </c>
      <c r="T884" s="730" t="s">
        <v>398</v>
      </c>
      <c r="U884" s="730" t="s">
        <v>398</v>
      </c>
      <c r="V884" s="730" t="s">
        <v>398</v>
      </c>
      <c r="W884" s="730" t="s">
        <v>325</v>
      </c>
      <c r="X884" s="388" t="s">
        <v>1994</v>
      </c>
      <c r="Y884" s="389" t="s">
        <v>398</v>
      </c>
      <c r="Z884" s="389" t="s">
        <v>398</v>
      </c>
      <c r="AA884" s="3310" t="s">
        <v>398</v>
      </c>
      <c r="AB884" s="3310"/>
      <c r="AC884" s="3310"/>
      <c r="AD884" s="3310"/>
      <c r="AE884" s="3310"/>
      <c r="AF884" s="3310"/>
      <c r="AG884" s="390" t="s">
        <v>398</v>
      </c>
      <c r="AH884" s="390" t="s">
        <v>398</v>
      </c>
      <c r="AI884" s="691" t="s">
        <v>398</v>
      </c>
      <c r="AJ884" s="730" t="s">
        <v>398</v>
      </c>
      <c r="AK884" s="371">
        <v>20251120</v>
      </c>
      <c r="AL884" s="366"/>
    </row>
    <row r="885" spans="1:38" ht="30.75" customHeight="1" outlineLevel="1">
      <c r="A885" s="366"/>
      <c r="B885" s="366"/>
      <c r="C885" s="366"/>
      <c r="D885" s="366"/>
      <c r="E885" s="366"/>
      <c r="F885" s="366"/>
      <c r="G885" s="356" t="s">
        <v>325</v>
      </c>
      <c r="H885" s="356" t="s">
        <v>261</v>
      </c>
      <c r="I885" s="356"/>
      <c r="J885" s="356"/>
      <c r="K885" s="356"/>
      <c r="L885" s="356"/>
      <c r="M885" s="356"/>
      <c r="N885" s="356"/>
      <c r="O885" s="356"/>
      <c r="P885" s="356"/>
      <c r="Q885" s="356"/>
      <c r="R885" s="356"/>
      <c r="S885" s="356"/>
      <c r="T885" s="356"/>
      <c r="U885" s="356" t="s">
        <v>662</v>
      </c>
      <c r="V885" s="356"/>
      <c r="W885" s="356" t="s">
        <v>325</v>
      </c>
      <c r="X885" s="731" t="s">
        <v>1995</v>
      </c>
      <c r="Y885" s="690" t="s">
        <v>1996</v>
      </c>
      <c r="Z885" s="690">
        <v>1</v>
      </c>
      <c r="AA885" s="690">
        <v>0</v>
      </c>
      <c r="AB885" s="690">
        <v>8</v>
      </c>
      <c r="AC885" s="690">
        <v>8</v>
      </c>
      <c r="AD885" s="690" t="s">
        <v>286</v>
      </c>
      <c r="AE885" s="2372" t="s">
        <v>1997</v>
      </c>
      <c r="AF885" s="690">
        <v>1</v>
      </c>
      <c r="AG885" s="690">
        <v>0</v>
      </c>
      <c r="AH885" s="690" t="s">
        <v>398</v>
      </c>
      <c r="AI885" s="339">
        <v>0</v>
      </c>
      <c r="AJ885" s="339" t="s">
        <v>398</v>
      </c>
      <c r="AK885" s="371">
        <v>20251120</v>
      </c>
      <c r="AL885" s="366"/>
    </row>
    <row r="886" spans="1:38" ht="243" customHeight="1" outlineLevel="1">
      <c r="A886" s="366"/>
      <c r="B886" s="366"/>
      <c r="C886" s="366"/>
      <c r="D886" s="366"/>
      <c r="E886" s="366"/>
      <c r="F886" s="366"/>
      <c r="G886" s="356" t="s">
        <v>325</v>
      </c>
      <c r="H886" s="356" t="s">
        <v>261</v>
      </c>
      <c r="I886" s="356"/>
      <c r="J886" s="356"/>
      <c r="K886" s="356"/>
      <c r="L886" s="356"/>
      <c r="M886" s="356"/>
      <c r="N886" s="356"/>
      <c r="O886" s="356"/>
      <c r="P886" s="356"/>
      <c r="Q886" s="356"/>
      <c r="R886" s="356"/>
      <c r="S886" s="356"/>
      <c r="T886" s="356"/>
      <c r="U886" s="356" t="s">
        <v>662</v>
      </c>
      <c r="V886" s="356"/>
      <c r="W886" s="356" t="s">
        <v>325</v>
      </c>
      <c r="X886" s="391" t="s">
        <v>1998</v>
      </c>
      <c r="Y886" s="690" t="s">
        <v>1999</v>
      </c>
      <c r="Z886" s="339">
        <v>2</v>
      </c>
      <c r="AA886" s="339">
        <v>0</v>
      </c>
      <c r="AB886" s="339">
        <v>16</v>
      </c>
      <c r="AC886" s="339">
        <v>5</v>
      </c>
      <c r="AD886" s="339" t="s">
        <v>328</v>
      </c>
      <c r="AE886" s="1520"/>
      <c r="AF886" s="339">
        <v>1</v>
      </c>
      <c r="AG886" s="339">
        <v>-8</v>
      </c>
      <c r="AH886" s="392" t="s">
        <v>2000</v>
      </c>
      <c r="AI886" s="339">
        <v>0</v>
      </c>
      <c r="AJ886" s="393" t="s">
        <v>508</v>
      </c>
      <c r="AK886" s="371">
        <v>20251120</v>
      </c>
      <c r="AL886" s="366"/>
    </row>
    <row r="887" spans="1:38" ht="14.25" customHeight="1" outlineLevel="1">
      <c r="A887" s="366"/>
      <c r="B887" s="366"/>
      <c r="C887" s="366"/>
      <c r="D887" s="366"/>
      <c r="E887" s="366"/>
      <c r="F887" s="366"/>
      <c r="G887" s="356" t="s">
        <v>325</v>
      </c>
      <c r="H887" s="356" t="s">
        <v>261</v>
      </c>
      <c r="I887" s="356"/>
      <c r="J887" s="356"/>
      <c r="K887" s="356"/>
      <c r="L887" s="356"/>
      <c r="M887" s="356"/>
      <c r="N887" s="356"/>
      <c r="O887" s="356"/>
      <c r="P887" s="356"/>
      <c r="Q887" s="356"/>
      <c r="R887" s="356"/>
      <c r="S887" s="356"/>
      <c r="T887" s="356"/>
      <c r="U887" s="356" t="s">
        <v>662</v>
      </c>
      <c r="V887" s="356"/>
      <c r="W887" s="356" t="s">
        <v>325</v>
      </c>
      <c r="X887" s="2373" t="s">
        <v>2001</v>
      </c>
      <c r="Y887" s="690" t="s">
        <v>2002</v>
      </c>
      <c r="Z887" s="339">
        <v>3</v>
      </c>
      <c r="AA887" s="339">
        <v>0</v>
      </c>
      <c r="AB887" s="339">
        <v>24</v>
      </c>
      <c r="AC887" s="339">
        <v>8</v>
      </c>
      <c r="AD887" s="339" t="s">
        <v>286</v>
      </c>
      <c r="AE887" s="340" t="s">
        <v>2003</v>
      </c>
      <c r="AF887" s="339" t="s">
        <v>398</v>
      </c>
      <c r="AG887" s="339" t="s">
        <v>398</v>
      </c>
      <c r="AH887" s="339" t="s">
        <v>398</v>
      </c>
      <c r="AI887" s="339" t="s">
        <v>398</v>
      </c>
      <c r="AJ887" s="339" t="s">
        <v>398</v>
      </c>
      <c r="AK887" s="371">
        <v>20251120</v>
      </c>
      <c r="AL887" s="366"/>
    </row>
    <row r="888" spans="1:38" ht="14.25" customHeight="1" outlineLevel="1">
      <c r="A888" s="366"/>
      <c r="B888" s="366"/>
      <c r="C888" s="366"/>
      <c r="D888" s="366"/>
      <c r="E888" s="366"/>
      <c r="F888" s="366"/>
      <c r="G888" s="356"/>
      <c r="H888" s="356"/>
      <c r="I888" s="356"/>
      <c r="J888" s="356"/>
      <c r="K888" s="356"/>
      <c r="L888" s="356"/>
      <c r="M888" s="356"/>
      <c r="N888" s="356"/>
      <c r="O888" s="356"/>
      <c r="P888" s="356"/>
      <c r="Q888" s="356"/>
      <c r="R888" s="356"/>
      <c r="S888" s="356"/>
      <c r="T888" s="356"/>
      <c r="U888" s="356"/>
      <c r="V888" s="356"/>
      <c r="W888" s="356"/>
      <c r="X888" s="164"/>
      <c r="Y888" s="690"/>
      <c r="Z888" s="339"/>
      <c r="AA888" s="339"/>
      <c r="AB888" s="339"/>
      <c r="AC888" s="339"/>
      <c r="AD888" s="339"/>
      <c r="AE888" s="339"/>
      <c r="AF888" s="339"/>
      <c r="AG888" s="339"/>
      <c r="AH888" s="339"/>
      <c r="AI888" s="367"/>
      <c r="AJ888" s="367"/>
      <c r="AK888" s="371"/>
      <c r="AL888" s="366"/>
    </row>
    <row r="889" spans="1:38" ht="26.25" customHeight="1">
      <c r="A889" s="366"/>
      <c r="B889" s="366"/>
      <c r="C889" s="366"/>
      <c r="D889" s="366"/>
      <c r="E889" s="366"/>
      <c r="F889" s="366"/>
      <c r="G889" s="356"/>
      <c r="H889" s="356"/>
      <c r="I889" s="356"/>
      <c r="J889" s="356"/>
      <c r="K889" s="356"/>
      <c r="L889" s="356"/>
      <c r="M889" s="356"/>
      <c r="N889" s="356"/>
      <c r="O889" s="356"/>
      <c r="P889" s="356"/>
      <c r="Q889" s="356"/>
      <c r="R889" s="366"/>
      <c r="S889" s="356"/>
      <c r="T889" s="356"/>
      <c r="U889" s="366"/>
      <c r="V889" s="366"/>
      <c r="W889" s="366"/>
      <c r="X889" s="394" t="s">
        <v>398</v>
      </c>
      <c r="Y889" s="378" t="s">
        <v>398</v>
      </c>
      <c r="Z889" s="367" t="s">
        <v>398</v>
      </c>
      <c r="AA889" s="367" t="s">
        <v>398</v>
      </c>
      <c r="AB889" s="367" t="s">
        <v>398</v>
      </c>
      <c r="AC889" s="367" t="s">
        <v>398</v>
      </c>
      <c r="AD889" s="367" t="s">
        <v>398</v>
      </c>
      <c r="AE889" s="367" t="s">
        <v>398</v>
      </c>
      <c r="AF889" s="385" t="s">
        <v>398</v>
      </c>
      <c r="AG889" s="385" t="s">
        <v>398</v>
      </c>
      <c r="AH889" s="385" t="s">
        <v>398</v>
      </c>
      <c r="AI889" s="385" t="s">
        <v>398</v>
      </c>
      <c r="AJ889" s="385" t="s">
        <v>398</v>
      </c>
      <c r="AK889" s="371">
        <v>20251120</v>
      </c>
      <c r="AL889" s="366"/>
    </row>
    <row r="890" spans="1:38" ht="29.25" customHeight="1" outlineLevel="1">
      <c r="A890" s="691">
        <v>25</v>
      </c>
      <c r="B890" s="395" t="s">
        <v>2004</v>
      </c>
      <c r="C890" s="730" t="s">
        <v>2005</v>
      </c>
      <c r="D890" s="730" t="s">
        <v>617</v>
      </c>
      <c r="E890" s="730">
        <v>8</v>
      </c>
      <c r="F890" s="730" t="s">
        <v>260</v>
      </c>
      <c r="G890" s="730" t="s">
        <v>325</v>
      </c>
      <c r="H890" s="730" t="s">
        <v>325</v>
      </c>
      <c r="I890" s="730" t="s">
        <v>398</v>
      </c>
      <c r="J890" s="730" t="s">
        <v>398</v>
      </c>
      <c r="K890" s="730"/>
      <c r="L890" s="730"/>
      <c r="M890" s="730" t="s">
        <v>398</v>
      </c>
      <c r="N890" s="730" t="s">
        <v>398</v>
      </c>
      <c r="O890" s="730" t="s">
        <v>398</v>
      </c>
      <c r="P890" s="730" t="s">
        <v>398</v>
      </c>
      <c r="Q890" s="730" t="s">
        <v>398</v>
      </c>
      <c r="R890" s="730" t="s">
        <v>398</v>
      </c>
      <c r="S890" s="730" t="s">
        <v>398</v>
      </c>
      <c r="T890" s="730" t="s">
        <v>398</v>
      </c>
      <c r="U890" s="730" t="s">
        <v>398</v>
      </c>
      <c r="V890" s="730" t="s">
        <v>398</v>
      </c>
      <c r="W890" s="730" t="s">
        <v>261</v>
      </c>
      <c r="X890" s="388" t="s">
        <v>2006</v>
      </c>
      <c r="Y890" s="389" t="s">
        <v>398</v>
      </c>
      <c r="Z890" s="389" t="s">
        <v>398</v>
      </c>
      <c r="AA890" s="389" t="s">
        <v>398</v>
      </c>
      <c r="AB890" s="389" t="s">
        <v>398</v>
      </c>
      <c r="AC890" s="3310" t="s">
        <v>398</v>
      </c>
      <c r="AD890" s="3310"/>
      <c r="AE890" s="3310"/>
      <c r="AF890" s="3310"/>
      <c r="AG890" s="3310"/>
      <c r="AH890" s="3310"/>
      <c r="AI890" s="390" t="s">
        <v>398</v>
      </c>
      <c r="AJ890" s="390" t="s">
        <v>398</v>
      </c>
      <c r="AK890" s="371">
        <v>20251120</v>
      </c>
      <c r="AL890" s="366"/>
    </row>
    <row r="891" spans="1:38" ht="30.75" customHeight="1" outlineLevel="1">
      <c r="A891" s="366"/>
      <c r="B891" s="366"/>
      <c r="C891" s="366"/>
      <c r="D891" s="366"/>
      <c r="E891" s="366"/>
      <c r="F891" s="366"/>
      <c r="G891" s="356" t="s">
        <v>325</v>
      </c>
      <c r="H891" s="356" t="s">
        <v>325</v>
      </c>
      <c r="I891" s="356"/>
      <c r="J891" s="356"/>
      <c r="K891" s="356"/>
      <c r="L891" s="356"/>
      <c r="M891" s="356"/>
      <c r="N891" s="356"/>
      <c r="O891" s="356"/>
      <c r="P891" s="356"/>
      <c r="Q891" s="356"/>
      <c r="R891" s="356"/>
      <c r="S891" s="356"/>
      <c r="T891" s="356"/>
      <c r="U891" s="356" t="s">
        <v>662</v>
      </c>
      <c r="V891" s="356"/>
      <c r="W891" s="356" t="s">
        <v>261</v>
      </c>
      <c r="X891" s="732" t="s">
        <v>2007</v>
      </c>
      <c r="Y891" s="690" t="s">
        <v>2008</v>
      </c>
      <c r="Z891" s="690">
        <v>1</v>
      </c>
      <c r="AA891" s="733">
        <v>0</v>
      </c>
      <c r="AB891" s="455">
        <v>8</v>
      </c>
      <c r="AC891" s="690">
        <v>8</v>
      </c>
      <c r="AD891" s="690" t="s">
        <v>286</v>
      </c>
      <c r="AE891" s="2374" t="s">
        <v>1997</v>
      </c>
      <c r="AF891" s="690">
        <v>1</v>
      </c>
      <c r="AG891" s="690">
        <v>0</v>
      </c>
      <c r="AH891" s="690" t="s">
        <v>398</v>
      </c>
      <c r="AI891" s="690">
        <v>0</v>
      </c>
      <c r="AJ891" s="690" t="s">
        <v>398</v>
      </c>
      <c r="AK891" s="371">
        <v>20251120</v>
      </c>
      <c r="AL891" s="366"/>
    </row>
    <row r="892" spans="1:38" ht="243" customHeight="1" outlineLevel="1">
      <c r="A892" s="366"/>
      <c r="B892" s="366"/>
      <c r="C892" s="366"/>
      <c r="D892" s="366"/>
      <c r="E892" s="366"/>
      <c r="F892" s="366"/>
      <c r="G892" s="356" t="s">
        <v>325</v>
      </c>
      <c r="H892" s="356" t="s">
        <v>325</v>
      </c>
      <c r="I892" s="356"/>
      <c r="J892" s="356"/>
      <c r="K892" s="356"/>
      <c r="L892" s="356"/>
      <c r="M892" s="356"/>
      <c r="N892" s="356"/>
      <c r="O892" s="356"/>
      <c r="P892" s="356"/>
      <c r="Q892" s="356"/>
      <c r="R892" s="356"/>
      <c r="S892" s="356"/>
      <c r="T892" s="356"/>
      <c r="U892" s="356" t="s">
        <v>662</v>
      </c>
      <c r="V892" s="356"/>
      <c r="W892" s="356" t="s">
        <v>261</v>
      </c>
      <c r="X892" s="391" t="s">
        <v>2009</v>
      </c>
      <c r="Y892" s="690" t="s">
        <v>2010</v>
      </c>
      <c r="Z892" s="339">
        <v>2</v>
      </c>
      <c r="AA892" s="529">
        <v>0</v>
      </c>
      <c r="AB892" s="455">
        <v>16</v>
      </c>
      <c r="AC892" s="339">
        <v>5</v>
      </c>
      <c r="AD892" s="339" t="s">
        <v>286</v>
      </c>
      <c r="AE892" s="1523"/>
      <c r="AF892" s="339">
        <v>1</v>
      </c>
      <c r="AG892" s="392" t="s">
        <v>2011</v>
      </c>
      <c r="AH892" s="392" t="s">
        <v>2000</v>
      </c>
      <c r="AI892" s="339">
        <v>0</v>
      </c>
      <c r="AJ892" s="393" t="s">
        <v>508</v>
      </c>
      <c r="AK892" s="371">
        <v>20251120</v>
      </c>
      <c r="AL892" s="366"/>
    </row>
    <row r="893" spans="1:38" ht="28.5" customHeight="1" outlineLevel="1">
      <c r="A893" s="366"/>
      <c r="B893" s="366"/>
      <c r="C893" s="366"/>
      <c r="D893" s="366"/>
      <c r="E893" s="366"/>
      <c r="F893" s="366"/>
      <c r="G893" s="356" t="s">
        <v>325</v>
      </c>
      <c r="H893" s="356" t="s">
        <v>325</v>
      </c>
      <c r="I893" s="356"/>
      <c r="J893" s="356"/>
      <c r="K893" s="356"/>
      <c r="L893" s="356"/>
      <c r="M893" s="356"/>
      <c r="N893" s="356"/>
      <c r="O893" s="356"/>
      <c r="P893" s="356"/>
      <c r="Q893" s="356"/>
      <c r="R893" s="356"/>
      <c r="S893" s="356"/>
      <c r="T893" s="356"/>
      <c r="U893" s="356" t="s">
        <v>662</v>
      </c>
      <c r="V893" s="356"/>
      <c r="W893" s="356" t="s">
        <v>261</v>
      </c>
      <c r="X893" s="428" t="s">
        <v>2012</v>
      </c>
      <c r="Y893" s="532" t="s">
        <v>2013</v>
      </c>
      <c r="Z893" s="427">
        <v>3</v>
      </c>
      <c r="AA893" s="530">
        <v>0</v>
      </c>
      <c r="AB893" s="533">
        <v>24</v>
      </c>
      <c r="AC893" s="427">
        <v>8</v>
      </c>
      <c r="AD893" s="427" t="s">
        <v>286</v>
      </c>
      <c r="AE893" s="2375" t="s">
        <v>2014</v>
      </c>
      <c r="AF893" s="339">
        <v>1</v>
      </c>
      <c r="AG893" s="392" t="s">
        <v>1510</v>
      </c>
      <c r="AH893" s="339" t="s">
        <v>398</v>
      </c>
      <c r="AI893" s="339">
        <v>0</v>
      </c>
      <c r="AJ893" s="393" t="s">
        <v>508</v>
      </c>
      <c r="AK893" s="371">
        <v>20251120</v>
      </c>
      <c r="AL893" s="366"/>
    </row>
    <row r="894" spans="1:38" ht="30.75" customHeight="1" outlineLevel="1">
      <c r="A894" s="366"/>
      <c r="B894" s="366"/>
      <c r="C894" s="366"/>
      <c r="D894" s="366"/>
      <c r="E894" s="366"/>
      <c r="F894" s="366"/>
      <c r="G894" s="356" t="s">
        <v>325</v>
      </c>
      <c r="H894" s="356" t="s">
        <v>325</v>
      </c>
      <c r="I894" s="356"/>
      <c r="J894" s="356"/>
      <c r="K894" s="356"/>
      <c r="L894" s="356"/>
      <c r="M894" s="356"/>
      <c r="N894" s="356"/>
      <c r="O894" s="356"/>
      <c r="P894" s="356"/>
      <c r="Q894" s="356"/>
      <c r="R894" s="356"/>
      <c r="S894" s="356"/>
      <c r="T894" s="356"/>
      <c r="U894" s="356" t="s">
        <v>662</v>
      </c>
      <c r="V894" s="356"/>
      <c r="W894" s="356" t="s">
        <v>261</v>
      </c>
      <c r="X894" s="2376" t="s">
        <v>2015</v>
      </c>
      <c r="Y894" s="531" t="s">
        <v>2016</v>
      </c>
      <c r="Z894" s="612">
        <v>4</v>
      </c>
      <c r="AA894" s="424">
        <v>0</v>
      </c>
      <c r="AB894" s="425">
        <v>32</v>
      </c>
      <c r="AC894" s="426">
        <v>1</v>
      </c>
      <c r="AD894" s="426" t="s">
        <v>286</v>
      </c>
      <c r="AE894" s="423" t="s">
        <v>2017</v>
      </c>
      <c r="AF894" s="339">
        <v>1</v>
      </c>
      <c r="AG894" s="339">
        <v>0</v>
      </c>
      <c r="AH894" s="339" t="s">
        <v>398</v>
      </c>
      <c r="AI894" s="339">
        <v>0</v>
      </c>
      <c r="AJ894" s="339" t="s">
        <v>398</v>
      </c>
      <c r="AK894" s="371">
        <v>20251120</v>
      </c>
      <c r="AL894" s="366"/>
    </row>
    <row r="895" spans="1:38" ht="29.25" customHeight="1" outlineLevel="1">
      <c r="A895" s="366"/>
      <c r="B895" s="366"/>
      <c r="C895" s="366"/>
      <c r="D895" s="366"/>
      <c r="E895" s="366"/>
      <c r="F895" s="366"/>
      <c r="G895" s="356"/>
      <c r="H895" s="356"/>
      <c r="I895" s="356"/>
      <c r="J895" s="356"/>
      <c r="K895" s="356"/>
      <c r="L895" s="356"/>
      <c r="M895" s="356"/>
      <c r="N895" s="356"/>
      <c r="O895" s="356"/>
      <c r="P895" s="356"/>
      <c r="Q895" s="356"/>
      <c r="R895" s="356"/>
      <c r="S895" s="356"/>
      <c r="T895" s="356"/>
      <c r="U895" s="356"/>
      <c r="V895" s="356"/>
      <c r="W895" s="356"/>
      <c r="X895" s="2377" t="s">
        <v>2018</v>
      </c>
      <c r="Y895" s="531" t="s">
        <v>2019</v>
      </c>
      <c r="Z895" s="612">
        <v>4</v>
      </c>
      <c r="AA895" s="424">
        <v>1</v>
      </c>
      <c r="AB895" s="425">
        <v>33</v>
      </c>
      <c r="AC895" s="426">
        <v>1</v>
      </c>
      <c r="AD895" s="426" t="s">
        <v>286</v>
      </c>
      <c r="AE895" s="423" t="s">
        <v>2017</v>
      </c>
      <c r="AF895" s="339"/>
      <c r="AG895" s="339"/>
      <c r="AH895" s="339"/>
      <c r="AI895" s="339"/>
      <c r="AJ895" s="339"/>
      <c r="AK895" s="371"/>
      <c r="AL895" s="366"/>
    </row>
    <row r="896" spans="1:38" ht="29.25" customHeight="1" outlineLevel="1">
      <c r="A896" s="366"/>
      <c r="B896" s="366"/>
      <c r="C896" s="366"/>
      <c r="D896" s="366"/>
      <c r="E896" s="366"/>
      <c r="F896" s="366"/>
      <c r="G896" s="356"/>
      <c r="H896" s="356"/>
      <c r="I896" s="356"/>
      <c r="J896" s="356"/>
      <c r="K896" s="356"/>
      <c r="L896" s="356"/>
      <c r="M896" s="356"/>
      <c r="N896" s="356"/>
      <c r="O896" s="356"/>
      <c r="P896" s="356"/>
      <c r="Q896" s="356"/>
      <c r="R896" s="356"/>
      <c r="S896" s="356"/>
      <c r="T896" s="356"/>
      <c r="U896" s="356"/>
      <c r="V896" s="356"/>
      <c r="W896" s="356"/>
      <c r="X896" s="2378" t="s">
        <v>2020</v>
      </c>
      <c r="Y896" s="531" t="s">
        <v>2021</v>
      </c>
      <c r="Z896" s="612">
        <v>4</v>
      </c>
      <c r="AA896" s="424">
        <v>2</v>
      </c>
      <c r="AB896" s="425">
        <v>34</v>
      </c>
      <c r="AC896" s="426">
        <v>1</v>
      </c>
      <c r="AD896" s="426" t="s">
        <v>286</v>
      </c>
      <c r="AE896" s="423" t="s">
        <v>2017</v>
      </c>
      <c r="AF896" s="339"/>
      <c r="AG896" s="339"/>
      <c r="AH896" s="339"/>
      <c r="AI896" s="339"/>
      <c r="AJ896" s="339"/>
      <c r="AK896" s="371"/>
      <c r="AL896" s="366"/>
    </row>
    <row r="897" spans="1:38" ht="43.5" customHeight="1" outlineLevel="1">
      <c r="A897" s="366"/>
      <c r="B897" s="366"/>
      <c r="C897" s="366"/>
      <c r="D897" s="366"/>
      <c r="E897" s="366"/>
      <c r="F897" s="366"/>
      <c r="G897" s="356"/>
      <c r="H897" s="356"/>
      <c r="I897" s="356"/>
      <c r="J897" s="356"/>
      <c r="K897" s="356"/>
      <c r="L897" s="356"/>
      <c r="M897" s="356"/>
      <c r="N897" s="356"/>
      <c r="O897" s="356"/>
      <c r="P897" s="356"/>
      <c r="Q897" s="356"/>
      <c r="R897" s="356"/>
      <c r="S897" s="356"/>
      <c r="T897" s="356"/>
      <c r="U897" s="356"/>
      <c r="V897" s="356"/>
      <c r="W897" s="356"/>
      <c r="X897" s="2379" t="s">
        <v>2022</v>
      </c>
      <c r="Y897" s="531" t="s">
        <v>2023</v>
      </c>
      <c r="Z897" s="612">
        <v>4</v>
      </c>
      <c r="AA897" s="424">
        <v>3</v>
      </c>
      <c r="AB897" s="425">
        <v>35</v>
      </c>
      <c r="AC897" s="426">
        <v>1</v>
      </c>
      <c r="AD897" s="426" t="s">
        <v>286</v>
      </c>
      <c r="AE897" s="423" t="s">
        <v>2017</v>
      </c>
      <c r="AF897" s="339"/>
      <c r="AG897" s="339"/>
      <c r="AH897" s="339"/>
      <c r="AI897" s="339"/>
      <c r="AJ897" s="339"/>
      <c r="AK897" s="371"/>
      <c r="AL897" s="366"/>
    </row>
    <row r="898" spans="1:38" ht="43.5" customHeight="1" outlineLevel="1">
      <c r="A898" s="366"/>
      <c r="B898" s="366"/>
      <c r="C898" s="366"/>
      <c r="D898" s="366"/>
      <c r="E898" s="366"/>
      <c r="F898" s="366"/>
      <c r="G898" s="356"/>
      <c r="H898" s="356"/>
      <c r="I898" s="356"/>
      <c r="J898" s="356"/>
      <c r="K898" s="356"/>
      <c r="L898" s="356"/>
      <c r="M898" s="356"/>
      <c r="N898" s="356"/>
      <c r="O898" s="356"/>
      <c r="P898" s="356"/>
      <c r="Q898" s="356"/>
      <c r="R898" s="356"/>
      <c r="S898" s="356"/>
      <c r="T898" s="356"/>
      <c r="U898" s="356"/>
      <c r="V898" s="356"/>
      <c r="W898" s="356"/>
      <c r="X898" s="2380" t="s">
        <v>2024</v>
      </c>
      <c r="Y898" s="531" t="s">
        <v>2025</v>
      </c>
      <c r="Z898" s="612">
        <v>4</v>
      </c>
      <c r="AA898" s="424">
        <v>4</v>
      </c>
      <c r="AB898" s="425">
        <v>36</v>
      </c>
      <c r="AC898" s="426">
        <v>1</v>
      </c>
      <c r="AD898" s="426" t="s">
        <v>286</v>
      </c>
      <c r="AE898" s="423" t="s">
        <v>2017</v>
      </c>
      <c r="AF898" s="339"/>
      <c r="AG898" s="339"/>
      <c r="AH898" s="339"/>
      <c r="AI898" s="339"/>
      <c r="AJ898" s="339"/>
      <c r="AK898" s="371"/>
      <c r="AL898" s="366"/>
    </row>
    <row r="899" spans="1:38" ht="29.25" customHeight="1" outlineLevel="1">
      <c r="A899" s="366"/>
      <c r="B899" s="366"/>
      <c r="C899" s="366"/>
      <c r="D899" s="366"/>
      <c r="E899" s="366"/>
      <c r="F899" s="366"/>
      <c r="G899" s="356"/>
      <c r="H899" s="356"/>
      <c r="I899" s="356"/>
      <c r="J899" s="356"/>
      <c r="K899" s="356"/>
      <c r="L899" s="356"/>
      <c r="M899" s="356"/>
      <c r="N899" s="356"/>
      <c r="O899" s="356"/>
      <c r="P899" s="356"/>
      <c r="Q899" s="356"/>
      <c r="R899" s="356"/>
      <c r="S899" s="356"/>
      <c r="T899" s="356"/>
      <c r="U899" s="356"/>
      <c r="V899" s="356"/>
      <c r="W899" s="356"/>
      <c r="X899" s="2381" t="s">
        <v>2026</v>
      </c>
      <c r="Y899" s="531" t="s">
        <v>2027</v>
      </c>
      <c r="Z899" s="612">
        <v>4</v>
      </c>
      <c r="AA899" s="424">
        <v>5</v>
      </c>
      <c r="AB899" s="425">
        <v>37</v>
      </c>
      <c r="AC899" s="426">
        <v>1</v>
      </c>
      <c r="AD899" s="426" t="s">
        <v>286</v>
      </c>
      <c r="AE899" s="423" t="s">
        <v>2017</v>
      </c>
      <c r="AF899" s="339"/>
      <c r="AG899" s="339"/>
      <c r="AH899" s="339"/>
      <c r="AI899" s="339"/>
      <c r="AJ899" s="339"/>
      <c r="AK899" s="371"/>
      <c r="AL899" s="366"/>
    </row>
    <row r="900" spans="1:38" ht="30.75" customHeight="1" outlineLevel="1">
      <c r="A900" s="366"/>
      <c r="B900" s="366"/>
      <c r="C900" s="366"/>
      <c r="D900" s="366"/>
      <c r="E900" s="366"/>
      <c r="F900" s="366"/>
      <c r="G900" s="356" t="s">
        <v>325</v>
      </c>
      <c r="H900" s="356" t="s">
        <v>325</v>
      </c>
      <c r="I900" s="356"/>
      <c r="J900" s="356"/>
      <c r="K900" s="356"/>
      <c r="L900" s="356"/>
      <c r="M900" s="356"/>
      <c r="N900" s="356"/>
      <c r="O900" s="356"/>
      <c r="P900" s="356"/>
      <c r="Q900" s="356"/>
      <c r="R900" s="356"/>
      <c r="S900" s="356"/>
      <c r="T900" s="356"/>
      <c r="U900" s="356" t="s">
        <v>662</v>
      </c>
      <c r="V900" s="356"/>
      <c r="W900" s="356" t="s">
        <v>261</v>
      </c>
      <c r="X900" s="2382" t="s">
        <v>2028</v>
      </c>
      <c r="Y900" s="531" t="s">
        <v>2029</v>
      </c>
      <c r="Z900" s="531">
        <v>5</v>
      </c>
      <c r="AA900" s="531">
        <v>0</v>
      </c>
      <c r="AB900" s="455">
        <v>40</v>
      </c>
      <c r="AC900" s="531">
        <v>8</v>
      </c>
      <c r="AD900" s="531" t="s">
        <v>286</v>
      </c>
      <c r="AE900" s="346" t="s">
        <v>2003</v>
      </c>
      <c r="AF900" s="339" t="s">
        <v>398</v>
      </c>
      <c r="AG900" s="339" t="s">
        <v>398</v>
      </c>
      <c r="AH900" s="339" t="s">
        <v>398</v>
      </c>
      <c r="AI900" s="339" t="s">
        <v>398</v>
      </c>
      <c r="AJ900" s="339" t="s">
        <v>398</v>
      </c>
      <c r="AK900" s="371">
        <v>20251120</v>
      </c>
      <c r="AL900" s="366"/>
    </row>
    <row r="901" spans="1:38" ht="15" customHeight="1">
      <c r="A901" s="366"/>
      <c r="B901" s="366"/>
      <c r="C901" s="366"/>
      <c r="D901" s="366"/>
      <c r="E901" s="366"/>
      <c r="F901" s="366"/>
      <c r="G901" s="356"/>
      <c r="H901" s="356"/>
      <c r="I901" s="356"/>
      <c r="J901" s="356"/>
      <c r="K901" s="356"/>
      <c r="L901" s="356"/>
      <c r="M901" s="356"/>
      <c r="N901" s="356"/>
      <c r="O901" s="356"/>
      <c r="P901" s="356"/>
      <c r="Q901" s="356"/>
      <c r="R901" s="356"/>
      <c r="S901" s="356"/>
      <c r="T901" s="356"/>
      <c r="U901" s="356"/>
      <c r="V901" s="356"/>
      <c r="W901" s="356"/>
      <c r="X901" s="164"/>
      <c r="Y901" s="339" t="s">
        <v>398</v>
      </c>
      <c r="Z901" s="339" t="s">
        <v>398</v>
      </c>
      <c r="AA901" s="339" t="s">
        <v>398</v>
      </c>
      <c r="AB901" s="339" t="s">
        <v>398</v>
      </c>
      <c r="AC901" s="339" t="s">
        <v>398</v>
      </c>
      <c r="AD901" s="339" t="s">
        <v>398</v>
      </c>
      <c r="AE901" s="340" t="s">
        <v>398</v>
      </c>
      <c r="AF901" s="339" t="s">
        <v>398</v>
      </c>
      <c r="AG901" s="339" t="s">
        <v>398</v>
      </c>
      <c r="AH901" s="339" t="s">
        <v>398</v>
      </c>
      <c r="AI901" s="339" t="s">
        <v>398</v>
      </c>
      <c r="AJ901" s="339" t="s">
        <v>398</v>
      </c>
      <c r="AK901" s="386"/>
      <c r="AL901" s="366"/>
    </row>
    <row r="902" spans="1:38" ht="14.25" customHeight="1">
      <c r="A902" s="366"/>
      <c r="B902" s="366"/>
      <c r="C902" s="366"/>
      <c r="D902" s="366"/>
      <c r="E902" s="366"/>
      <c r="F902" s="366"/>
      <c r="G902" s="356"/>
      <c r="H902" s="356"/>
      <c r="I902" s="356"/>
      <c r="J902" s="356"/>
      <c r="K902" s="356"/>
      <c r="L902" s="356"/>
      <c r="M902" s="356"/>
      <c r="N902" s="356"/>
      <c r="O902" s="356"/>
      <c r="P902" s="356"/>
      <c r="Q902" s="356"/>
      <c r="R902" s="356"/>
      <c r="S902" s="356"/>
      <c r="T902" s="356"/>
      <c r="U902" s="356"/>
      <c r="V902" s="356"/>
      <c r="W902" s="356"/>
      <c r="X902" s="164" t="s">
        <v>398</v>
      </c>
      <c r="Y902" s="339" t="s">
        <v>398</v>
      </c>
      <c r="Z902" s="339" t="s">
        <v>398</v>
      </c>
      <c r="AA902" s="339" t="s">
        <v>398</v>
      </c>
      <c r="AB902" s="339" t="s">
        <v>398</v>
      </c>
      <c r="AC902" s="339" t="s">
        <v>398</v>
      </c>
      <c r="AD902" s="339" t="s">
        <v>398</v>
      </c>
      <c r="AE902" s="339" t="s">
        <v>398</v>
      </c>
      <c r="AF902" s="339" t="s">
        <v>398</v>
      </c>
      <c r="AG902" s="339" t="s">
        <v>398</v>
      </c>
      <c r="AH902" s="339" t="s">
        <v>398</v>
      </c>
      <c r="AI902" s="367" t="s">
        <v>398</v>
      </c>
      <c r="AJ902" s="367" t="s">
        <v>398</v>
      </c>
      <c r="AK902" s="386"/>
      <c r="AL902" s="366"/>
    </row>
    <row r="903" spans="1:38" ht="18" customHeight="1" outlineLevel="1">
      <c r="A903" s="622">
        <v>123</v>
      </c>
      <c r="B903" s="622" t="s">
        <v>867</v>
      </c>
      <c r="C903" s="622" t="s">
        <v>2030</v>
      </c>
      <c r="D903" s="622" t="s">
        <v>259</v>
      </c>
      <c r="E903" s="622">
        <v>8</v>
      </c>
      <c r="F903" s="622" t="s">
        <v>260</v>
      </c>
      <c r="G903" s="623"/>
      <c r="H903" s="622" t="s">
        <v>325</v>
      </c>
      <c r="I903" s="622"/>
      <c r="J903" s="622"/>
      <c r="K903" s="622"/>
      <c r="L903" s="622"/>
      <c r="M903" s="622"/>
      <c r="N903" s="622"/>
      <c r="O903" s="622"/>
      <c r="P903" s="622" t="s">
        <v>261</v>
      </c>
      <c r="Q903" s="622"/>
      <c r="R903" s="622"/>
      <c r="S903" s="622"/>
      <c r="T903" s="622"/>
      <c r="U903" s="622"/>
      <c r="V903" s="597"/>
      <c r="W903" s="597"/>
      <c r="X903" s="597" t="s">
        <v>1569</v>
      </c>
      <c r="Y903" s="597"/>
      <c r="Z903" s="622"/>
      <c r="AA903" s="622"/>
      <c r="AB903" s="595">
        <f>Z903*8+AA903</f>
        <v>0</v>
      </c>
      <c r="AC903" s="622"/>
      <c r="AD903" s="622"/>
      <c r="AE903" s="608" t="s">
        <v>1570</v>
      </c>
      <c r="AF903" s="622"/>
      <c r="AG903" s="622"/>
      <c r="AH903" s="622"/>
      <c r="AI903" s="622"/>
      <c r="AJ903" s="622"/>
      <c r="AK903" s="386"/>
      <c r="AL903" s="366"/>
    </row>
    <row r="904" spans="1:38" ht="45.75" customHeight="1" outlineLevel="1">
      <c r="X904" s="403" t="s">
        <v>2031</v>
      </c>
      <c r="Y904" s="417" t="s">
        <v>2032</v>
      </c>
      <c r="Z904" s="404">
        <v>0</v>
      </c>
      <c r="AA904" s="404">
        <v>0</v>
      </c>
      <c r="AB904" s="404">
        <v>0</v>
      </c>
      <c r="AC904" s="404">
        <v>2</v>
      </c>
      <c r="AD904" s="404" t="s">
        <v>2033</v>
      </c>
      <c r="AE904" s="2383" t="s">
        <v>2034</v>
      </c>
      <c r="AF904" s="403" t="s">
        <v>398</v>
      </c>
      <c r="AG904" s="403" t="s">
        <v>398</v>
      </c>
      <c r="AH904" s="403" t="s">
        <v>398</v>
      </c>
      <c r="AI904" s="403" t="s">
        <v>398</v>
      </c>
      <c r="AJ904" s="403" t="s">
        <v>398</v>
      </c>
    </row>
    <row r="905" spans="1:38" ht="30.75" customHeight="1" outlineLevel="1">
      <c r="X905" s="2384" t="s">
        <v>2035</v>
      </c>
      <c r="Y905" s="403" t="s">
        <v>2036</v>
      </c>
      <c r="Z905" s="349">
        <v>1</v>
      </c>
      <c r="AA905" s="349">
        <v>0</v>
      </c>
      <c r="AB905" s="349">
        <v>8</v>
      </c>
      <c r="AC905" s="349">
        <v>5</v>
      </c>
      <c r="AD905" s="349"/>
      <c r="AE905" s="403" t="s">
        <v>1598</v>
      </c>
      <c r="AF905" s="403" t="s">
        <v>398</v>
      </c>
      <c r="AG905" s="403" t="s">
        <v>398</v>
      </c>
      <c r="AH905" s="403" t="s">
        <v>1599</v>
      </c>
      <c r="AI905" s="403" t="s">
        <v>398</v>
      </c>
      <c r="AJ905" s="403" t="s">
        <v>692</v>
      </c>
    </row>
    <row r="906" spans="1:38" ht="14.25" customHeight="1" outlineLevel="1">
      <c r="X906" s="2385" t="s">
        <v>2037</v>
      </c>
      <c r="Y906" s="403" t="s">
        <v>2038</v>
      </c>
      <c r="Z906" s="440">
        <v>2</v>
      </c>
      <c r="AA906" s="440">
        <v>0</v>
      </c>
      <c r="AB906" s="440">
        <v>16</v>
      </c>
      <c r="AC906" s="440">
        <v>6</v>
      </c>
      <c r="AD906" s="440"/>
      <c r="AE906" s="441" t="s">
        <v>1602</v>
      </c>
      <c r="AF906" s="441" t="s">
        <v>398</v>
      </c>
      <c r="AG906" s="441" t="s">
        <v>398</v>
      </c>
      <c r="AH906" s="441" t="s">
        <v>801</v>
      </c>
      <c r="AI906" s="441" t="s">
        <v>398</v>
      </c>
      <c r="AJ906" s="441" t="s">
        <v>1603</v>
      </c>
    </row>
    <row r="907" spans="1:38" ht="14.25" customHeight="1">
      <c r="X907" s="407" t="s">
        <v>2039</v>
      </c>
      <c r="Y907" s="403" t="s">
        <v>2040</v>
      </c>
      <c r="Z907" s="349">
        <v>3</v>
      </c>
      <c r="AA907" s="349">
        <v>0</v>
      </c>
      <c r="AB907" s="349">
        <v>24</v>
      </c>
      <c r="AC907" s="349">
        <v>6</v>
      </c>
      <c r="AD907" s="349"/>
      <c r="AE907" s="403" t="s">
        <v>2041</v>
      </c>
      <c r="AF907" s="403">
        <v>0.1</v>
      </c>
      <c r="AG907" s="403">
        <v>0</v>
      </c>
      <c r="AH907" s="442" t="s">
        <v>2042</v>
      </c>
      <c r="AI907" s="403"/>
      <c r="AJ907" s="403" t="s">
        <v>1007</v>
      </c>
    </row>
    <row r="908" spans="1:38" ht="14.25" customHeight="1">
      <c r="X908" s="66"/>
    </row>
    <row r="909" spans="1:38" ht="18" customHeight="1">
      <c r="A909" s="181">
        <v>124</v>
      </c>
      <c r="B909" s="734" t="s">
        <v>867</v>
      </c>
      <c r="C909" s="734" t="s">
        <v>2043</v>
      </c>
      <c r="D909" s="734" t="s">
        <v>259</v>
      </c>
      <c r="E909" s="734">
        <v>8</v>
      </c>
      <c r="F909" s="734" t="s">
        <v>260</v>
      </c>
      <c r="G909" s="735"/>
      <c r="H909" s="734" t="s">
        <v>325</v>
      </c>
      <c r="I909" s="734"/>
      <c r="J909" s="734"/>
      <c r="K909" s="734"/>
      <c r="L909" s="734"/>
      <c r="M909" s="734"/>
      <c r="N909" s="734"/>
      <c r="O909" s="734"/>
      <c r="P909" s="734" t="s">
        <v>261</v>
      </c>
      <c r="Q909" s="734"/>
      <c r="R909" s="734"/>
      <c r="S909" s="734"/>
      <c r="T909" s="734"/>
      <c r="U909" s="734"/>
      <c r="V909" s="736"/>
      <c r="W909" s="736"/>
      <c r="X909" s="736" t="s">
        <v>2044</v>
      </c>
      <c r="Y909" s="736"/>
      <c r="Z909" s="734"/>
      <c r="AA909" s="734"/>
      <c r="AB909" s="737">
        <f>Z909*8+AA909</f>
        <v>0</v>
      </c>
      <c r="AC909" s="734"/>
      <c r="AD909" s="734"/>
      <c r="AE909" s="738" t="s">
        <v>2045</v>
      </c>
      <c r="AF909" s="734"/>
      <c r="AG909" s="734"/>
      <c r="AH909" s="734"/>
      <c r="AI909" s="734"/>
      <c r="AJ909" s="734"/>
    </row>
    <row r="910" spans="1:38" ht="14.25" customHeight="1">
      <c r="X910" s="596" t="s">
        <v>2046</v>
      </c>
      <c r="Y910" s="56" t="s">
        <v>2047</v>
      </c>
      <c r="Z910" s="49">
        <v>0</v>
      </c>
      <c r="AA910" s="49">
        <v>0</v>
      </c>
      <c r="AB910" s="49">
        <v>0</v>
      </c>
      <c r="AC910" s="49">
        <v>1</v>
      </c>
      <c r="AE910" s="49" t="s">
        <v>2048</v>
      </c>
    </row>
    <row r="911" spans="1:38" ht="18" customHeight="1">
      <c r="A911" s="181">
        <v>125</v>
      </c>
      <c r="B911" s="113" t="s">
        <v>2049</v>
      </c>
      <c r="C911" s="734" t="s">
        <v>2050</v>
      </c>
      <c r="D911" s="734" t="s">
        <v>259</v>
      </c>
      <c r="E911" s="734">
        <v>8</v>
      </c>
      <c r="F911" s="734" t="s">
        <v>260</v>
      </c>
      <c r="G911" s="113"/>
      <c r="H911" s="734" t="s">
        <v>261</v>
      </c>
      <c r="I911" s="113"/>
      <c r="J911" s="113"/>
      <c r="K911" s="113"/>
      <c r="L911" s="113"/>
      <c r="M911" s="113"/>
      <c r="N911" s="113"/>
      <c r="O911" s="113"/>
      <c r="P911" s="734" t="s">
        <v>325</v>
      </c>
      <c r="Q911" s="113"/>
      <c r="R911" s="113"/>
      <c r="S911" s="113"/>
      <c r="T911" s="113"/>
      <c r="U911" s="113"/>
      <c r="V911" s="443"/>
      <c r="W911" s="443"/>
      <c r="X911" s="558" t="s">
        <v>2051</v>
      </c>
      <c r="Y911" s="443"/>
      <c r="Z911" s="113"/>
      <c r="AA911" s="113"/>
      <c r="AB911" s="113"/>
      <c r="AC911" s="113"/>
      <c r="AD911" s="113"/>
      <c r="AE911" s="113"/>
      <c r="AF911" s="113"/>
      <c r="AG911" s="113"/>
      <c r="AH911" s="113"/>
      <c r="AI911" s="113"/>
      <c r="AJ911" s="113"/>
      <c r="AL911" s="108" t="s">
        <v>2052</v>
      </c>
    </row>
    <row r="912" spans="1:38" ht="28.5"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63"/>
      <c r="W912" s="163"/>
      <c r="X912" s="444" t="s">
        <v>2053</v>
      </c>
      <c r="Y912" s="403" t="s">
        <v>2054</v>
      </c>
      <c r="Z912" s="43">
        <v>0</v>
      </c>
      <c r="AA912" s="445">
        <v>0</v>
      </c>
      <c r="AB912" s="445">
        <v>0</v>
      </c>
      <c r="AC912" s="445">
        <v>1</v>
      </c>
      <c r="AD912" s="445"/>
      <c r="AE912" s="2386" t="s">
        <v>1997</v>
      </c>
      <c r="AF912" s="445">
        <v>1</v>
      </c>
      <c r="AG912" s="445">
        <v>0</v>
      </c>
      <c r="AH912" s="445"/>
      <c r="AI912" s="445">
        <v>0</v>
      </c>
      <c r="AJ912" s="445"/>
    </row>
    <row r="913" spans="1:40" ht="27.75" customHeight="1">
      <c r="X913" s="448" t="s">
        <v>1998</v>
      </c>
      <c r="Y913" s="403" t="s">
        <v>2055</v>
      </c>
      <c r="Z913" s="449">
        <v>0</v>
      </c>
      <c r="AA913" s="450">
        <v>1</v>
      </c>
      <c r="AB913" s="450">
        <v>1</v>
      </c>
      <c r="AC913" s="450">
        <v>5</v>
      </c>
      <c r="AD913" s="450"/>
      <c r="AE913" s="450" t="s">
        <v>2056</v>
      </c>
      <c r="AF913" s="450">
        <v>1</v>
      </c>
      <c r="AG913" s="450">
        <v>-8</v>
      </c>
      <c r="AH913" s="451" t="s">
        <v>2057</v>
      </c>
      <c r="AI913" s="450">
        <v>0</v>
      </c>
      <c r="AJ913" s="452" t="s">
        <v>508</v>
      </c>
    </row>
    <row r="914" spans="1:40" ht="15" customHeight="1">
      <c r="X914" s="453" t="s">
        <v>2058</v>
      </c>
      <c r="Y914" s="403" t="s">
        <v>2059</v>
      </c>
      <c r="Z914" s="449">
        <v>0</v>
      </c>
      <c r="AA914" s="449">
        <v>6</v>
      </c>
      <c r="AB914" s="449">
        <v>6</v>
      </c>
      <c r="AC914" s="449">
        <v>1</v>
      </c>
      <c r="AD914" s="449"/>
      <c r="AE914" s="449"/>
      <c r="AF914" s="449"/>
      <c r="AG914" s="449"/>
      <c r="AH914" s="449"/>
      <c r="AI914" s="449"/>
      <c r="AJ914" s="449"/>
    </row>
    <row r="915" spans="1:40" ht="14.25" customHeight="1">
      <c r="X915" s="193" t="s">
        <v>2060</v>
      </c>
      <c r="Y915" s="403" t="s">
        <v>2061</v>
      </c>
      <c r="Z915" s="43">
        <v>0</v>
      </c>
      <c r="AA915" s="43">
        <v>7</v>
      </c>
      <c r="AB915" s="43">
        <v>7</v>
      </c>
      <c r="AC915" s="43">
        <v>1</v>
      </c>
      <c r="AD915" s="43"/>
      <c r="AE915" s="2387" t="s">
        <v>2062</v>
      </c>
      <c r="AF915" s="43"/>
      <c r="AG915" s="43"/>
      <c r="AH915" s="43"/>
      <c r="AI915" s="43"/>
      <c r="AJ915" s="43"/>
    </row>
    <row r="916" spans="1:40" ht="14.25" customHeight="1">
      <c r="X916" s="430" t="s">
        <v>2063</v>
      </c>
      <c r="Y916" s="431" t="s">
        <v>2064</v>
      </c>
      <c r="Z916" s="404">
        <v>1</v>
      </c>
      <c r="AA916" s="404">
        <v>0</v>
      </c>
      <c r="AB916" s="404">
        <v>8</v>
      </c>
      <c r="AC916" s="404">
        <v>5</v>
      </c>
      <c r="AD916" s="404" t="s">
        <v>286</v>
      </c>
      <c r="AE916" s="403" t="s">
        <v>1598</v>
      </c>
      <c r="AF916" s="367" t="s">
        <v>398</v>
      </c>
      <c r="AG916" s="367" t="s">
        <v>398</v>
      </c>
      <c r="AH916" s="367" t="s">
        <v>1599</v>
      </c>
      <c r="AI916" s="367" t="s">
        <v>398</v>
      </c>
      <c r="AJ916" s="367" t="s">
        <v>692</v>
      </c>
      <c r="AK916" s="127"/>
    </row>
    <row r="917" spans="1:40" ht="30.75" customHeight="1">
      <c r="X917" s="430" t="s">
        <v>2065</v>
      </c>
      <c r="Y917" s="431" t="s">
        <v>2066</v>
      </c>
      <c r="Z917" s="404">
        <v>2</v>
      </c>
      <c r="AA917" s="404">
        <v>0</v>
      </c>
      <c r="AB917" s="404">
        <v>16</v>
      </c>
      <c r="AC917" s="404">
        <v>6</v>
      </c>
      <c r="AD917" s="404" t="s">
        <v>286</v>
      </c>
      <c r="AE917" s="403" t="s">
        <v>1602</v>
      </c>
      <c r="AF917" s="367" t="s">
        <v>398</v>
      </c>
      <c r="AG917" s="367" t="s">
        <v>398</v>
      </c>
      <c r="AH917" s="367" t="s">
        <v>801</v>
      </c>
      <c r="AI917" s="367" t="s">
        <v>398</v>
      </c>
      <c r="AJ917" s="367" t="s">
        <v>1603</v>
      </c>
      <c r="AK917" s="127"/>
    </row>
    <row r="918" spans="1:40" ht="14.25" customHeight="1">
      <c r="X918" s="403" t="s">
        <v>2031</v>
      </c>
      <c r="Y918" s="431" t="s">
        <v>2067</v>
      </c>
      <c r="Z918" s="404">
        <v>2</v>
      </c>
      <c r="AA918" s="404">
        <v>6</v>
      </c>
      <c r="AB918" s="404">
        <v>22</v>
      </c>
      <c r="AC918" s="404">
        <v>2</v>
      </c>
      <c r="AD918" s="404" t="s">
        <v>398</v>
      </c>
      <c r="AE918" s="2388" t="s">
        <v>2068</v>
      </c>
      <c r="AF918" s="367" t="s">
        <v>398</v>
      </c>
      <c r="AG918" s="367" t="s">
        <v>398</v>
      </c>
      <c r="AH918" s="367" t="s">
        <v>398</v>
      </c>
      <c r="AI918" s="367" t="s">
        <v>398</v>
      </c>
      <c r="AJ918" s="367" t="s">
        <v>398</v>
      </c>
      <c r="AK918" s="127"/>
    </row>
    <row r="919" spans="1:40" ht="14.25" customHeight="1">
      <c r="X919" s="596"/>
    </row>
    <row r="920" spans="1:40" ht="18" customHeight="1">
      <c r="A920" s="181">
        <v>125</v>
      </c>
      <c r="B920" s="113" t="s">
        <v>2069</v>
      </c>
      <c r="C920" s="765" t="s">
        <v>2070</v>
      </c>
      <c r="D920" s="765" t="s">
        <v>1932</v>
      </c>
      <c r="E920" s="765">
        <v>8</v>
      </c>
      <c r="F920" s="765" t="s">
        <v>260</v>
      </c>
      <c r="G920" s="113" t="s">
        <v>325</v>
      </c>
      <c r="H920" s="765" t="s">
        <v>261</v>
      </c>
      <c r="I920" s="113"/>
      <c r="J920" s="113"/>
      <c r="K920" s="113"/>
      <c r="L920" s="113"/>
      <c r="M920" s="113"/>
      <c r="N920" s="113"/>
      <c r="O920" s="113"/>
      <c r="P920" s="765" t="s">
        <v>325</v>
      </c>
      <c r="Q920" s="113"/>
      <c r="R920" s="113"/>
      <c r="S920" s="113"/>
      <c r="T920" s="113"/>
      <c r="U920" s="113"/>
      <c r="V920" s="1263"/>
      <c r="W920" s="1263"/>
      <c r="X920" s="558" t="s">
        <v>2071</v>
      </c>
      <c r="Y920" s="1263"/>
      <c r="Z920" s="113"/>
      <c r="AA920" s="113"/>
      <c r="AB920" s="113"/>
      <c r="AC920" s="113"/>
      <c r="AD920" s="113"/>
      <c r="AE920" s="113"/>
      <c r="AF920" s="113"/>
      <c r="AG920" s="113"/>
      <c r="AH920" s="113"/>
      <c r="AI920" s="113"/>
      <c r="AJ920" s="113"/>
      <c r="AK920" s="1363"/>
      <c r="AL920" s="364" t="s">
        <v>2052</v>
      </c>
      <c r="AM920" s="1363"/>
      <c r="AN920" s="1363"/>
    </row>
    <row r="921" spans="1:40" ht="28.5" customHeight="1" outlineLevel="1">
      <c r="A921" s="364"/>
      <c r="B921" s="364"/>
      <c r="C921" s="364"/>
      <c r="D921" s="364"/>
      <c r="E921" s="364"/>
      <c r="F921" s="364"/>
      <c r="G921" s="364"/>
      <c r="H921" s="364"/>
      <c r="I921" s="364"/>
      <c r="J921" s="364"/>
      <c r="K921" s="364"/>
      <c r="L921" s="364"/>
      <c r="M921" s="364"/>
      <c r="N921" s="364"/>
      <c r="O921" s="364"/>
      <c r="P921" s="364"/>
      <c r="Q921" s="364"/>
      <c r="R921" s="364"/>
      <c r="S921" s="364"/>
      <c r="T921" s="364"/>
      <c r="U921" s="364"/>
      <c r="V921" s="163"/>
      <c r="W921" s="163"/>
      <c r="X921" s="2389" t="s">
        <v>2072</v>
      </c>
      <c r="Y921" s="1373" t="s">
        <v>2073</v>
      </c>
      <c r="Z921" s="1373">
        <v>0</v>
      </c>
      <c r="AA921" s="1364">
        <v>0</v>
      </c>
      <c r="AB921" s="1364">
        <v>0</v>
      </c>
      <c r="AC921" s="1364">
        <v>8</v>
      </c>
      <c r="AD921" s="1364" t="s">
        <v>286</v>
      </c>
      <c r="AE921" s="1412" t="s">
        <v>2074</v>
      </c>
      <c r="AF921" s="1364">
        <v>1</v>
      </c>
      <c r="AG921" s="1364">
        <v>-90</v>
      </c>
      <c r="AH921" s="1364"/>
      <c r="AI921" s="1364"/>
      <c r="AJ921" s="1364" t="s">
        <v>2075</v>
      </c>
      <c r="AK921" s="1363"/>
      <c r="AL921" s="364"/>
      <c r="AM921" s="1363"/>
      <c r="AN921" s="1363"/>
    </row>
    <row r="922" spans="1:40" ht="27.75" customHeight="1" outlineLevel="1">
      <c r="A922" s="1363"/>
      <c r="B922" s="1363"/>
      <c r="C922" s="1363"/>
      <c r="D922" s="1363"/>
      <c r="E922" s="1363"/>
      <c r="F922" s="1363"/>
      <c r="G922" s="1363"/>
      <c r="H922" s="1363"/>
      <c r="I922" s="1363"/>
      <c r="J922" s="1363"/>
      <c r="K922" s="1363"/>
      <c r="L922" s="1363"/>
      <c r="M922" s="1363"/>
      <c r="N922" s="1363"/>
      <c r="O922" s="1363"/>
      <c r="P922" s="1363"/>
      <c r="Q922" s="1363"/>
      <c r="R922" s="1363"/>
      <c r="S922" s="1363"/>
      <c r="T922" s="1363"/>
      <c r="U922" s="1363"/>
      <c r="V922" s="117"/>
      <c r="W922" s="117"/>
      <c r="X922" s="2390" t="s">
        <v>2076</v>
      </c>
      <c r="Y922" s="1373" t="s">
        <v>2077</v>
      </c>
      <c r="Z922" s="1331">
        <v>1</v>
      </c>
      <c r="AA922" s="450">
        <v>0</v>
      </c>
      <c r="AB922" s="450">
        <v>8</v>
      </c>
      <c r="AC922" s="450">
        <v>8</v>
      </c>
      <c r="AD922" s="1364" t="s">
        <v>286</v>
      </c>
      <c r="AE922" s="1412" t="s">
        <v>2074</v>
      </c>
      <c r="AF922" s="450">
        <v>1</v>
      </c>
      <c r="AG922" s="1364">
        <v>-90</v>
      </c>
      <c r="AH922" s="451"/>
      <c r="AI922" s="450"/>
      <c r="AJ922" s="452" t="s">
        <v>2075</v>
      </c>
      <c r="AK922" s="1363"/>
      <c r="AL922" s="364"/>
      <c r="AM922" s="1363"/>
      <c r="AN922" s="1363"/>
    </row>
    <row r="923" spans="1:40" ht="15" customHeight="1" outlineLevel="1">
      <c r="A923" s="1363"/>
      <c r="B923" s="1363"/>
      <c r="C923" s="1363"/>
      <c r="D923" s="1363"/>
      <c r="E923" s="1363"/>
      <c r="F923" s="1363"/>
      <c r="G923" s="1363"/>
      <c r="H923" s="1363"/>
      <c r="I923" s="1363"/>
      <c r="J923" s="1363"/>
      <c r="K923" s="1363"/>
      <c r="L923" s="1363"/>
      <c r="M923" s="1363"/>
      <c r="N923" s="1363"/>
      <c r="O923" s="1363"/>
      <c r="P923" s="1363"/>
      <c r="Q923" s="1363"/>
      <c r="R923" s="1363"/>
      <c r="S923" s="1363"/>
      <c r="T923" s="1363"/>
      <c r="U923" s="1363"/>
      <c r="V923" s="117"/>
      <c r="W923" s="117"/>
      <c r="X923" s="1378"/>
      <c r="Y923" s="1373"/>
      <c r="Z923" s="1331"/>
      <c r="AA923" s="1331"/>
      <c r="AB923" s="1331"/>
      <c r="AC923" s="1331"/>
      <c r="AD923" s="1331"/>
      <c r="AE923" s="1331"/>
      <c r="AF923" s="1331"/>
      <c r="AG923" s="1331"/>
      <c r="AH923" s="1331"/>
      <c r="AI923" s="1331"/>
      <c r="AJ923" s="1331"/>
      <c r="AK923" s="1363"/>
      <c r="AL923" s="364"/>
      <c r="AM923" s="1363"/>
      <c r="AN923" s="1363"/>
    </row>
    <row r="924" spans="1:40" ht="14.25" customHeight="1" outlineLevel="1">
      <c r="A924" s="1363"/>
      <c r="B924" s="1363"/>
      <c r="C924" s="1363"/>
      <c r="D924" s="1363"/>
      <c r="E924" s="1363"/>
      <c r="F924" s="1363"/>
      <c r="G924" s="1363"/>
      <c r="H924" s="1363"/>
      <c r="I924" s="1363"/>
      <c r="J924" s="1363"/>
      <c r="K924" s="1363"/>
      <c r="L924" s="1363"/>
      <c r="M924" s="1363"/>
      <c r="N924" s="1363"/>
      <c r="O924" s="1363"/>
      <c r="P924" s="1363"/>
      <c r="Q924" s="1363"/>
      <c r="R924" s="1363"/>
      <c r="S924" s="1363"/>
      <c r="T924" s="1363"/>
      <c r="U924" s="1363"/>
      <c r="V924" s="117"/>
      <c r="W924" s="117"/>
      <c r="X924" s="1398"/>
      <c r="Y924" s="1373"/>
      <c r="Z924" s="1373"/>
      <c r="AA924" s="1373"/>
      <c r="AB924" s="1373"/>
      <c r="AC924" s="1373"/>
      <c r="AD924" s="1373"/>
      <c r="AE924" s="1412"/>
      <c r="AF924" s="1373"/>
      <c r="AG924" s="1373"/>
      <c r="AH924" s="1373"/>
      <c r="AI924" s="1373"/>
      <c r="AJ924" s="1373"/>
      <c r="AK924" s="1363"/>
      <c r="AL924" s="364"/>
      <c r="AM924" s="1363"/>
      <c r="AN924" s="1363"/>
    </row>
    <row r="925" spans="1:40" ht="14.25" customHeight="1" outlineLevel="1">
      <c r="A925" s="1363"/>
      <c r="B925" s="1363"/>
      <c r="C925" s="1363"/>
      <c r="D925" s="1363"/>
      <c r="E925" s="1363"/>
      <c r="F925" s="1363"/>
      <c r="G925" s="1363"/>
      <c r="H925" s="1363"/>
      <c r="I925" s="1363"/>
      <c r="J925" s="1363"/>
      <c r="K925" s="1363"/>
      <c r="L925" s="1363"/>
      <c r="M925" s="1363"/>
      <c r="N925" s="1363"/>
      <c r="O925" s="1363"/>
      <c r="P925" s="1363"/>
      <c r="Q925" s="1363"/>
      <c r="R925" s="1363"/>
      <c r="S925" s="1363"/>
      <c r="T925" s="1363"/>
      <c r="U925" s="1363"/>
      <c r="V925" s="117"/>
      <c r="W925" s="117"/>
      <c r="X925" s="430"/>
      <c r="Y925" s="431"/>
      <c r="Z925" s="1420"/>
      <c r="AA925" s="1420"/>
      <c r="AB925" s="1420"/>
      <c r="AC925" s="1420"/>
      <c r="AD925" s="1420"/>
      <c r="AE925" s="1373"/>
      <c r="AF925" s="1375"/>
      <c r="AG925" s="1375"/>
      <c r="AH925" s="1375"/>
      <c r="AI925" s="1375"/>
      <c r="AJ925" s="1375"/>
      <c r="AK925" s="1262"/>
      <c r="AL925" s="364"/>
      <c r="AM925" s="1363"/>
      <c r="AN925" s="1363"/>
    </row>
    <row r="926" spans="1:40" ht="30.75" customHeight="1" outlineLevel="1">
      <c r="A926" s="1363"/>
      <c r="B926" s="1363"/>
      <c r="C926" s="1363"/>
      <c r="D926" s="1363"/>
      <c r="E926" s="1363"/>
      <c r="F926" s="1363"/>
      <c r="G926" s="1363"/>
      <c r="H926" s="1363"/>
      <c r="I926" s="1363"/>
      <c r="J926" s="1363"/>
      <c r="K926" s="1363"/>
      <c r="L926" s="1363"/>
      <c r="M926" s="1363"/>
      <c r="N926" s="1363"/>
      <c r="O926" s="1363"/>
      <c r="P926" s="1363"/>
      <c r="Q926" s="1363"/>
      <c r="R926" s="1363"/>
      <c r="S926" s="1363"/>
      <c r="T926" s="1363"/>
      <c r="U926" s="1363"/>
      <c r="V926" s="117"/>
      <c r="W926" s="117"/>
      <c r="X926" s="430"/>
      <c r="Y926" s="431"/>
      <c r="Z926" s="1420"/>
      <c r="AA926" s="1420"/>
      <c r="AB926" s="1420"/>
      <c r="AC926" s="1420"/>
      <c r="AD926" s="1420"/>
      <c r="AE926" s="1373"/>
      <c r="AF926" s="1375"/>
      <c r="AG926" s="1375"/>
      <c r="AH926" s="1375"/>
      <c r="AI926" s="1375"/>
      <c r="AJ926" s="1375"/>
      <c r="AK926" s="1262"/>
      <c r="AL926" s="364"/>
      <c r="AM926" s="1363"/>
      <c r="AN926" s="1363"/>
    </row>
    <row r="927" spans="1:40" ht="14.25" customHeight="1" outlineLevel="1">
      <c r="A927" s="1363"/>
      <c r="B927" s="1363"/>
      <c r="C927" s="1363"/>
      <c r="D927" s="1363"/>
      <c r="E927" s="1363"/>
      <c r="F927" s="1363"/>
      <c r="G927" s="1363"/>
      <c r="H927" s="1363"/>
      <c r="I927" s="1363"/>
      <c r="J927" s="1363"/>
      <c r="K927" s="1363"/>
      <c r="L927" s="1363"/>
      <c r="M927" s="1363"/>
      <c r="N927" s="1363"/>
      <c r="O927" s="1363"/>
      <c r="P927" s="1363"/>
      <c r="Q927" s="1363"/>
      <c r="R927" s="1363"/>
      <c r="S927" s="1363"/>
      <c r="T927" s="1363"/>
      <c r="U927" s="1363"/>
      <c r="V927" s="117"/>
      <c r="W927" s="117"/>
      <c r="X927" s="1373"/>
      <c r="Y927" s="431"/>
      <c r="Z927" s="1420"/>
      <c r="AA927" s="1420"/>
      <c r="AB927" s="1420"/>
      <c r="AC927" s="1420"/>
      <c r="AD927" s="1420"/>
      <c r="AE927" s="1373"/>
      <c r="AF927" s="1375"/>
      <c r="AG927" s="1375"/>
      <c r="AH927" s="1375"/>
      <c r="AI927" s="1375"/>
      <c r="AJ927" s="1375"/>
      <c r="AK927" s="1262"/>
      <c r="AL927" s="364"/>
      <c r="AM927" s="1363"/>
      <c r="AN927" s="1363"/>
    </row>
    <row r="928" spans="1:40" ht="18" customHeight="1">
      <c r="A928" s="765">
        <v>14</v>
      </c>
      <c r="B928" s="765" t="s">
        <v>593</v>
      </c>
      <c r="C928" s="645" t="s">
        <v>2078</v>
      </c>
      <c r="D928" s="765" t="s">
        <v>401</v>
      </c>
      <c r="E928" s="765">
        <v>8</v>
      </c>
      <c r="F928" s="765" t="s">
        <v>260</v>
      </c>
      <c r="G928" s="816" t="s">
        <v>261</v>
      </c>
      <c r="H928" s="765" t="s">
        <v>325</v>
      </c>
      <c r="I928" s="765"/>
      <c r="J928" s="765"/>
      <c r="K928" s="765"/>
      <c r="L928" s="765"/>
      <c r="M928" s="765"/>
      <c r="N928" s="765"/>
      <c r="O928" s="765"/>
      <c r="P928" s="765" t="s">
        <v>325</v>
      </c>
      <c r="Q928" s="765"/>
      <c r="R928" s="765"/>
      <c r="S928" s="765"/>
      <c r="T928" s="765"/>
      <c r="U928" s="765"/>
      <c r="V928" s="821"/>
      <c r="W928" s="821"/>
      <c r="X928" s="821" t="s">
        <v>2079</v>
      </c>
      <c r="Y928" s="821"/>
      <c r="Z928" s="765"/>
      <c r="AA928" s="765"/>
      <c r="AB928" s="1420"/>
      <c r="AC928" s="765"/>
      <c r="AD928" s="765"/>
      <c r="AE928" s="645"/>
      <c r="AF928" s="765"/>
      <c r="AG928" s="765"/>
      <c r="AH928" s="765"/>
      <c r="AI928" s="765"/>
      <c r="AJ928" s="765"/>
      <c r="AK928" s="212"/>
      <c r="AL928" s="364" t="s">
        <v>404</v>
      </c>
      <c r="AM928" s="1363"/>
      <c r="AN928" s="1363"/>
    </row>
    <row r="929" spans="1:50" ht="43.5" customHeight="1" outlineLevel="1">
      <c r="A929" s="1363"/>
      <c r="B929" s="129"/>
      <c r="C929" s="101"/>
      <c r="D929" s="101"/>
      <c r="E929" s="101"/>
      <c r="F929" s="106"/>
      <c r="G929" s="1363" t="s">
        <v>261</v>
      </c>
      <c r="H929" s="1262" t="s">
        <v>325</v>
      </c>
      <c r="I929" s="1262"/>
      <c r="J929" s="1262"/>
      <c r="K929" s="1262"/>
      <c r="L929" s="1262"/>
      <c r="M929" s="1262"/>
      <c r="N929" s="1262"/>
      <c r="O929" s="1262"/>
      <c r="P929" s="1262" t="s">
        <v>325</v>
      </c>
      <c r="Q929" s="1262"/>
      <c r="R929" s="1262"/>
      <c r="S929" s="1262"/>
      <c r="T929" s="1262"/>
      <c r="U929" s="613"/>
      <c r="V929" s="117"/>
      <c r="W929" s="117"/>
      <c r="X929" s="2391" t="s">
        <v>2080</v>
      </c>
      <c r="Y929" s="484" t="s">
        <v>2081</v>
      </c>
      <c r="Z929" s="484">
        <v>0</v>
      </c>
      <c r="AA929" s="1333">
        <v>0</v>
      </c>
      <c r="AB929" s="1420">
        <f>Z929*8+AA929</f>
        <v>0</v>
      </c>
      <c r="AC929" s="1333">
        <v>2</v>
      </c>
      <c r="AD929" s="1333"/>
      <c r="AE929" s="2392" t="s">
        <v>2082</v>
      </c>
      <c r="AF929" s="1397">
        <v>1</v>
      </c>
      <c r="AG929" s="1397"/>
      <c r="AH929" s="1397"/>
      <c r="AI929" s="1397">
        <v>0</v>
      </c>
      <c r="AJ929" s="1333"/>
      <c r="AK929" s="1262"/>
      <c r="AL929" s="364"/>
      <c r="AM929" s="1363"/>
      <c r="AN929" s="1363"/>
    </row>
    <row r="930" spans="1:50" ht="43.5" customHeight="1" outlineLevel="1">
      <c r="A930" s="1363"/>
      <c r="B930" s="129"/>
      <c r="C930" s="101"/>
      <c r="D930" s="101"/>
      <c r="E930" s="101"/>
      <c r="F930" s="106"/>
      <c r="G930" s="1363" t="s">
        <v>261</v>
      </c>
      <c r="H930" s="1262" t="s">
        <v>325</v>
      </c>
      <c r="I930" s="1262"/>
      <c r="J930" s="1262"/>
      <c r="K930" s="1262"/>
      <c r="L930" s="1262"/>
      <c r="M930" s="1262"/>
      <c r="N930" s="1262"/>
      <c r="O930" s="1262"/>
      <c r="P930" s="1262" t="s">
        <v>325</v>
      </c>
      <c r="Q930" s="1262"/>
      <c r="R930" s="1262"/>
      <c r="S930" s="1262"/>
      <c r="T930" s="1262"/>
      <c r="U930" s="613"/>
      <c r="V930" s="117"/>
      <c r="W930" s="117"/>
      <c r="X930" s="2393" t="s">
        <v>2083</v>
      </c>
      <c r="Y930" s="484" t="s">
        <v>2084</v>
      </c>
      <c r="Z930" s="484">
        <v>0</v>
      </c>
      <c r="AA930" s="1333">
        <v>2</v>
      </c>
      <c r="AB930" s="1420">
        <f>Z930*8+AA930</f>
        <v>2</v>
      </c>
      <c r="AC930" s="1333">
        <v>2</v>
      </c>
      <c r="AD930" s="1333"/>
      <c r="AE930" s="2394" t="s">
        <v>2082</v>
      </c>
      <c r="AF930" s="1397">
        <v>1</v>
      </c>
      <c r="AG930" s="1397"/>
      <c r="AH930" s="1397"/>
      <c r="AI930" s="1397">
        <v>0</v>
      </c>
      <c r="AJ930" s="1333"/>
      <c r="AK930" s="1262"/>
      <c r="AL930" s="364"/>
      <c r="AM930" s="1363"/>
      <c r="AN930" s="1363"/>
    </row>
    <row r="931" spans="1:50" ht="45.75" customHeight="1" outlineLevel="1">
      <c r="A931" s="1363"/>
      <c r="B931" s="129"/>
      <c r="C931" s="101"/>
      <c r="D931" s="101"/>
      <c r="E931" s="101"/>
      <c r="F931" s="106"/>
      <c r="G931" s="1363"/>
      <c r="H931" s="1262"/>
      <c r="I931" s="1262"/>
      <c r="J931" s="1262"/>
      <c r="K931" s="1262"/>
      <c r="L931" s="1262"/>
      <c r="M931" s="1262"/>
      <c r="N931" s="1262"/>
      <c r="O931" s="1262"/>
      <c r="P931" s="1262"/>
      <c r="Q931" s="1262"/>
      <c r="R931" s="1262"/>
      <c r="S931" s="1262"/>
      <c r="T931" s="1262"/>
      <c r="U931" s="613"/>
      <c r="V931" s="117"/>
      <c r="W931" s="117"/>
      <c r="X931" s="1398"/>
      <c r="Y931" s="684"/>
      <c r="Z931" s="684"/>
      <c r="AA931" s="1420"/>
      <c r="AB931" s="1420"/>
      <c r="AC931" s="1420"/>
      <c r="AD931" s="1420"/>
      <c r="AE931" s="1398"/>
      <c r="AF931" s="1398"/>
      <c r="AG931" s="1398"/>
      <c r="AH931" s="1398"/>
      <c r="AI931" s="1398"/>
      <c r="AJ931" s="1420"/>
      <c r="AK931" s="1262"/>
      <c r="AL931" s="364"/>
      <c r="AM931" s="1363"/>
      <c r="AN931" s="1363"/>
    </row>
    <row r="932" spans="1:50" ht="30.75" customHeight="1" outlineLevel="1">
      <c r="A932" s="1363"/>
      <c r="B932" s="129"/>
      <c r="C932" s="101"/>
      <c r="D932" s="101"/>
      <c r="E932" s="101"/>
      <c r="F932" s="106"/>
      <c r="G932" s="1363"/>
      <c r="H932" s="1262"/>
      <c r="I932" s="1262"/>
      <c r="J932" s="1262"/>
      <c r="K932" s="1262"/>
      <c r="L932" s="1262"/>
      <c r="M932" s="1262"/>
      <c r="N932" s="1262"/>
      <c r="O932" s="1262"/>
      <c r="P932" s="1262"/>
      <c r="Q932" s="1262"/>
      <c r="R932" s="1262"/>
      <c r="S932" s="1262"/>
      <c r="T932" s="1262"/>
      <c r="U932" s="613"/>
      <c r="V932" s="117"/>
      <c r="W932" s="117"/>
      <c r="X932" s="1398"/>
      <c r="Y932" s="684"/>
      <c r="Z932" s="684"/>
      <c r="AA932" s="1420"/>
      <c r="AB932" s="1420"/>
      <c r="AC932" s="1420"/>
      <c r="AD932" s="1420"/>
      <c r="AE932" s="1398"/>
      <c r="AF932" s="1398"/>
      <c r="AG932" s="1398"/>
      <c r="AH932" s="1398"/>
      <c r="AI932" s="1398"/>
      <c r="AJ932" s="1420"/>
      <c r="AK932" s="1262"/>
      <c r="AL932" s="364"/>
      <c r="AM932" s="1363"/>
      <c r="AN932" s="1363"/>
    </row>
    <row r="933" spans="1:50" ht="14.25" customHeight="1" outlineLevel="1">
      <c r="A933" s="1363"/>
      <c r="B933" s="1363"/>
      <c r="C933" s="1363"/>
      <c r="D933" s="1363"/>
      <c r="E933" s="1363"/>
      <c r="F933" s="1363"/>
      <c r="G933" s="1363"/>
      <c r="H933" s="1363"/>
      <c r="I933" s="1363"/>
      <c r="J933" s="1363"/>
      <c r="K933" s="1363"/>
      <c r="L933" s="1363"/>
      <c r="M933" s="1363"/>
      <c r="N933" s="1363"/>
      <c r="O933" s="1363"/>
      <c r="P933" s="1363"/>
      <c r="Q933" s="1363"/>
      <c r="R933" s="1363"/>
      <c r="S933" s="1363"/>
      <c r="T933" s="1363"/>
      <c r="U933" s="1363"/>
      <c r="V933" s="117"/>
      <c r="W933" s="117"/>
      <c r="X933" s="1398"/>
      <c r="Y933" s="117"/>
      <c r="Z933" s="1363"/>
      <c r="AA933" s="1363"/>
      <c r="AB933" s="1363"/>
      <c r="AC933" s="1363"/>
      <c r="AD933" s="1363"/>
      <c r="AE933" s="1363"/>
      <c r="AF933" s="1363"/>
      <c r="AG933" s="1363"/>
      <c r="AH933" s="1363"/>
      <c r="AI933" s="1363"/>
      <c r="AJ933" s="1363"/>
      <c r="AK933" s="1363"/>
      <c r="AL933" s="364"/>
      <c r="AM933" s="1363"/>
      <c r="AN933" s="1363"/>
    </row>
    <row r="934" spans="1:50" ht="14.25" customHeight="1" outlineLevel="1">
      <c r="A934" s="1363"/>
      <c r="B934" s="1363"/>
      <c r="C934" s="1363"/>
      <c r="D934" s="1363"/>
      <c r="E934" s="1363"/>
      <c r="F934" s="1363"/>
      <c r="G934" s="1363"/>
      <c r="H934" s="1363"/>
      <c r="I934" s="1363"/>
      <c r="J934" s="1363"/>
      <c r="K934" s="1363"/>
      <c r="L934" s="1363"/>
      <c r="M934" s="1363"/>
      <c r="N934" s="1363"/>
      <c r="O934" s="1363"/>
      <c r="P934" s="1363"/>
      <c r="Q934" s="1363"/>
      <c r="R934" s="1363"/>
      <c r="S934" s="1363"/>
      <c r="T934" s="1363"/>
      <c r="U934" s="1363"/>
      <c r="V934" s="117"/>
      <c r="W934" s="117"/>
      <c r="X934" s="1533"/>
      <c r="Y934" s="117"/>
      <c r="Z934" s="1363"/>
      <c r="AA934" s="1363"/>
      <c r="AB934" s="1363"/>
      <c r="AC934" s="1363"/>
      <c r="AD934" s="1363"/>
      <c r="AE934" s="1363"/>
      <c r="AF934" s="1363"/>
      <c r="AG934" s="1363"/>
      <c r="AH934" s="1363"/>
      <c r="AI934" s="1363"/>
      <c r="AJ934" s="1363"/>
      <c r="AK934" s="1363"/>
      <c r="AL934" s="364"/>
      <c r="AM934" s="1363"/>
      <c r="AN934" s="1363"/>
    </row>
    <row r="935" spans="1:50" s="1249" customFormat="1" ht="54.75" customHeight="1">
      <c r="A935" s="1104">
        <v>33</v>
      </c>
      <c r="B935" s="1180" t="s">
        <v>2085</v>
      </c>
      <c r="C935" s="1180" t="s">
        <v>2086</v>
      </c>
      <c r="D935" s="1180" t="s">
        <v>259</v>
      </c>
      <c r="E935" s="1180">
        <v>8</v>
      </c>
      <c r="F935" s="1180" t="s">
        <v>260</v>
      </c>
      <c r="G935" s="1185" t="s">
        <v>261</v>
      </c>
      <c r="H935" s="1185"/>
      <c r="I935" s="1104"/>
      <c r="J935" s="1104"/>
      <c r="K935" s="1104"/>
      <c r="L935" s="1104"/>
      <c r="M935" s="1104"/>
      <c r="N935" s="1104"/>
      <c r="O935" s="1104"/>
      <c r="P935" s="1104" t="s">
        <v>325</v>
      </c>
      <c r="Q935" s="1104"/>
      <c r="R935" s="1104"/>
      <c r="S935" s="1104"/>
      <c r="T935" s="1104"/>
      <c r="U935" s="1104"/>
      <c r="V935" s="1104"/>
      <c r="W935" s="1104"/>
      <c r="X935" s="1235" t="s">
        <v>2087</v>
      </c>
      <c r="Y935" s="1188"/>
      <c r="Z935" s="1104"/>
      <c r="AA935" s="1104"/>
      <c r="AB935" s="1104"/>
      <c r="AC935" s="1104"/>
      <c r="AD935" s="1104"/>
      <c r="AE935" s="1235" t="s">
        <v>2087</v>
      </c>
      <c r="AF935" s="1189"/>
      <c r="AG935" s="1104"/>
      <c r="AH935" s="1104"/>
      <c r="AI935" s="1104"/>
      <c r="AJ935" s="1104"/>
      <c r="AK935" s="1250"/>
      <c r="AL935" s="1250"/>
      <c r="AM935" s="1250"/>
      <c r="AN935" s="1250"/>
      <c r="AO935" s="1250"/>
      <c r="AP935" s="1250"/>
      <c r="AQ935" s="1250"/>
      <c r="AR935" s="1250"/>
      <c r="AS935" s="1250"/>
      <c r="AT935" s="1250"/>
      <c r="AU935" s="1250"/>
      <c r="AV935" s="1250"/>
      <c r="AW935" s="1250"/>
      <c r="AX935" s="1250"/>
    </row>
    <row r="936" spans="1:50" s="1554" customFormat="1" ht="18" customHeight="1" outlineLevel="1">
      <c r="A936" s="784"/>
      <c r="B936" s="784"/>
      <c r="C936" s="784"/>
      <c r="D936" s="784"/>
      <c r="E936" s="784"/>
      <c r="F936" s="784"/>
      <c r="G936" s="1421" t="s">
        <v>261</v>
      </c>
      <c r="H936" s="1421"/>
      <c r="I936" s="1421"/>
      <c r="J936" s="1421"/>
      <c r="K936" s="1421"/>
      <c r="L936" s="1421"/>
      <c r="M936" s="1421"/>
      <c r="N936" s="1421"/>
      <c r="O936" s="1421"/>
      <c r="P936" s="1421"/>
      <c r="Q936" s="1421"/>
      <c r="R936" s="1421"/>
      <c r="S936" s="1421"/>
      <c r="T936" s="1421"/>
      <c r="U936" s="1421"/>
      <c r="V936" s="1421"/>
      <c r="W936" s="1421"/>
      <c r="X936" s="910" t="s">
        <v>2088</v>
      </c>
      <c r="Y936" s="1392" t="s">
        <v>2089</v>
      </c>
      <c r="Z936" s="909">
        <v>0</v>
      </c>
      <c r="AA936" s="909"/>
      <c r="AB936" s="909">
        <v>0</v>
      </c>
      <c r="AC936" s="909">
        <v>16</v>
      </c>
      <c r="AD936" s="910"/>
      <c r="AE936" s="1528"/>
      <c r="AF936" s="911">
        <v>0.01</v>
      </c>
      <c r="AG936" s="909">
        <v>0</v>
      </c>
      <c r="AH936" s="909" t="s">
        <v>444</v>
      </c>
      <c r="AI936" s="909">
        <v>0</v>
      </c>
      <c r="AJ936" s="909" t="s">
        <v>904</v>
      </c>
      <c r="AK936" s="784"/>
      <c r="AL936" s="784"/>
      <c r="AM936" s="784"/>
      <c r="AN936" s="784"/>
      <c r="AO936" s="784"/>
      <c r="AP936" s="784"/>
      <c r="AQ936" s="784"/>
      <c r="AR936" s="784"/>
      <c r="AS936" s="784"/>
      <c r="AT936" s="784"/>
      <c r="AU936" s="784"/>
      <c r="AV936" s="784"/>
      <c r="AW936" s="784"/>
      <c r="AX936" s="784"/>
    </row>
    <row r="937" spans="1:50" s="1554" customFormat="1" ht="18" customHeight="1" outlineLevel="1">
      <c r="A937" s="784"/>
      <c r="B937" s="784"/>
      <c r="C937" s="784"/>
      <c r="D937" s="784"/>
      <c r="E937" s="784"/>
      <c r="F937" s="784"/>
      <c r="G937" s="1421" t="s">
        <v>261</v>
      </c>
      <c r="H937" s="1421"/>
      <c r="I937" s="1421"/>
      <c r="J937" s="1421"/>
      <c r="K937" s="1421"/>
      <c r="L937" s="1421"/>
      <c r="M937" s="1421"/>
      <c r="N937" s="1421"/>
      <c r="O937" s="1421"/>
      <c r="P937" s="1421"/>
      <c r="Q937" s="1421"/>
      <c r="R937" s="1421"/>
      <c r="S937" s="1421"/>
      <c r="T937" s="1421"/>
      <c r="U937" s="1421"/>
      <c r="V937" s="1421"/>
      <c r="W937" s="1421"/>
      <c r="X937" s="910" t="s">
        <v>2090</v>
      </c>
      <c r="Y937" s="1392" t="s">
        <v>2091</v>
      </c>
      <c r="Z937" s="909">
        <v>4</v>
      </c>
      <c r="AA937" s="909"/>
      <c r="AB937" s="909">
        <v>32</v>
      </c>
      <c r="AC937" s="909">
        <v>16</v>
      </c>
      <c r="AD937" s="910"/>
      <c r="AE937" s="1528"/>
      <c r="AF937" s="911">
        <v>0.01</v>
      </c>
      <c r="AG937" s="909">
        <v>0</v>
      </c>
      <c r="AH937" s="909" t="s">
        <v>444</v>
      </c>
      <c r="AI937" s="909">
        <v>0</v>
      </c>
      <c r="AJ937" s="909" t="s">
        <v>904</v>
      </c>
      <c r="AK937" s="784"/>
      <c r="AL937" s="784"/>
      <c r="AM937" s="784"/>
      <c r="AN937" s="784"/>
      <c r="AO937" s="784"/>
      <c r="AP937" s="784"/>
      <c r="AQ937" s="784"/>
      <c r="AR937" s="784"/>
      <c r="AS937" s="784"/>
      <c r="AT937" s="784"/>
      <c r="AU937" s="784"/>
      <c r="AV937" s="784"/>
      <c r="AW937" s="784"/>
      <c r="AX937" s="784"/>
    </row>
    <row r="938" spans="1:50" s="1249" customFormat="1" ht="14.25" customHeight="1">
      <c r="A938" s="1104">
        <v>33</v>
      </c>
      <c r="B938" s="1180" t="s">
        <v>2085</v>
      </c>
      <c r="C938" s="1180" t="s">
        <v>2092</v>
      </c>
      <c r="D938" s="1180" t="s">
        <v>259</v>
      </c>
      <c r="E938" s="1180">
        <v>8</v>
      </c>
      <c r="F938" s="1180" t="s">
        <v>260</v>
      </c>
      <c r="G938" s="1185" t="s">
        <v>261</v>
      </c>
      <c r="H938" s="1185"/>
      <c r="I938" s="1104"/>
      <c r="J938" s="1104"/>
      <c r="K938" s="1104"/>
      <c r="L938" s="1104"/>
      <c r="M938" s="1104"/>
      <c r="N938" s="1104"/>
      <c r="O938" s="1104"/>
      <c r="P938" s="1104" t="s">
        <v>325</v>
      </c>
      <c r="Q938" s="1104"/>
      <c r="R938" s="1104"/>
      <c r="S938" s="1104"/>
      <c r="T938" s="1104"/>
      <c r="U938" s="1104"/>
      <c r="V938" s="1104"/>
      <c r="W938" s="1104"/>
      <c r="X938" s="1235" t="s">
        <v>2093</v>
      </c>
      <c r="Y938" s="1188"/>
      <c r="Z938" s="1104"/>
      <c r="AA938" s="1104"/>
      <c r="AB938" s="1104"/>
      <c r="AC938" s="1104"/>
      <c r="AD938" s="1104"/>
      <c r="AE938" s="1235" t="s">
        <v>2093</v>
      </c>
      <c r="AF938" s="1189"/>
      <c r="AG938" s="1104"/>
      <c r="AH938" s="1104"/>
      <c r="AI938" s="1104"/>
      <c r="AJ938" s="1104"/>
      <c r="AK938" s="1250"/>
      <c r="AL938" s="1250"/>
      <c r="AM938" s="1250"/>
      <c r="AN938" s="1250"/>
      <c r="AO938" s="1250"/>
      <c r="AP938" s="1250"/>
      <c r="AQ938" s="1250"/>
      <c r="AR938" s="1250"/>
      <c r="AS938" s="1250"/>
      <c r="AT938" s="1250"/>
      <c r="AU938" s="1250"/>
      <c r="AV938" s="1250"/>
      <c r="AW938" s="1250"/>
      <c r="AX938" s="1250"/>
    </row>
    <row r="939" spans="1:50" s="1554" customFormat="1" ht="18" customHeight="1" outlineLevel="1">
      <c r="A939" s="784"/>
      <c r="B939" s="784"/>
      <c r="C939" s="784"/>
      <c r="D939" s="784"/>
      <c r="E939" s="784"/>
      <c r="F939" s="784"/>
      <c r="G939" s="1421" t="s">
        <v>261</v>
      </c>
      <c r="H939" s="1421"/>
      <c r="I939" s="1421"/>
      <c r="J939" s="1421"/>
      <c r="K939" s="1421"/>
      <c r="L939" s="1421"/>
      <c r="M939" s="1421"/>
      <c r="N939" s="1421"/>
      <c r="O939" s="1421"/>
      <c r="P939" s="1421"/>
      <c r="Q939" s="1421"/>
      <c r="R939" s="1421"/>
      <c r="S939" s="1421"/>
      <c r="T939" s="1421"/>
      <c r="U939" s="1421"/>
      <c r="V939" s="1421"/>
      <c r="W939" s="1421"/>
      <c r="X939" s="910" t="s">
        <v>2094</v>
      </c>
      <c r="Y939" s="913" t="s">
        <v>2095</v>
      </c>
      <c r="Z939" s="909"/>
      <c r="AA939" s="909"/>
      <c r="AB939" s="909">
        <v>0</v>
      </c>
      <c r="AC939" s="909">
        <v>16</v>
      </c>
      <c r="AD939" s="910"/>
      <c r="AE939" s="1528"/>
      <c r="AF939" s="911">
        <v>1</v>
      </c>
      <c r="AG939" s="909">
        <v>0</v>
      </c>
      <c r="AH939" s="909"/>
      <c r="AI939" s="909">
        <v>0</v>
      </c>
      <c r="AJ939" s="909"/>
      <c r="AK939" s="784"/>
      <c r="AL939" s="784"/>
      <c r="AM939" s="784"/>
      <c r="AN939" s="784"/>
      <c r="AO939" s="784"/>
      <c r="AP939" s="784"/>
      <c r="AQ939" s="784"/>
      <c r="AR939" s="784"/>
      <c r="AS939" s="784"/>
      <c r="AT939" s="784"/>
      <c r="AU939" s="784"/>
      <c r="AV939" s="784"/>
      <c r="AW939" s="784"/>
      <c r="AX939" s="784"/>
    </row>
    <row r="940" spans="1:50" s="1554" customFormat="1" ht="18" customHeight="1" outlineLevel="1">
      <c r="A940" s="784"/>
      <c r="B940" s="784"/>
      <c r="C940" s="784"/>
      <c r="D940" s="784"/>
      <c r="E940" s="784"/>
      <c r="F940" s="784"/>
      <c r="G940" s="1421" t="s">
        <v>261</v>
      </c>
      <c r="H940" s="1421"/>
      <c r="I940" s="1421"/>
      <c r="J940" s="1421"/>
      <c r="K940" s="1421"/>
      <c r="L940" s="1421"/>
      <c r="M940" s="1421"/>
      <c r="N940" s="1421"/>
      <c r="O940" s="1421"/>
      <c r="P940" s="1421"/>
      <c r="Q940" s="1421"/>
      <c r="R940" s="1421"/>
      <c r="S940" s="1421"/>
      <c r="T940" s="1421"/>
      <c r="U940" s="1421"/>
      <c r="V940" s="1421"/>
      <c r="W940" s="1421"/>
      <c r="X940" s="910" t="s">
        <v>2096</v>
      </c>
      <c r="Y940" s="913" t="s">
        <v>2097</v>
      </c>
      <c r="Z940" s="909"/>
      <c r="AA940" s="909"/>
      <c r="AB940" s="909">
        <v>16</v>
      </c>
      <c r="AC940" s="909">
        <v>16</v>
      </c>
      <c r="AD940" s="910"/>
      <c r="AE940" s="1528"/>
      <c r="AF940" s="911">
        <v>1</v>
      </c>
      <c r="AG940" s="909">
        <v>0</v>
      </c>
      <c r="AH940" s="909"/>
      <c r="AI940" s="909">
        <v>0</v>
      </c>
      <c r="AJ940" s="909"/>
      <c r="AK940" s="784"/>
      <c r="AL940" s="784"/>
      <c r="AM940" s="784"/>
      <c r="AN940" s="784"/>
      <c r="AO940" s="784"/>
      <c r="AP940" s="784"/>
      <c r="AQ940" s="784"/>
      <c r="AR940" s="784"/>
      <c r="AS940" s="784"/>
      <c r="AT940" s="784"/>
      <c r="AU940" s="784"/>
      <c r="AV940" s="784"/>
      <c r="AW940" s="784"/>
      <c r="AX940" s="784"/>
    </row>
    <row r="941" spans="1:50" s="1554" customFormat="1" ht="18" customHeight="1" outlineLevel="1">
      <c r="A941" s="784"/>
      <c r="B941" s="784"/>
      <c r="C941" s="784"/>
      <c r="D941" s="784"/>
      <c r="E941" s="784"/>
      <c r="F941" s="784"/>
      <c r="G941" s="1421" t="s">
        <v>261</v>
      </c>
      <c r="H941" s="1421"/>
      <c r="I941" s="1421"/>
      <c r="J941" s="1421"/>
      <c r="K941" s="1421"/>
      <c r="L941" s="1421"/>
      <c r="M941" s="1421"/>
      <c r="N941" s="1421"/>
      <c r="O941" s="1421"/>
      <c r="P941" s="1421"/>
      <c r="Q941" s="1421"/>
      <c r="R941" s="1421"/>
      <c r="S941" s="1421"/>
      <c r="T941" s="1421"/>
      <c r="U941" s="1421"/>
      <c r="V941" s="1421"/>
      <c r="W941" s="1421"/>
      <c r="X941" s="910" t="s">
        <v>2098</v>
      </c>
      <c r="Y941" s="913" t="s">
        <v>2099</v>
      </c>
      <c r="Z941" s="909"/>
      <c r="AA941" s="909"/>
      <c r="AB941" s="909">
        <v>32</v>
      </c>
      <c r="AC941" s="909">
        <v>16</v>
      </c>
      <c r="AD941" s="910"/>
      <c r="AE941" s="1528"/>
      <c r="AF941" s="911">
        <v>1</v>
      </c>
      <c r="AG941" s="909">
        <v>0</v>
      </c>
      <c r="AH941" s="909"/>
      <c r="AI941" s="909">
        <v>0</v>
      </c>
      <c r="AJ941" s="909"/>
      <c r="AK941" s="784"/>
      <c r="AL941" s="784"/>
      <c r="AM941" s="784"/>
      <c r="AN941" s="784"/>
      <c r="AO941" s="784"/>
      <c r="AP941" s="784"/>
      <c r="AQ941" s="784"/>
      <c r="AR941" s="784"/>
      <c r="AS941" s="784"/>
      <c r="AT941" s="784"/>
      <c r="AU941" s="784"/>
      <c r="AV941" s="784"/>
      <c r="AW941" s="784"/>
      <c r="AX941" s="784"/>
    </row>
    <row r="942" spans="1:50" s="1554" customFormat="1" ht="18" customHeight="1" outlineLevel="1">
      <c r="A942" s="784"/>
      <c r="B942" s="784"/>
      <c r="C942" s="784"/>
      <c r="D942" s="784"/>
      <c r="E942" s="784"/>
      <c r="F942" s="784"/>
      <c r="G942" s="1421" t="s">
        <v>261</v>
      </c>
      <c r="H942" s="1421"/>
      <c r="I942" s="1421"/>
      <c r="J942" s="1421"/>
      <c r="K942" s="1421"/>
      <c r="L942" s="1421"/>
      <c r="M942" s="1421"/>
      <c r="N942" s="1421"/>
      <c r="O942" s="1421"/>
      <c r="P942" s="1421"/>
      <c r="Q942" s="1421"/>
      <c r="R942" s="1421"/>
      <c r="S942" s="1421"/>
      <c r="T942" s="1421"/>
      <c r="U942" s="1421"/>
      <c r="V942" s="1421"/>
      <c r="W942" s="1421"/>
      <c r="X942" s="910" t="s">
        <v>2100</v>
      </c>
      <c r="Y942" s="913" t="s">
        <v>2101</v>
      </c>
      <c r="Z942" s="909"/>
      <c r="AA942" s="909"/>
      <c r="AB942" s="909">
        <v>48</v>
      </c>
      <c r="AC942" s="909">
        <v>16</v>
      </c>
      <c r="AD942" s="910"/>
      <c r="AE942" s="1528"/>
      <c r="AF942" s="911">
        <v>1</v>
      </c>
      <c r="AG942" s="909">
        <v>0</v>
      </c>
      <c r="AH942" s="909"/>
      <c r="AI942" s="909">
        <v>0</v>
      </c>
      <c r="AJ942" s="909"/>
      <c r="AK942" s="784"/>
      <c r="AL942" s="784"/>
      <c r="AM942" s="784"/>
      <c r="AN942" s="784"/>
      <c r="AO942" s="784"/>
      <c r="AP942" s="784"/>
      <c r="AQ942" s="784"/>
      <c r="AR942" s="784"/>
      <c r="AS942" s="784"/>
      <c r="AT942" s="784"/>
      <c r="AU942" s="784"/>
      <c r="AV942" s="784"/>
      <c r="AW942" s="784"/>
      <c r="AX942" s="784"/>
    </row>
    <row r="943" spans="1:50" s="1249" customFormat="1" ht="14.25" customHeight="1">
      <c r="A943" s="1104">
        <v>33</v>
      </c>
      <c r="B943" s="1180" t="s">
        <v>2085</v>
      </c>
      <c r="C943" s="1180" t="s">
        <v>2102</v>
      </c>
      <c r="D943" s="1180" t="s">
        <v>259</v>
      </c>
      <c r="E943" s="1180">
        <v>8</v>
      </c>
      <c r="F943" s="1180" t="s">
        <v>260</v>
      </c>
      <c r="G943" s="1185" t="s">
        <v>261</v>
      </c>
      <c r="H943" s="1185"/>
      <c r="I943" s="1104"/>
      <c r="J943" s="1104"/>
      <c r="K943" s="1104"/>
      <c r="L943" s="1104"/>
      <c r="M943" s="1104"/>
      <c r="N943" s="1104"/>
      <c r="O943" s="1104"/>
      <c r="P943" s="1104" t="s">
        <v>325</v>
      </c>
      <c r="Q943" s="1104"/>
      <c r="R943" s="1104"/>
      <c r="S943" s="1104"/>
      <c r="T943" s="1104"/>
      <c r="U943" s="1104"/>
      <c r="V943" s="1104"/>
      <c r="W943" s="1104"/>
      <c r="X943" s="1235" t="s">
        <v>2103</v>
      </c>
      <c r="Y943" s="1200"/>
      <c r="Z943" s="1104"/>
      <c r="AA943" s="1104"/>
      <c r="AB943" s="1104"/>
      <c r="AC943" s="1104"/>
      <c r="AD943" s="1104"/>
      <c r="AE943" s="1235"/>
      <c r="AF943" s="1189"/>
      <c r="AG943" s="1104"/>
      <c r="AH943" s="1104"/>
      <c r="AI943" s="1104"/>
      <c r="AJ943" s="1104"/>
      <c r="AK943" s="1250"/>
      <c r="AL943" s="1250"/>
      <c r="AM943" s="1250"/>
      <c r="AN943" s="1250"/>
      <c r="AO943" s="1250"/>
      <c r="AP943" s="1250"/>
      <c r="AQ943" s="1250"/>
      <c r="AR943" s="1250"/>
      <c r="AS943" s="1250"/>
      <c r="AT943" s="1250"/>
      <c r="AU943" s="1250"/>
      <c r="AV943" s="1250"/>
      <c r="AW943" s="1250"/>
      <c r="AX943" s="1250"/>
    </row>
    <row r="944" spans="1:50" s="1554" customFormat="1" ht="18" customHeight="1" outlineLevel="1">
      <c r="A944" s="784"/>
      <c r="B944" s="784"/>
      <c r="C944" s="784"/>
      <c r="D944" s="784"/>
      <c r="E944" s="784"/>
      <c r="F944" s="784"/>
      <c r="G944" s="1421" t="s">
        <v>261</v>
      </c>
      <c r="H944" s="1421"/>
      <c r="I944" s="1421"/>
      <c r="J944" s="1421"/>
      <c r="K944" s="1421"/>
      <c r="L944" s="1549"/>
      <c r="M944" s="1421"/>
      <c r="N944" s="1421"/>
      <c r="O944" s="1421"/>
      <c r="P944" s="1421"/>
      <c r="Q944" s="1421"/>
      <c r="R944" s="1421"/>
      <c r="S944" s="1421"/>
      <c r="T944" s="1421"/>
      <c r="U944" s="1421"/>
      <c r="V944" s="1421"/>
      <c r="W944" s="1421"/>
      <c r="X944" s="910" t="s">
        <v>2104</v>
      </c>
      <c r="Y944" s="913" t="s">
        <v>2105</v>
      </c>
      <c r="Z944" s="784"/>
      <c r="AA944" s="784"/>
      <c r="AB944" s="909">
        <v>0</v>
      </c>
      <c r="AC944" s="909">
        <v>16</v>
      </c>
      <c r="AD944" s="784"/>
      <c r="AE944" s="1528"/>
      <c r="AF944" s="1555">
        <v>1</v>
      </c>
      <c r="AG944" s="1421">
        <v>0</v>
      </c>
      <c r="AH944" s="784"/>
      <c r="AI944" s="909">
        <v>0</v>
      </c>
      <c r="AJ944" s="784"/>
      <c r="AK944" s="784"/>
      <c r="AL944" s="784"/>
      <c r="AM944" s="784"/>
      <c r="AN944" s="784"/>
      <c r="AO944" s="784"/>
      <c r="AP944" s="784"/>
      <c r="AQ944" s="784"/>
      <c r="AR944" s="784"/>
      <c r="AS944" s="784"/>
      <c r="AT944" s="784"/>
      <c r="AU944" s="784"/>
      <c r="AV944" s="784"/>
      <c r="AW944" s="784"/>
      <c r="AX944" s="784"/>
    </row>
    <row r="945" spans="1:50" s="1554" customFormat="1" ht="18" customHeight="1" outlineLevel="1">
      <c r="A945" s="784"/>
      <c r="B945" s="784"/>
      <c r="C945" s="784"/>
      <c r="D945" s="784"/>
      <c r="E945" s="784"/>
      <c r="F945" s="784"/>
      <c r="G945" s="1421" t="s">
        <v>261</v>
      </c>
      <c r="H945" s="1421"/>
      <c r="I945" s="1421"/>
      <c r="J945" s="1421"/>
      <c r="K945" s="1421"/>
      <c r="L945" s="1549"/>
      <c r="M945" s="1421"/>
      <c r="N945" s="1421"/>
      <c r="O945" s="1421"/>
      <c r="P945" s="1421"/>
      <c r="Q945" s="1421"/>
      <c r="R945" s="1421"/>
      <c r="S945" s="1421"/>
      <c r="T945" s="1421"/>
      <c r="U945" s="1421"/>
      <c r="V945" s="1421"/>
      <c r="W945" s="1421"/>
      <c r="X945" s="910" t="s">
        <v>2106</v>
      </c>
      <c r="Y945" s="913" t="s">
        <v>2107</v>
      </c>
      <c r="Z945" s="784"/>
      <c r="AA945" s="784"/>
      <c r="AB945" s="909">
        <v>16</v>
      </c>
      <c r="AC945" s="909">
        <v>16</v>
      </c>
      <c r="AD945" s="784"/>
      <c r="AE945" s="1528"/>
      <c r="AF945" s="1555">
        <v>1</v>
      </c>
      <c r="AG945" s="1421">
        <v>0</v>
      </c>
      <c r="AH945" s="784"/>
      <c r="AI945" s="909">
        <v>0</v>
      </c>
      <c r="AJ945" s="784"/>
      <c r="AK945" s="784"/>
      <c r="AL945" s="784"/>
      <c r="AM945" s="784"/>
      <c r="AN945" s="784"/>
      <c r="AO945" s="784"/>
      <c r="AP945" s="784"/>
      <c r="AQ945" s="784"/>
      <c r="AR945" s="784"/>
      <c r="AS945" s="784"/>
      <c r="AT945" s="784"/>
      <c r="AU945" s="784"/>
      <c r="AV945" s="784"/>
      <c r="AW945" s="784"/>
      <c r="AX945" s="784"/>
    </row>
    <row r="946" spans="1:50" s="1554" customFormat="1" ht="18" customHeight="1" outlineLevel="1">
      <c r="A946" s="784"/>
      <c r="B946" s="784"/>
      <c r="C946" s="784"/>
      <c r="D946" s="784"/>
      <c r="E946" s="784"/>
      <c r="F946" s="784"/>
      <c r="G946" s="1421" t="s">
        <v>261</v>
      </c>
      <c r="H946" s="1421"/>
      <c r="I946" s="1421"/>
      <c r="J946" s="1421"/>
      <c r="K946" s="1421"/>
      <c r="L946" s="1549"/>
      <c r="M946" s="1421"/>
      <c r="N946" s="1421"/>
      <c r="O946" s="1421"/>
      <c r="P946" s="1421"/>
      <c r="Q946" s="1421"/>
      <c r="R946" s="1421"/>
      <c r="S946" s="1421"/>
      <c r="T946" s="1421"/>
      <c r="U946" s="1421"/>
      <c r="V946" s="1421"/>
      <c r="W946" s="1421"/>
      <c r="X946" s="910" t="s">
        <v>2108</v>
      </c>
      <c r="Y946" s="913" t="s">
        <v>2109</v>
      </c>
      <c r="Z946" s="784"/>
      <c r="AA946" s="784"/>
      <c r="AB946" s="909">
        <v>32</v>
      </c>
      <c r="AC946" s="909">
        <v>16</v>
      </c>
      <c r="AD946" s="784"/>
      <c r="AE946" s="1528"/>
      <c r="AF946" s="1555">
        <v>1</v>
      </c>
      <c r="AG946" s="1421">
        <v>0</v>
      </c>
      <c r="AH946" s="784"/>
      <c r="AI946" s="909">
        <v>0</v>
      </c>
      <c r="AJ946" s="784"/>
      <c r="AK946" s="784"/>
      <c r="AL946" s="784"/>
      <c r="AM946" s="784"/>
      <c r="AN946" s="784"/>
      <c r="AO946" s="784"/>
      <c r="AP946" s="784"/>
      <c r="AQ946" s="784"/>
      <c r="AR946" s="784"/>
      <c r="AS946" s="784"/>
      <c r="AT946" s="784"/>
      <c r="AU946" s="784"/>
      <c r="AV946" s="784"/>
      <c r="AW946" s="784"/>
      <c r="AX946" s="784"/>
    </row>
    <row r="947" spans="1:50" s="1554" customFormat="1" ht="18" customHeight="1" outlineLevel="1">
      <c r="A947" s="784"/>
      <c r="B947" s="784"/>
      <c r="C947" s="784"/>
      <c r="D947" s="784"/>
      <c r="E947" s="784"/>
      <c r="F947" s="784"/>
      <c r="G947" s="1421" t="s">
        <v>261</v>
      </c>
      <c r="H947" s="1421"/>
      <c r="I947" s="1421"/>
      <c r="J947" s="1421"/>
      <c r="K947" s="1421"/>
      <c r="L947" s="1549"/>
      <c r="M947" s="1421"/>
      <c r="N947" s="1421"/>
      <c r="O947" s="1421"/>
      <c r="P947" s="1421"/>
      <c r="Q947" s="1421"/>
      <c r="R947" s="1421"/>
      <c r="S947" s="1421"/>
      <c r="T947" s="1421"/>
      <c r="U947" s="1421"/>
      <c r="V947" s="1421"/>
      <c r="W947" s="1421"/>
      <c r="X947" s="910" t="s">
        <v>2110</v>
      </c>
      <c r="Y947" s="913" t="s">
        <v>2111</v>
      </c>
      <c r="Z947" s="784"/>
      <c r="AA947" s="784"/>
      <c r="AB947" s="909">
        <v>48</v>
      </c>
      <c r="AC947" s="909">
        <v>16</v>
      </c>
      <c r="AD947" s="784"/>
      <c r="AE947" s="1528"/>
      <c r="AF947" s="1555">
        <v>1</v>
      </c>
      <c r="AG947" s="1421">
        <v>0</v>
      </c>
      <c r="AH947" s="784"/>
      <c r="AI947" s="909">
        <v>0</v>
      </c>
      <c r="AJ947" s="784"/>
      <c r="AK947" s="784"/>
      <c r="AL947" s="784"/>
      <c r="AM947" s="784"/>
      <c r="AN947" s="784"/>
      <c r="AO947" s="784"/>
      <c r="AP947" s="784"/>
      <c r="AQ947" s="784"/>
      <c r="AR947" s="784"/>
      <c r="AS947" s="784"/>
      <c r="AT947" s="784"/>
      <c r="AU947" s="784"/>
      <c r="AV947" s="784"/>
      <c r="AW947" s="784"/>
      <c r="AX947" s="784"/>
    </row>
    <row r="948" spans="1:50" s="1554" customFormat="1" ht="14.25" customHeight="1" outlineLevel="1">
      <c r="A948" s="784"/>
      <c r="B948" s="784"/>
      <c r="C948" s="784"/>
      <c r="D948" s="784"/>
      <c r="E948" s="784"/>
      <c r="F948" s="784"/>
      <c r="G948" s="1421"/>
      <c r="H948" s="1421"/>
      <c r="I948" s="1421"/>
      <c r="J948" s="1421"/>
      <c r="K948" s="1421"/>
      <c r="L948" s="1421"/>
      <c r="M948" s="1421"/>
      <c r="N948" s="1421"/>
      <c r="O948" s="1421"/>
      <c r="P948" s="1421"/>
      <c r="Q948" s="1421"/>
      <c r="R948" s="1421"/>
      <c r="S948" s="1421"/>
      <c r="T948" s="1421"/>
      <c r="U948" s="1421"/>
      <c r="V948" s="1421"/>
      <c r="W948" s="1421"/>
      <c r="X948" s="910"/>
      <c r="Y948" s="913"/>
      <c r="Z948" s="784"/>
      <c r="AA948" s="784"/>
      <c r="AB948" s="909"/>
      <c r="AC948" s="909"/>
      <c r="AD948" s="784"/>
      <c r="AE948" s="1528"/>
      <c r="AF948" s="1555"/>
      <c r="AG948" s="1421"/>
      <c r="AH948" s="784"/>
      <c r="AI948" s="909"/>
      <c r="AJ948" s="784"/>
      <c r="AK948" s="784"/>
      <c r="AL948" s="784"/>
      <c r="AM948" s="784"/>
      <c r="AN948" s="784"/>
      <c r="AO948" s="784"/>
      <c r="AP948" s="784"/>
      <c r="AQ948" s="784"/>
      <c r="AR948" s="784"/>
      <c r="AS948" s="784"/>
      <c r="AT948" s="784"/>
      <c r="AU948" s="784"/>
      <c r="AV948" s="784"/>
      <c r="AW948" s="784"/>
      <c r="AX948" s="784"/>
    </row>
    <row r="949" spans="1:50" s="1249" customFormat="1" ht="14.25" customHeight="1">
      <c r="A949" s="1104">
        <v>34</v>
      </c>
      <c r="B949" s="1180" t="s">
        <v>2085</v>
      </c>
      <c r="C949" s="1180" t="s">
        <v>2112</v>
      </c>
      <c r="D949" s="1180" t="s">
        <v>259</v>
      </c>
      <c r="E949" s="1180">
        <v>8</v>
      </c>
      <c r="F949" s="1180" t="s">
        <v>260</v>
      </c>
      <c r="G949" s="1185" t="s">
        <v>261</v>
      </c>
      <c r="H949" s="1185"/>
      <c r="I949" s="1104"/>
      <c r="J949" s="1104"/>
      <c r="K949" s="1104"/>
      <c r="L949" s="1104"/>
      <c r="M949" s="1104"/>
      <c r="N949" s="1104"/>
      <c r="O949" s="1104"/>
      <c r="P949" s="1104" t="s">
        <v>325</v>
      </c>
      <c r="Q949" s="1104"/>
      <c r="R949" s="1104"/>
      <c r="S949" s="1104"/>
      <c r="T949" s="1104"/>
      <c r="U949" s="1104"/>
      <c r="V949" s="1104"/>
      <c r="W949" s="1104"/>
      <c r="X949" s="1235" t="s">
        <v>2113</v>
      </c>
      <c r="Y949" s="1200"/>
      <c r="Z949" s="1104"/>
      <c r="AA949" s="1104"/>
      <c r="AB949" s="1104"/>
      <c r="AC949" s="1104"/>
      <c r="AD949" s="1104"/>
      <c r="AE949" s="1235"/>
      <c r="AF949" s="1189"/>
      <c r="AG949" s="1104"/>
      <c r="AH949" s="1104"/>
      <c r="AI949" s="1104"/>
      <c r="AJ949" s="1104"/>
      <c r="AK949" s="1250"/>
      <c r="AL949" s="1250"/>
      <c r="AM949" s="1250"/>
      <c r="AN949" s="1250"/>
      <c r="AO949" s="1250"/>
      <c r="AP949" s="1250"/>
      <c r="AQ949" s="1250"/>
      <c r="AR949" s="1250"/>
      <c r="AS949" s="1250"/>
      <c r="AT949" s="1250"/>
      <c r="AU949" s="1250"/>
      <c r="AV949" s="1250"/>
      <c r="AW949" s="1250"/>
      <c r="AX949" s="1250"/>
    </row>
    <row r="950" spans="1:50" s="1554" customFormat="1" ht="18" customHeight="1" outlineLevel="1">
      <c r="A950" s="784"/>
      <c r="B950" s="784"/>
      <c r="C950" s="784"/>
      <c r="D950" s="784"/>
      <c r="E950" s="784"/>
      <c r="F950" s="784"/>
      <c r="G950" s="1421" t="s">
        <v>261</v>
      </c>
      <c r="H950" s="1421"/>
      <c r="I950" s="1421"/>
      <c r="J950" s="1421"/>
      <c r="K950" s="1421"/>
      <c r="L950" s="1549"/>
      <c r="M950" s="1421"/>
      <c r="N950" s="1421"/>
      <c r="O950" s="1421"/>
      <c r="P950" s="1421"/>
      <c r="Q950" s="1421"/>
      <c r="R950" s="1421"/>
      <c r="S950" s="1421"/>
      <c r="T950" s="1421"/>
      <c r="U950" s="1421"/>
      <c r="V950" s="1421"/>
      <c r="W950" s="1421"/>
      <c r="X950" s="910" t="s">
        <v>2114</v>
      </c>
      <c r="Y950" s="913" t="s">
        <v>2115</v>
      </c>
      <c r="Z950" s="784"/>
      <c r="AA950" s="784"/>
      <c r="AB950" s="909">
        <v>0</v>
      </c>
      <c r="AC950" s="909">
        <v>16</v>
      </c>
      <c r="AD950" s="784"/>
      <c r="AE950" s="1528"/>
      <c r="AF950" s="1555">
        <v>1</v>
      </c>
      <c r="AG950" s="1421">
        <v>0</v>
      </c>
      <c r="AH950" s="784"/>
      <c r="AI950" s="784">
        <v>0</v>
      </c>
      <c r="AJ950" s="784"/>
      <c r="AK950" s="784"/>
      <c r="AL950" s="784"/>
      <c r="AM950" s="784"/>
      <c r="AN950" s="784"/>
      <c r="AO950" s="784"/>
      <c r="AP950" s="784"/>
      <c r="AQ950" s="784"/>
      <c r="AR950" s="784"/>
      <c r="AS950" s="784"/>
      <c r="AT950" s="784"/>
      <c r="AU950" s="784"/>
      <c r="AV950" s="784"/>
      <c r="AW950" s="784"/>
      <c r="AX950" s="784"/>
    </row>
    <row r="951" spans="1:50" s="1554" customFormat="1" ht="18" customHeight="1" outlineLevel="1">
      <c r="A951" s="784"/>
      <c r="B951" s="784"/>
      <c r="C951" s="784"/>
      <c r="D951" s="784"/>
      <c r="E951" s="784"/>
      <c r="F951" s="784"/>
      <c r="G951" s="1421" t="s">
        <v>261</v>
      </c>
      <c r="H951" s="1421"/>
      <c r="I951" s="1421"/>
      <c r="J951" s="1421"/>
      <c r="K951" s="1421"/>
      <c r="L951" s="1549"/>
      <c r="M951" s="1421"/>
      <c r="N951" s="1421"/>
      <c r="O951" s="1421"/>
      <c r="P951" s="1421"/>
      <c r="Q951" s="1421"/>
      <c r="R951" s="1421"/>
      <c r="S951" s="1421"/>
      <c r="T951" s="1421"/>
      <c r="U951" s="1421"/>
      <c r="V951" s="1421"/>
      <c r="W951" s="1421"/>
      <c r="X951" s="910" t="s">
        <v>2116</v>
      </c>
      <c r="Y951" s="913" t="s">
        <v>2117</v>
      </c>
      <c r="Z951" s="784"/>
      <c r="AA951" s="784"/>
      <c r="AB951" s="909">
        <v>16</v>
      </c>
      <c r="AC951" s="909">
        <v>16</v>
      </c>
      <c r="AD951" s="784"/>
      <c r="AE951" s="1528"/>
      <c r="AF951" s="1555">
        <v>1</v>
      </c>
      <c r="AG951" s="1421">
        <v>0</v>
      </c>
      <c r="AH951" s="784"/>
      <c r="AI951" s="784">
        <v>0</v>
      </c>
      <c r="AJ951" s="784"/>
      <c r="AK951" s="784"/>
      <c r="AL951" s="784"/>
      <c r="AM951" s="784"/>
      <c r="AN951" s="784"/>
      <c r="AO951" s="784"/>
      <c r="AP951" s="784"/>
      <c r="AQ951" s="784"/>
      <c r="AR951" s="784"/>
      <c r="AS951" s="784"/>
      <c r="AT951" s="784"/>
      <c r="AU951" s="784"/>
      <c r="AV951" s="784"/>
      <c r="AW951" s="784"/>
      <c r="AX951" s="784"/>
    </row>
    <row r="952" spans="1:50" s="1554" customFormat="1" ht="18" customHeight="1" outlineLevel="1">
      <c r="A952" s="784"/>
      <c r="B952" s="784"/>
      <c r="C952" s="784"/>
      <c r="D952" s="784"/>
      <c r="E952" s="784"/>
      <c r="F952" s="784"/>
      <c r="G952" s="1421" t="s">
        <v>261</v>
      </c>
      <c r="H952" s="1421"/>
      <c r="I952" s="1421"/>
      <c r="J952" s="1421"/>
      <c r="K952" s="1421"/>
      <c r="L952" s="1549"/>
      <c r="M952" s="1421"/>
      <c r="N952" s="1421"/>
      <c r="O952" s="1421"/>
      <c r="P952" s="1421"/>
      <c r="Q952" s="1421"/>
      <c r="R952" s="1421"/>
      <c r="S952" s="1421"/>
      <c r="T952" s="1421"/>
      <c r="U952" s="1421"/>
      <c r="V952" s="1421"/>
      <c r="W952" s="1421"/>
      <c r="X952" s="910" t="s">
        <v>2118</v>
      </c>
      <c r="Y952" s="913" t="s">
        <v>2119</v>
      </c>
      <c r="Z952" s="784"/>
      <c r="AA952" s="784"/>
      <c r="AB952" s="909">
        <v>32</v>
      </c>
      <c r="AC952" s="909">
        <v>16</v>
      </c>
      <c r="AD952" s="784"/>
      <c r="AE952" s="1528"/>
      <c r="AF952" s="1555">
        <v>1</v>
      </c>
      <c r="AG952" s="1421">
        <v>0</v>
      </c>
      <c r="AH952" s="784"/>
      <c r="AI952" s="784">
        <v>0</v>
      </c>
      <c r="AJ952" s="784"/>
      <c r="AK952" s="784"/>
      <c r="AL952" s="784"/>
      <c r="AM952" s="784"/>
      <c r="AN952" s="784"/>
      <c r="AO952" s="784"/>
      <c r="AP952" s="784"/>
      <c r="AQ952" s="784"/>
      <c r="AR952" s="784"/>
      <c r="AS952" s="784"/>
      <c r="AT952" s="784"/>
      <c r="AU952" s="784"/>
      <c r="AV952" s="784"/>
      <c r="AW952" s="784"/>
      <c r="AX952" s="784"/>
    </row>
    <row r="953" spans="1:50" s="1554" customFormat="1" ht="18" customHeight="1" outlineLevel="1">
      <c r="A953" s="784"/>
      <c r="B953" s="784"/>
      <c r="C953" s="784"/>
      <c r="D953" s="784"/>
      <c r="E953" s="784"/>
      <c r="F953" s="784"/>
      <c r="G953" s="1421" t="s">
        <v>261</v>
      </c>
      <c r="H953" s="1421"/>
      <c r="I953" s="1421"/>
      <c r="J953" s="1421"/>
      <c r="K953" s="1421"/>
      <c r="L953" s="1549"/>
      <c r="M953" s="1421"/>
      <c r="N953" s="1421"/>
      <c r="O953" s="1421"/>
      <c r="P953" s="1421"/>
      <c r="Q953" s="1421"/>
      <c r="R953" s="1421"/>
      <c r="S953" s="1421"/>
      <c r="T953" s="1421"/>
      <c r="U953" s="1421"/>
      <c r="V953" s="1421"/>
      <c r="W953" s="1421"/>
      <c r="X953" s="910" t="s">
        <v>2120</v>
      </c>
      <c r="Y953" s="913" t="s">
        <v>2121</v>
      </c>
      <c r="Z953" s="784"/>
      <c r="AA953" s="784"/>
      <c r="AB953" s="909">
        <v>48</v>
      </c>
      <c r="AC953" s="909">
        <v>16</v>
      </c>
      <c r="AD953" s="784"/>
      <c r="AE953" s="1528"/>
      <c r="AF953" s="1555">
        <v>1</v>
      </c>
      <c r="AG953" s="1421">
        <v>0</v>
      </c>
      <c r="AH953" s="784"/>
      <c r="AI953" s="784">
        <v>0</v>
      </c>
      <c r="AJ953" s="784"/>
      <c r="AK953" s="784"/>
      <c r="AL953" s="784"/>
      <c r="AM953" s="784"/>
      <c r="AN953" s="784"/>
      <c r="AO953" s="784"/>
      <c r="AP953" s="784"/>
      <c r="AQ953" s="784"/>
      <c r="AR953" s="784"/>
      <c r="AS953" s="784"/>
      <c r="AT953" s="784"/>
      <c r="AU953" s="784"/>
      <c r="AV953" s="784"/>
      <c r="AW953" s="784"/>
      <c r="AX953" s="784"/>
    </row>
    <row r="954" spans="1:50" s="1554" customFormat="1" ht="14.25" customHeight="1" outlineLevel="1">
      <c r="A954" s="784"/>
      <c r="B954" s="784"/>
      <c r="C954" s="784"/>
      <c r="D954" s="784"/>
      <c r="E954" s="784"/>
      <c r="F954" s="784"/>
      <c r="G954" s="1421"/>
      <c r="H954" s="1421"/>
      <c r="I954" s="1421"/>
      <c r="J954" s="1421"/>
      <c r="K954" s="1421"/>
      <c r="L954" s="1421"/>
      <c r="M954" s="1421"/>
      <c r="N954" s="1421"/>
      <c r="O954" s="1421"/>
      <c r="P954" s="1421"/>
      <c r="Q954" s="1421"/>
      <c r="R954" s="1421"/>
      <c r="S954" s="1421"/>
      <c r="T954" s="1421"/>
      <c r="U954" s="1421"/>
      <c r="V954" s="1421"/>
      <c r="W954" s="1421"/>
      <c r="X954" s="1539"/>
      <c r="Y954" s="899"/>
      <c r="Z954" s="784"/>
      <c r="AA954" s="784"/>
      <c r="AB954" s="784"/>
      <c r="AC954" s="784"/>
      <c r="AD954" s="784"/>
      <c r="AE954" s="1528"/>
      <c r="AF954" s="1555"/>
      <c r="AG954" s="1421"/>
      <c r="AH954" s="784"/>
      <c r="AI954" s="784"/>
      <c r="AJ954" s="784"/>
      <c r="AK954" s="784"/>
      <c r="AL954" s="784"/>
      <c r="AM954" s="784"/>
      <c r="AN954" s="784"/>
      <c r="AO954" s="784"/>
      <c r="AP954" s="784"/>
      <c r="AQ954" s="784"/>
      <c r="AR954" s="784"/>
      <c r="AS954" s="784"/>
      <c r="AT954" s="784"/>
      <c r="AU954" s="784"/>
      <c r="AV954" s="784"/>
      <c r="AW954" s="784"/>
      <c r="AX954" s="784"/>
    </row>
    <row r="955" spans="1:50" s="1249" customFormat="1" ht="14.25" customHeight="1">
      <c r="A955" s="1104">
        <v>35</v>
      </c>
      <c r="B955" s="1180" t="s">
        <v>2085</v>
      </c>
      <c r="C955" s="1180" t="s">
        <v>2122</v>
      </c>
      <c r="D955" s="1180" t="s">
        <v>259</v>
      </c>
      <c r="E955" s="1180">
        <v>8</v>
      </c>
      <c r="F955" s="1180" t="s">
        <v>260</v>
      </c>
      <c r="G955" s="1185" t="s">
        <v>261</v>
      </c>
      <c r="H955" s="1185"/>
      <c r="I955" s="1104"/>
      <c r="J955" s="1104"/>
      <c r="K955" s="1104"/>
      <c r="L955" s="1104"/>
      <c r="M955" s="1104"/>
      <c r="N955" s="1104"/>
      <c r="O955" s="1104"/>
      <c r="P955" s="1104" t="s">
        <v>325</v>
      </c>
      <c r="Q955" s="1104"/>
      <c r="R955" s="1104"/>
      <c r="S955" s="1104"/>
      <c r="T955" s="1104"/>
      <c r="U955" s="1104"/>
      <c r="V955" s="1104"/>
      <c r="W955" s="1104"/>
      <c r="X955" s="1235"/>
      <c r="Y955" s="1200"/>
      <c r="Z955" s="1104"/>
      <c r="AA955" s="1104"/>
      <c r="AB955" s="1104"/>
      <c r="AC955" s="1104"/>
      <c r="AD955" s="1104"/>
      <c r="AE955" s="1235"/>
      <c r="AF955" s="1189"/>
      <c r="AG955" s="1104"/>
      <c r="AH955" s="1104"/>
      <c r="AI955" s="1104"/>
      <c r="AJ955" s="1104"/>
      <c r="AK955" s="1250"/>
      <c r="AL955" s="1250"/>
      <c r="AM955" s="1250"/>
      <c r="AN955" s="1250"/>
      <c r="AO955" s="1250"/>
      <c r="AP955" s="1250"/>
      <c r="AQ955" s="1250"/>
      <c r="AR955" s="1250"/>
      <c r="AS955" s="1250"/>
      <c r="AT955" s="1250"/>
      <c r="AU955" s="1250"/>
      <c r="AV955" s="1250"/>
      <c r="AW955" s="1250"/>
      <c r="AX955" s="1250"/>
    </row>
    <row r="956" spans="1:50" s="1554" customFormat="1" ht="18" customHeight="1" outlineLevel="1">
      <c r="A956" s="784"/>
      <c r="B956" s="784"/>
      <c r="C956" s="784"/>
      <c r="D956" s="784"/>
      <c r="E956" s="784"/>
      <c r="F956" s="784"/>
      <c r="G956" s="1421" t="s">
        <v>261</v>
      </c>
      <c r="H956" s="1421"/>
      <c r="I956" s="1421"/>
      <c r="J956" s="1421"/>
      <c r="K956" s="1421"/>
      <c r="L956" s="1549"/>
      <c r="M956" s="1421"/>
      <c r="N956" s="1421"/>
      <c r="O956" s="1421"/>
      <c r="P956" s="1421"/>
      <c r="Q956" s="1421"/>
      <c r="R956" s="1421"/>
      <c r="S956" s="1421"/>
      <c r="T956" s="1421"/>
      <c r="U956" s="1421"/>
      <c r="V956" s="1421"/>
      <c r="W956" s="1421"/>
      <c r="X956" s="913" t="s">
        <v>2123</v>
      </c>
      <c r="Y956" s="913" t="s">
        <v>2124</v>
      </c>
      <c r="Z956" s="784"/>
      <c r="AA956" s="784"/>
      <c r="AB956" s="909">
        <v>0</v>
      </c>
      <c r="AC956" s="909">
        <v>16</v>
      </c>
      <c r="AD956" s="784"/>
      <c r="AE956" s="1528"/>
      <c r="AF956" s="1555">
        <v>1</v>
      </c>
      <c r="AG956" s="1421">
        <v>0</v>
      </c>
      <c r="AH956" s="784"/>
      <c r="AI956" s="784">
        <v>0</v>
      </c>
      <c r="AJ956" s="784"/>
      <c r="AK956" s="784"/>
      <c r="AL956" s="784"/>
      <c r="AM956" s="784"/>
      <c r="AN956" s="784"/>
      <c r="AO956" s="784"/>
      <c r="AP956" s="784"/>
      <c r="AQ956" s="784"/>
      <c r="AR956" s="784"/>
      <c r="AS956" s="784"/>
      <c r="AT956" s="784"/>
      <c r="AU956" s="784"/>
      <c r="AV956" s="784"/>
      <c r="AW956" s="784"/>
      <c r="AX956" s="784"/>
    </row>
    <row r="957" spans="1:50" s="1554" customFormat="1" ht="18" customHeight="1" outlineLevel="1">
      <c r="A957" s="784"/>
      <c r="B957" s="784"/>
      <c r="C957" s="784"/>
      <c r="D957" s="784"/>
      <c r="E957" s="784"/>
      <c r="F957" s="784"/>
      <c r="G957" s="1421" t="s">
        <v>261</v>
      </c>
      <c r="H957" s="1421"/>
      <c r="I957" s="1421"/>
      <c r="J957" s="1421"/>
      <c r="K957" s="1421"/>
      <c r="L957" s="1549"/>
      <c r="M957" s="1421"/>
      <c r="N957" s="1421"/>
      <c r="O957" s="1421"/>
      <c r="P957" s="1421"/>
      <c r="Q957" s="1421"/>
      <c r="R957" s="1421"/>
      <c r="S957" s="1421"/>
      <c r="T957" s="1421"/>
      <c r="U957" s="1421"/>
      <c r="V957" s="1421"/>
      <c r="W957" s="1421"/>
      <c r="X957" s="913" t="s">
        <v>2125</v>
      </c>
      <c r="Y957" s="913" t="s">
        <v>2126</v>
      </c>
      <c r="Z957" s="784"/>
      <c r="AA957" s="784"/>
      <c r="AB957" s="909">
        <v>16</v>
      </c>
      <c r="AC957" s="909">
        <v>16</v>
      </c>
      <c r="AD957" s="784"/>
      <c r="AE957" s="1528"/>
      <c r="AF957" s="1555">
        <v>1</v>
      </c>
      <c r="AG957" s="1421">
        <v>0</v>
      </c>
      <c r="AH957" s="784"/>
      <c r="AI957" s="784">
        <v>0</v>
      </c>
      <c r="AJ957" s="784"/>
      <c r="AK957" s="784"/>
      <c r="AL957" s="784"/>
      <c r="AM957" s="784"/>
      <c r="AN957" s="784"/>
      <c r="AO957" s="784"/>
      <c r="AP957" s="784"/>
      <c r="AQ957" s="784"/>
      <c r="AR957" s="784"/>
      <c r="AS957" s="784"/>
      <c r="AT957" s="784"/>
      <c r="AU957" s="784"/>
      <c r="AV957" s="784"/>
      <c r="AW957" s="784"/>
      <c r="AX957" s="784"/>
    </row>
    <row r="958" spans="1:50" s="1554" customFormat="1" ht="14.25" customHeight="1" outlineLevel="1">
      <c r="A958" s="784"/>
      <c r="B958" s="784"/>
      <c r="C958" s="784"/>
      <c r="D958" s="784"/>
      <c r="E958" s="784"/>
      <c r="F958" s="784"/>
      <c r="G958" s="1421"/>
      <c r="H958" s="1421"/>
      <c r="I958" s="1421"/>
      <c r="J958" s="1421"/>
      <c r="K958" s="1421"/>
      <c r="L958" s="1421"/>
      <c r="M958" s="1421"/>
      <c r="N958" s="1421"/>
      <c r="O958" s="1421"/>
      <c r="P958" s="1421"/>
      <c r="Q958" s="1421"/>
      <c r="R958" s="1421"/>
      <c r="S958" s="1421"/>
      <c r="T958" s="1421"/>
      <c r="U958" s="1421"/>
      <c r="V958" s="1421"/>
      <c r="W958" s="1421"/>
      <c r="X958" s="1539"/>
      <c r="Y958" s="899"/>
      <c r="Z958" s="784"/>
      <c r="AA958" s="784"/>
      <c r="AB958" s="784"/>
      <c r="AC958" s="784"/>
      <c r="AD958" s="784"/>
      <c r="AE958" s="1528"/>
      <c r="AF958" s="1555"/>
      <c r="AG958" s="1421"/>
      <c r="AH958" s="784"/>
      <c r="AI958" s="784"/>
      <c r="AJ958" s="784"/>
      <c r="AK958" s="784"/>
      <c r="AL958" s="784"/>
      <c r="AM958" s="784"/>
      <c r="AN958" s="784"/>
      <c r="AO958" s="784"/>
      <c r="AP958" s="784"/>
      <c r="AQ958" s="784"/>
      <c r="AR958" s="784"/>
      <c r="AS958" s="784"/>
      <c r="AT958" s="784"/>
      <c r="AU958" s="784"/>
      <c r="AV958" s="784"/>
      <c r="AW958" s="784"/>
      <c r="AX958" s="784"/>
    </row>
    <row r="959" spans="1:50" s="1249" customFormat="1" ht="14.25" customHeight="1">
      <c r="A959" s="1104">
        <v>36</v>
      </c>
      <c r="B959" s="1180" t="s">
        <v>2085</v>
      </c>
      <c r="C959" s="1180" t="s">
        <v>2127</v>
      </c>
      <c r="D959" s="1180" t="s">
        <v>259</v>
      </c>
      <c r="E959" s="1180">
        <v>8</v>
      </c>
      <c r="F959" s="1180" t="s">
        <v>260</v>
      </c>
      <c r="G959" s="1185" t="s">
        <v>261</v>
      </c>
      <c r="H959" s="1185"/>
      <c r="I959" s="1104"/>
      <c r="J959" s="1104"/>
      <c r="K959" s="1104"/>
      <c r="L959" s="1104"/>
      <c r="M959" s="1104"/>
      <c r="N959" s="1104"/>
      <c r="O959" s="1104"/>
      <c r="P959" s="1104" t="s">
        <v>325</v>
      </c>
      <c r="Q959" s="1104"/>
      <c r="R959" s="1104"/>
      <c r="S959" s="1104"/>
      <c r="T959" s="1104"/>
      <c r="U959" s="1104"/>
      <c r="V959" s="1104"/>
      <c r="W959" s="1104"/>
      <c r="X959" s="1235"/>
      <c r="Y959" s="1200"/>
      <c r="Z959" s="1104"/>
      <c r="AA959" s="1104"/>
      <c r="AB959" s="1104"/>
      <c r="AC959" s="1104"/>
      <c r="AD959" s="1104"/>
      <c r="AE959" s="1235"/>
      <c r="AF959" s="1189"/>
      <c r="AG959" s="1104"/>
      <c r="AH959" s="1104"/>
      <c r="AI959" s="1104"/>
      <c r="AJ959" s="1104"/>
      <c r="AK959" s="1250"/>
      <c r="AL959" s="1250"/>
      <c r="AM959" s="1250"/>
      <c r="AN959" s="1250"/>
      <c r="AO959" s="1250"/>
      <c r="AP959" s="1250"/>
      <c r="AQ959" s="1250"/>
      <c r="AR959" s="1250"/>
      <c r="AS959" s="1250"/>
      <c r="AT959" s="1250"/>
      <c r="AU959" s="1250"/>
      <c r="AV959" s="1250"/>
      <c r="AW959" s="1250"/>
      <c r="AX959" s="1250"/>
    </row>
    <row r="960" spans="1:50" s="1554" customFormat="1" ht="18" customHeight="1" outlineLevel="1">
      <c r="A960" s="784"/>
      <c r="B960" s="784"/>
      <c r="C960" s="784"/>
      <c r="D960" s="784"/>
      <c r="E960" s="784"/>
      <c r="F960" s="784"/>
      <c r="G960" s="1421" t="s">
        <v>261</v>
      </c>
      <c r="H960" s="1421"/>
      <c r="I960" s="1421"/>
      <c r="J960" s="1421"/>
      <c r="K960" s="1421"/>
      <c r="L960" s="1549"/>
      <c r="M960" s="1421"/>
      <c r="N960" s="1421"/>
      <c r="O960" s="1421"/>
      <c r="P960" s="1421"/>
      <c r="Q960" s="1421"/>
      <c r="R960" s="1421"/>
      <c r="S960" s="1421"/>
      <c r="T960" s="1421"/>
      <c r="U960" s="1421"/>
      <c r="V960" s="1421"/>
      <c r="W960" s="1421"/>
      <c r="X960" s="913" t="s">
        <v>2128</v>
      </c>
      <c r="Y960" s="913" t="s">
        <v>2129</v>
      </c>
      <c r="Z960" s="784"/>
      <c r="AA960" s="784"/>
      <c r="AB960" s="909">
        <v>0</v>
      </c>
      <c r="AC960" s="909">
        <v>16</v>
      </c>
      <c r="AD960" s="784"/>
      <c r="AE960" s="1528"/>
      <c r="AF960" s="1555">
        <v>1E-3</v>
      </c>
      <c r="AG960" s="1421">
        <v>0</v>
      </c>
      <c r="AH960" s="784"/>
      <c r="AI960" s="784">
        <v>0</v>
      </c>
      <c r="AJ960" s="784"/>
      <c r="AK960" s="784"/>
      <c r="AL960" s="784"/>
      <c r="AM960" s="784"/>
      <c r="AN960" s="784"/>
      <c r="AO960" s="784"/>
      <c r="AP960" s="784"/>
      <c r="AQ960" s="784"/>
      <c r="AR960" s="784"/>
      <c r="AS960" s="784"/>
      <c r="AT960" s="784"/>
      <c r="AU960" s="784"/>
      <c r="AV960" s="784"/>
      <c r="AW960" s="784"/>
      <c r="AX960" s="784"/>
    </row>
    <row r="961" spans="1:50" s="1554" customFormat="1" ht="18" customHeight="1" outlineLevel="1">
      <c r="A961" s="784"/>
      <c r="B961" s="784"/>
      <c r="C961" s="784"/>
      <c r="D961" s="784"/>
      <c r="E961" s="784"/>
      <c r="F961" s="784"/>
      <c r="G961" s="1421" t="s">
        <v>261</v>
      </c>
      <c r="H961" s="1421"/>
      <c r="I961" s="1421"/>
      <c r="J961" s="1421"/>
      <c r="K961" s="1421"/>
      <c r="L961" s="1549"/>
      <c r="M961" s="1421"/>
      <c r="N961" s="1421"/>
      <c r="O961" s="1421"/>
      <c r="P961" s="1421"/>
      <c r="Q961" s="1421"/>
      <c r="R961" s="1421"/>
      <c r="S961" s="1421"/>
      <c r="T961" s="1421"/>
      <c r="U961" s="1421"/>
      <c r="V961" s="1421"/>
      <c r="W961" s="1421"/>
      <c r="X961" s="913" t="s">
        <v>2130</v>
      </c>
      <c r="Y961" s="913" t="s">
        <v>2131</v>
      </c>
      <c r="Z961" s="784"/>
      <c r="AA961" s="784"/>
      <c r="AB961" s="909">
        <v>16</v>
      </c>
      <c r="AC961" s="909">
        <v>16</v>
      </c>
      <c r="AD961" s="784"/>
      <c r="AE961" s="1528"/>
      <c r="AF961" s="1555">
        <v>1E-3</v>
      </c>
      <c r="AG961" s="1421">
        <v>0</v>
      </c>
      <c r="AH961" s="784"/>
      <c r="AI961" s="784">
        <v>0</v>
      </c>
      <c r="AJ961" s="784"/>
      <c r="AK961" s="784"/>
      <c r="AL961" s="784"/>
      <c r="AM961" s="784"/>
      <c r="AN961" s="784"/>
      <c r="AO961" s="784"/>
      <c r="AP961" s="784"/>
      <c r="AQ961" s="784"/>
      <c r="AR961" s="784"/>
      <c r="AS961" s="784"/>
      <c r="AT961" s="784"/>
      <c r="AU961" s="784"/>
      <c r="AV961" s="784"/>
      <c r="AW961" s="784"/>
      <c r="AX961" s="784"/>
    </row>
    <row r="962" spans="1:50" s="1554" customFormat="1" ht="18" customHeight="1" outlineLevel="1">
      <c r="A962" s="784"/>
      <c r="B962" s="784"/>
      <c r="C962" s="784"/>
      <c r="D962" s="784"/>
      <c r="E962" s="784"/>
      <c r="F962" s="784"/>
      <c r="G962" s="1421" t="s">
        <v>261</v>
      </c>
      <c r="H962" s="1421"/>
      <c r="I962" s="1421"/>
      <c r="J962" s="1421"/>
      <c r="K962" s="1421"/>
      <c r="L962" s="1549"/>
      <c r="M962" s="1421"/>
      <c r="N962" s="1421"/>
      <c r="O962" s="1421"/>
      <c r="P962" s="1421"/>
      <c r="Q962" s="1421"/>
      <c r="R962" s="1421"/>
      <c r="S962" s="1421"/>
      <c r="T962" s="1421"/>
      <c r="U962" s="1421"/>
      <c r="V962" s="1421"/>
      <c r="W962" s="1421"/>
      <c r="X962" s="913" t="s">
        <v>2132</v>
      </c>
      <c r="Y962" s="913" t="s">
        <v>2133</v>
      </c>
      <c r="Z962" s="784"/>
      <c r="AA962" s="784"/>
      <c r="AB962" s="909">
        <v>32</v>
      </c>
      <c r="AC962" s="909">
        <v>16</v>
      </c>
      <c r="AD962" s="784"/>
      <c r="AE962" s="1528"/>
      <c r="AF962" s="1555">
        <v>1E-3</v>
      </c>
      <c r="AG962" s="1421">
        <v>0</v>
      </c>
      <c r="AH962" s="784"/>
      <c r="AI962" s="784">
        <v>0</v>
      </c>
      <c r="AJ962" s="784"/>
      <c r="AK962" s="784"/>
      <c r="AL962" s="784"/>
      <c r="AM962" s="784"/>
      <c r="AN962" s="784"/>
      <c r="AO962" s="784"/>
      <c r="AP962" s="784"/>
      <c r="AQ962" s="784"/>
      <c r="AR962" s="784"/>
      <c r="AS962" s="784"/>
      <c r="AT962" s="784"/>
      <c r="AU962" s="784"/>
      <c r="AV962" s="784"/>
      <c r="AW962" s="784"/>
      <c r="AX962" s="784"/>
    </row>
    <row r="963" spans="1:50" s="1554" customFormat="1" ht="18" customHeight="1" outlineLevel="1">
      <c r="A963" s="784"/>
      <c r="B963" s="784"/>
      <c r="C963" s="784"/>
      <c r="D963" s="784"/>
      <c r="E963" s="784"/>
      <c r="F963" s="784"/>
      <c r="G963" s="1421" t="s">
        <v>261</v>
      </c>
      <c r="H963" s="1421"/>
      <c r="I963" s="1421"/>
      <c r="J963" s="1421"/>
      <c r="K963" s="1421"/>
      <c r="L963" s="1549"/>
      <c r="M963" s="1421"/>
      <c r="N963" s="1421"/>
      <c r="O963" s="1421"/>
      <c r="P963" s="1421"/>
      <c r="Q963" s="1421"/>
      <c r="R963" s="1421"/>
      <c r="S963" s="1421"/>
      <c r="T963" s="1421"/>
      <c r="U963" s="1421"/>
      <c r="V963" s="1421"/>
      <c r="W963" s="1421"/>
      <c r="X963" s="913" t="s">
        <v>2134</v>
      </c>
      <c r="Y963" s="913" t="s">
        <v>2135</v>
      </c>
      <c r="Z963" s="784"/>
      <c r="AA963" s="784"/>
      <c r="AB963" s="909">
        <v>48</v>
      </c>
      <c r="AC963" s="909">
        <v>16</v>
      </c>
      <c r="AD963" s="784"/>
      <c r="AE963" s="1528"/>
      <c r="AF963" s="1555">
        <v>1E-3</v>
      </c>
      <c r="AG963" s="1421">
        <v>0</v>
      </c>
      <c r="AH963" s="784"/>
      <c r="AI963" s="784">
        <v>0</v>
      </c>
      <c r="AJ963" s="784"/>
      <c r="AK963" s="784"/>
      <c r="AL963" s="784"/>
      <c r="AM963" s="784"/>
      <c r="AN963" s="784"/>
      <c r="AO963" s="784"/>
      <c r="AP963" s="784"/>
      <c r="AQ963" s="784"/>
      <c r="AR963" s="784"/>
      <c r="AS963" s="784"/>
      <c r="AT963" s="784"/>
      <c r="AU963" s="784"/>
      <c r="AV963" s="784"/>
      <c r="AW963" s="784"/>
      <c r="AX963" s="784"/>
    </row>
    <row r="964" spans="1:50" s="1554" customFormat="1" ht="18" customHeight="1" outlineLevel="1">
      <c r="A964" s="784"/>
      <c r="B964" s="784"/>
      <c r="C964" s="784"/>
      <c r="D964" s="784"/>
      <c r="E964" s="784"/>
      <c r="F964" s="784"/>
      <c r="G964" s="1421"/>
      <c r="H964" s="1421"/>
      <c r="I964" s="1421"/>
      <c r="J964" s="1421"/>
      <c r="K964" s="1421"/>
      <c r="L964" s="1549"/>
      <c r="M964" s="1421"/>
      <c r="N964" s="1421"/>
      <c r="O964" s="1421"/>
      <c r="P964" s="1421"/>
      <c r="Q964" s="1421"/>
      <c r="R964" s="1421"/>
      <c r="S964" s="1421"/>
      <c r="T964" s="1421"/>
      <c r="U964" s="1421"/>
      <c r="V964" s="1421"/>
      <c r="W964" s="1421"/>
      <c r="X964" s="913"/>
      <c r="Y964" s="913"/>
      <c r="Z964" s="784"/>
      <c r="AA964" s="784"/>
      <c r="AB964" s="909"/>
      <c r="AC964" s="909"/>
      <c r="AD964" s="784"/>
      <c r="AE964" s="1528"/>
      <c r="AF964" s="1555"/>
      <c r="AG964" s="1421"/>
      <c r="AH964" s="784"/>
      <c r="AI964" s="784"/>
      <c r="AJ964" s="784"/>
      <c r="AK964" s="784"/>
      <c r="AL964" s="784"/>
      <c r="AM964" s="784"/>
      <c r="AN964" s="784"/>
      <c r="AO964" s="784"/>
      <c r="AP964" s="784"/>
      <c r="AQ964" s="784"/>
      <c r="AR964" s="784"/>
      <c r="AS964" s="784"/>
      <c r="AT964" s="784"/>
      <c r="AU964" s="784"/>
      <c r="AV964" s="784"/>
      <c r="AW964" s="784"/>
      <c r="AX964" s="784"/>
    </row>
    <row r="965" spans="1:50" s="1249" customFormat="1" ht="18" customHeight="1">
      <c r="A965" s="1104">
        <v>37</v>
      </c>
      <c r="B965" s="1180" t="s">
        <v>2085</v>
      </c>
      <c r="C965" s="1180" t="s">
        <v>2136</v>
      </c>
      <c r="D965" s="1180" t="s">
        <v>259</v>
      </c>
      <c r="E965" s="1180">
        <v>8</v>
      </c>
      <c r="F965" s="1180" t="s">
        <v>260</v>
      </c>
      <c r="G965" s="1185" t="s">
        <v>261</v>
      </c>
      <c r="H965" s="1185"/>
      <c r="I965" s="1104"/>
      <c r="J965" s="1104"/>
      <c r="K965" s="1104"/>
      <c r="L965" s="1104"/>
      <c r="M965" s="1104"/>
      <c r="N965" s="1104"/>
      <c r="O965" s="1104"/>
      <c r="P965" s="1104" t="s">
        <v>325</v>
      </c>
      <c r="Q965" s="1104"/>
      <c r="R965" s="1104"/>
      <c r="S965" s="1104"/>
      <c r="T965" s="1104"/>
      <c r="U965" s="1104"/>
      <c r="V965" s="1104"/>
      <c r="W965" s="1104"/>
      <c r="X965" s="1235" t="s">
        <v>2137</v>
      </c>
      <c r="Y965" s="1188"/>
      <c r="Z965" s="1104"/>
      <c r="AA965" s="1104"/>
      <c r="AB965" s="1104"/>
      <c r="AC965" s="1104"/>
      <c r="AD965" s="1104"/>
      <c r="AE965" s="1235" t="s">
        <v>2093</v>
      </c>
      <c r="AF965" s="1189"/>
      <c r="AG965" s="1104"/>
      <c r="AH965" s="1104"/>
      <c r="AI965" s="1104"/>
      <c r="AJ965" s="1104"/>
      <c r="AK965" s="1250"/>
      <c r="AL965" s="1250"/>
      <c r="AM965" s="1250"/>
      <c r="AN965" s="1250"/>
      <c r="AO965" s="1250"/>
      <c r="AP965" s="1250"/>
      <c r="AQ965" s="1250"/>
      <c r="AR965" s="1250"/>
      <c r="AS965" s="1250"/>
      <c r="AT965" s="1250"/>
      <c r="AU965" s="1250"/>
      <c r="AV965" s="1250"/>
      <c r="AW965" s="1250"/>
      <c r="AX965" s="1250"/>
    </row>
    <row r="966" spans="1:50" s="1554" customFormat="1" ht="30.75" customHeight="1" outlineLevel="1">
      <c r="A966" s="784"/>
      <c r="B966" s="784"/>
      <c r="C966" s="784"/>
      <c r="D966" s="784"/>
      <c r="E966" s="784"/>
      <c r="F966" s="784"/>
      <c r="G966" s="1421"/>
      <c r="H966" s="1421"/>
      <c r="I966" s="1421"/>
      <c r="J966" s="1421"/>
      <c r="K966" s="1421"/>
      <c r="L966" s="1549"/>
      <c r="M966" s="1421"/>
      <c r="N966" s="1421"/>
      <c r="O966" s="1421"/>
      <c r="P966" s="1421"/>
      <c r="Q966" s="1421"/>
      <c r="R966" s="1421"/>
      <c r="S966" s="1421"/>
      <c r="T966" s="1421"/>
      <c r="U966" s="1421"/>
      <c r="V966" s="1421"/>
      <c r="W966" s="1421"/>
      <c r="X966" s="913" t="s">
        <v>2138</v>
      </c>
      <c r="Y966" s="1468" t="s">
        <v>2139</v>
      </c>
      <c r="Z966" s="784">
        <v>0</v>
      </c>
      <c r="AA966" s="784">
        <v>0</v>
      </c>
      <c r="AB966" s="1468">
        <v>0</v>
      </c>
      <c r="AC966" s="909">
        <v>1</v>
      </c>
      <c r="AD966" s="1528" t="s">
        <v>407</v>
      </c>
      <c r="AE966" s="1528" t="s">
        <v>2140</v>
      </c>
      <c r="AF966" s="1555">
        <v>1</v>
      </c>
      <c r="AG966" s="1421">
        <v>0</v>
      </c>
      <c r="AH966" s="784"/>
      <c r="AI966" s="784">
        <v>0</v>
      </c>
      <c r="AJ966" s="784"/>
      <c r="AK966" s="784"/>
      <c r="AL966" s="784"/>
      <c r="AM966" s="784"/>
      <c r="AN966" s="784"/>
      <c r="AO966" s="784"/>
      <c r="AP966" s="784"/>
      <c r="AQ966" s="784"/>
      <c r="AR966" s="784"/>
      <c r="AS966" s="784"/>
      <c r="AT966" s="784"/>
      <c r="AU966" s="784"/>
      <c r="AV966" s="784"/>
      <c r="AW966" s="784"/>
      <c r="AX966" s="784"/>
    </row>
    <row r="967" spans="1:50" s="1554" customFormat="1" ht="30.75" customHeight="1" outlineLevel="1">
      <c r="A967" s="784"/>
      <c r="B967" s="784"/>
      <c r="C967" s="784"/>
      <c r="D967" s="784"/>
      <c r="E967" s="784"/>
      <c r="F967" s="784"/>
      <c r="G967" s="1037"/>
      <c r="H967" s="1421"/>
      <c r="I967" s="1421"/>
      <c r="J967" s="1421"/>
      <c r="K967" s="1421"/>
      <c r="L967" s="915"/>
      <c r="M967" s="1421"/>
      <c r="N967" s="1421"/>
      <c r="O967" s="1421"/>
      <c r="P967" s="1421"/>
      <c r="Q967" s="1421"/>
      <c r="R967" s="1421"/>
      <c r="S967" s="1421"/>
      <c r="T967" s="1421"/>
      <c r="U967" s="1421"/>
      <c r="V967" s="1421"/>
      <c r="W967" s="1421"/>
      <c r="X967" s="913" t="s">
        <v>2141</v>
      </c>
      <c r="Y967" s="1468" t="s">
        <v>2142</v>
      </c>
      <c r="Z967" s="784"/>
      <c r="AA967" s="784"/>
      <c r="AB967" s="1468">
        <v>1</v>
      </c>
      <c r="AC967" s="909">
        <v>1</v>
      </c>
      <c r="AD967" s="1528" t="s">
        <v>407</v>
      </c>
      <c r="AE967" s="1528" t="s">
        <v>2140</v>
      </c>
      <c r="AF967" s="1555">
        <v>1</v>
      </c>
      <c r="AG967" s="1421">
        <v>0</v>
      </c>
      <c r="AH967" s="784"/>
      <c r="AI967" s="784">
        <v>0</v>
      </c>
      <c r="AJ967" s="784"/>
      <c r="AK967" s="784"/>
      <c r="AL967" s="784"/>
      <c r="AM967" s="784"/>
      <c r="AN967" s="784"/>
      <c r="AO967" s="784"/>
      <c r="AP967" s="784"/>
      <c r="AQ967" s="784"/>
      <c r="AR967" s="784"/>
      <c r="AS967" s="784"/>
      <c r="AT967" s="784"/>
      <c r="AU967" s="784"/>
      <c r="AV967" s="784"/>
      <c r="AW967" s="784"/>
      <c r="AX967" s="784"/>
    </row>
    <row r="968" spans="1:50" s="1554" customFormat="1" ht="30.75" customHeight="1" outlineLevel="1">
      <c r="A968" s="784"/>
      <c r="B968" s="784"/>
      <c r="C968" s="784"/>
      <c r="D968" s="784"/>
      <c r="E968" s="784"/>
      <c r="F968" s="784"/>
      <c r="G968" s="1037"/>
      <c r="H968" s="1421"/>
      <c r="I968" s="1421"/>
      <c r="J968" s="1421"/>
      <c r="K968" s="1421"/>
      <c r="L968" s="915"/>
      <c r="M968" s="1421"/>
      <c r="N968" s="1421"/>
      <c r="O968" s="1421"/>
      <c r="P968" s="1421"/>
      <c r="Q968" s="1421"/>
      <c r="R968" s="1421"/>
      <c r="S968" s="1421"/>
      <c r="T968" s="1421"/>
      <c r="U968" s="1421"/>
      <c r="V968" s="1421"/>
      <c r="W968" s="1421"/>
      <c r="X968" s="1169" t="s">
        <v>2143</v>
      </c>
      <c r="Y968" s="1468" t="s">
        <v>2144</v>
      </c>
      <c r="Z968" s="784"/>
      <c r="AA968" s="784"/>
      <c r="AB968" s="1468">
        <v>2</v>
      </c>
      <c r="AC968" s="909">
        <v>1</v>
      </c>
      <c r="AD968" s="1528" t="s">
        <v>407</v>
      </c>
      <c r="AE968" s="1528" t="s">
        <v>2140</v>
      </c>
      <c r="AF968" s="1555">
        <v>1</v>
      </c>
      <c r="AG968" s="1421">
        <v>0</v>
      </c>
      <c r="AH968" s="784"/>
      <c r="AI968" s="784">
        <v>0</v>
      </c>
      <c r="AJ968" s="784"/>
      <c r="AK968" s="784"/>
      <c r="AL968" s="784"/>
      <c r="AM968" s="784"/>
      <c r="AN968" s="784"/>
      <c r="AO968" s="784"/>
      <c r="AP968" s="784"/>
      <c r="AQ968" s="784"/>
      <c r="AR968" s="784"/>
      <c r="AS968" s="784"/>
      <c r="AT968" s="784"/>
      <c r="AU968" s="784"/>
      <c r="AV968" s="784"/>
      <c r="AW968" s="784"/>
      <c r="AX968" s="784"/>
    </row>
    <row r="969" spans="1:50" s="1554" customFormat="1" ht="30.75" customHeight="1" outlineLevel="1">
      <c r="A969" s="784"/>
      <c r="B969" s="784"/>
      <c r="C969" s="784"/>
      <c r="D969" s="784"/>
      <c r="E969" s="784"/>
      <c r="F969" s="784"/>
      <c r="G969" s="1037"/>
      <c r="H969" s="1421"/>
      <c r="I969" s="1421"/>
      <c r="J969" s="1421"/>
      <c r="K969" s="1421"/>
      <c r="L969" s="915"/>
      <c r="M969" s="1421"/>
      <c r="N969" s="1421"/>
      <c r="O969" s="1421"/>
      <c r="P969" s="1421"/>
      <c r="Q969" s="1421"/>
      <c r="R969" s="1421"/>
      <c r="S969" s="1421"/>
      <c r="T969" s="1421"/>
      <c r="U969" s="1421"/>
      <c r="V969" s="1421"/>
      <c r="W969" s="1421"/>
      <c r="X969" s="913" t="s">
        <v>2145</v>
      </c>
      <c r="Y969" s="1468" t="s">
        <v>2146</v>
      </c>
      <c r="Z969" s="784"/>
      <c r="AA969" s="784"/>
      <c r="AB969" s="1468">
        <v>3</v>
      </c>
      <c r="AC969" s="909">
        <v>1</v>
      </c>
      <c r="AD969" s="1528" t="s">
        <v>407</v>
      </c>
      <c r="AE969" s="1528" t="s">
        <v>2140</v>
      </c>
      <c r="AF969" s="1555">
        <v>1</v>
      </c>
      <c r="AG969" s="1421">
        <v>0</v>
      </c>
      <c r="AH969" s="784"/>
      <c r="AI969" s="784">
        <v>0</v>
      </c>
      <c r="AJ969" s="784"/>
      <c r="AK969" s="784"/>
      <c r="AL969" s="784"/>
      <c r="AM969" s="784"/>
      <c r="AN969" s="784"/>
      <c r="AO969" s="784"/>
      <c r="AP969" s="784"/>
      <c r="AQ969" s="784"/>
      <c r="AR969" s="784"/>
      <c r="AS969" s="784"/>
      <c r="AT969" s="784"/>
      <c r="AU969" s="784"/>
      <c r="AV969" s="784"/>
      <c r="AW969" s="784"/>
      <c r="AX969" s="784"/>
    </row>
    <row r="970" spans="1:50" s="1554" customFormat="1" ht="30.75" customHeight="1" outlineLevel="1">
      <c r="A970" s="784"/>
      <c r="B970" s="784"/>
      <c r="C970" s="784"/>
      <c r="D970" s="784"/>
      <c r="E970" s="784"/>
      <c r="F970" s="784"/>
      <c r="G970" s="1037"/>
      <c r="H970" s="1421"/>
      <c r="I970" s="1421"/>
      <c r="J970" s="1421"/>
      <c r="K970" s="1421"/>
      <c r="L970" s="915"/>
      <c r="M970" s="1421"/>
      <c r="N970" s="1421"/>
      <c r="O970" s="1421"/>
      <c r="P970" s="1421"/>
      <c r="Q970" s="1421"/>
      <c r="R970" s="1421"/>
      <c r="S970" s="1421"/>
      <c r="T970" s="1421"/>
      <c r="U970" s="1421"/>
      <c r="V970" s="1421"/>
      <c r="W970" s="1421"/>
      <c r="X970" s="913" t="s">
        <v>2147</v>
      </c>
      <c r="Y970" s="1468" t="s">
        <v>2148</v>
      </c>
      <c r="Z970" s="784"/>
      <c r="AA970" s="784"/>
      <c r="AB970" s="1468">
        <v>4</v>
      </c>
      <c r="AC970" s="909">
        <v>1</v>
      </c>
      <c r="AD970" s="1528" t="s">
        <v>407</v>
      </c>
      <c r="AE970" s="1528" t="s">
        <v>2140</v>
      </c>
      <c r="AF970" s="1555">
        <v>1</v>
      </c>
      <c r="AG970" s="1421">
        <v>0</v>
      </c>
      <c r="AH970" s="784"/>
      <c r="AI970" s="784">
        <v>0</v>
      </c>
      <c r="AJ970" s="784"/>
      <c r="AK970" s="784"/>
      <c r="AL970" s="784"/>
      <c r="AM970" s="784"/>
      <c r="AN970" s="784"/>
      <c r="AO970" s="784"/>
      <c r="AP970" s="784"/>
      <c r="AQ970" s="784"/>
      <c r="AR970" s="784"/>
      <c r="AS970" s="784"/>
      <c r="AT970" s="784"/>
      <c r="AU970" s="784"/>
      <c r="AV970" s="784"/>
      <c r="AW970" s="784"/>
      <c r="AX970" s="784"/>
    </row>
    <row r="971" spans="1:50" s="1554" customFormat="1" ht="30.75" customHeight="1" outlineLevel="1">
      <c r="A971" s="784"/>
      <c r="B971" s="784"/>
      <c r="C971" s="784"/>
      <c r="D971" s="784"/>
      <c r="E971" s="784"/>
      <c r="F971" s="784"/>
      <c r="G971" s="1037"/>
      <c r="H971" s="1421"/>
      <c r="I971" s="1421"/>
      <c r="J971" s="1421"/>
      <c r="K971" s="1421"/>
      <c r="L971" s="915"/>
      <c r="M971" s="1421"/>
      <c r="N971" s="1421"/>
      <c r="O971" s="1421"/>
      <c r="P971" s="1421"/>
      <c r="Q971" s="1421"/>
      <c r="R971" s="1421"/>
      <c r="S971" s="1421"/>
      <c r="T971" s="1421"/>
      <c r="U971" s="1421"/>
      <c r="V971" s="1421"/>
      <c r="W971" s="1421"/>
      <c r="X971" s="913" t="s">
        <v>2149</v>
      </c>
      <c r="Y971" s="1468" t="s">
        <v>2150</v>
      </c>
      <c r="Z971" s="784"/>
      <c r="AA971" s="784"/>
      <c r="AB971" s="1468">
        <v>5</v>
      </c>
      <c r="AC971" s="909">
        <v>1</v>
      </c>
      <c r="AD971" s="1528" t="s">
        <v>407</v>
      </c>
      <c r="AE971" s="1528" t="s">
        <v>2140</v>
      </c>
      <c r="AF971" s="1555">
        <v>1</v>
      </c>
      <c r="AG971" s="1421">
        <v>0</v>
      </c>
      <c r="AH971" s="784"/>
      <c r="AI971" s="784">
        <v>0</v>
      </c>
      <c r="AJ971" s="784"/>
      <c r="AK971" s="784"/>
      <c r="AL971" s="784"/>
      <c r="AM971" s="784"/>
      <c r="AN971" s="784"/>
      <c r="AO971" s="784"/>
      <c r="AP971" s="784"/>
      <c r="AQ971" s="784"/>
      <c r="AR971" s="784"/>
      <c r="AS971" s="784"/>
      <c r="AT971" s="784"/>
      <c r="AU971" s="784"/>
      <c r="AV971" s="784"/>
      <c r="AW971" s="784"/>
      <c r="AX971" s="784"/>
    </row>
    <row r="972" spans="1:50" s="1554" customFormat="1" ht="30.75" customHeight="1" outlineLevel="1">
      <c r="A972" s="784"/>
      <c r="B972" s="784"/>
      <c r="C972" s="784"/>
      <c r="D972" s="784"/>
      <c r="E972" s="784"/>
      <c r="F972" s="784"/>
      <c r="G972" s="1037"/>
      <c r="H972" s="1421"/>
      <c r="I972" s="1421"/>
      <c r="J972" s="1421"/>
      <c r="K972" s="1421"/>
      <c r="L972" s="915"/>
      <c r="M972" s="1421"/>
      <c r="N972" s="1421"/>
      <c r="O972" s="1421"/>
      <c r="P972" s="1421"/>
      <c r="Q972" s="1421"/>
      <c r="R972" s="1421"/>
      <c r="S972" s="1421"/>
      <c r="T972" s="1421"/>
      <c r="U972" s="1421"/>
      <c r="V972" s="1421"/>
      <c r="W972" s="1421"/>
      <c r="X972" s="913" t="s">
        <v>2151</v>
      </c>
      <c r="Y972" s="1468" t="s">
        <v>2152</v>
      </c>
      <c r="Z972" s="784"/>
      <c r="AA972" s="784"/>
      <c r="AB972" s="1468">
        <v>6</v>
      </c>
      <c r="AC972" s="909">
        <v>1</v>
      </c>
      <c r="AD972" s="1528" t="s">
        <v>407</v>
      </c>
      <c r="AE972" s="1528" t="s">
        <v>2140</v>
      </c>
      <c r="AF972" s="1555">
        <v>1</v>
      </c>
      <c r="AG972" s="1421">
        <v>0</v>
      </c>
      <c r="AH972" s="784"/>
      <c r="AI972" s="784">
        <v>0</v>
      </c>
      <c r="AJ972" s="784"/>
      <c r="AK972" s="784"/>
      <c r="AL972" s="784"/>
      <c r="AM972" s="784"/>
      <c r="AN972" s="784"/>
      <c r="AO972" s="784"/>
      <c r="AP972" s="784"/>
      <c r="AQ972" s="784"/>
      <c r="AR972" s="784"/>
      <c r="AS972" s="784"/>
      <c r="AT972" s="784"/>
      <c r="AU972" s="784"/>
      <c r="AV972" s="784"/>
      <c r="AW972" s="784"/>
      <c r="AX972" s="784"/>
    </row>
    <row r="973" spans="1:50" s="1554" customFormat="1" ht="30.75" customHeight="1" outlineLevel="1">
      <c r="A973" s="784"/>
      <c r="B973" s="784"/>
      <c r="C973" s="784"/>
      <c r="D973" s="784"/>
      <c r="E973" s="784"/>
      <c r="F973" s="784"/>
      <c r="G973" s="1037"/>
      <c r="H973" s="1421"/>
      <c r="I973" s="1421"/>
      <c r="J973" s="1421"/>
      <c r="K973" s="1421"/>
      <c r="L973" s="915"/>
      <c r="M973" s="1421"/>
      <c r="N973" s="1421"/>
      <c r="O973" s="1421"/>
      <c r="P973" s="1421"/>
      <c r="Q973" s="1421"/>
      <c r="R973" s="1421"/>
      <c r="S973" s="1421"/>
      <c r="T973" s="1421"/>
      <c r="U973" s="1421"/>
      <c r="V973" s="1421"/>
      <c r="W973" s="1421"/>
      <c r="X973" s="913" t="s">
        <v>2153</v>
      </c>
      <c r="Y973" s="1468" t="s">
        <v>2154</v>
      </c>
      <c r="Z973" s="784"/>
      <c r="AA973" s="784"/>
      <c r="AB973" s="1468">
        <v>7</v>
      </c>
      <c r="AC973" s="909">
        <v>1</v>
      </c>
      <c r="AD973" s="1528" t="s">
        <v>407</v>
      </c>
      <c r="AE973" s="1528" t="s">
        <v>2140</v>
      </c>
      <c r="AF973" s="1555">
        <v>1</v>
      </c>
      <c r="AG973" s="1421">
        <v>0</v>
      </c>
      <c r="AH973" s="784"/>
      <c r="AI973" s="784">
        <v>0</v>
      </c>
      <c r="AJ973" s="784"/>
      <c r="AK973" s="784"/>
      <c r="AL973" s="784"/>
      <c r="AM973" s="784"/>
      <c r="AN973" s="784"/>
      <c r="AO973" s="784"/>
      <c r="AP973" s="784"/>
      <c r="AQ973" s="784"/>
      <c r="AR973" s="784"/>
      <c r="AS973" s="784"/>
      <c r="AT973" s="784"/>
      <c r="AU973" s="784"/>
      <c r="AV973" s="784"/>
      <c r="AW973" s="784"/>
      <c r="AX973" s="784"/>
    </row>
    <row r="974" spans="1:50" s="1554" customFormat="1" ht="30.75" customHeight="1" outlineLevel="1">
      <c r="A974" s="784"/>
      <c r="B974" s="784"/>
      <c r="C974" s="784"/>
      <c r="D974" s="784"/>
      <c r="E974" s="784"/>
      <c r="F974" s="784"/>
      <c r="G974" s="1037"/>
      <c r="H974" s="1421"/>
      <c r="I974" s="1421"/>
      <c r="J974" s="1421"/>
      <c r="K974" s="1421"/>
      <c r="L974" s="915"/>
      <c r="M974" s="1421"/>
      <c r="N974" s="1421"/>
      <c r="O974" s="1421"/>
      <c r="P974" s="1421"/>
      <c r="Q974" s="1421"/>
      <c r="R974" s="1421"/>
      <c r="S974" s="1421"/>
      <c r="T974" s="1421"/>
      <c r="U974" s="1421"/>
      <c r="V974" s="1421"/>
      <c r="W974" s="1421"/>
      <c r="X974" s="913" t="s">
        <v>2155</v>
      </c>
      <c r="Y974" s="1468" t="s">
        <v>2156</v>
      </c>
      <c r="Z974" s="784"/>
      <c r="AA974" s="784"/>
      <c r="AB974" s="1468">
        <v>8</v>
      </c>
      <c r="AC974" s="909">
        <v>1</v>
      </c>
      <c r="AD974" s="1528" t="s">
        <v>407</v>
      </c>
      <c r="AE974" s="1528" t="s">
        <v>2140</v>
      </c>
      <c r="AF974" s="1555">
        <v>1</v>
      </c>
      <c r="AG974" s="1421">
        <v>0</v>
      </c>
      <c r="AH974" s="784"/>
      <c r="AI974" s="784">
        <v>0</v>
      </c>
      <c r="AJ974" s="784"/>
      <c r="AK974" s="784"/>
      <c r="AL974" s="784"/>
      <c r="AM974" s="784"/>
      <c r="AN974" s="784"/>
      <c r="AO974" s="784"/>
      <c r="AP974" s="784"/>
      <c r="AQ974" s="784"/>
      <c r="AR974" s="784"/>
      <c r="AS974" s="784"/>
      <c r="AT974" s="784"/>
      <c r="AU974" s="784"/>
      <c r="AV974" s="784"/>
      <c r="AW974" s="784"/>
      <c r="AX974" s="784"/>
    </row>
    <row r="975" spans="1:50" s="1554" customFormat="1" ht="30.75" customHeight="1" outlineLevel="1">
      <c r="A975" s="784"/>
      <c r="B975" s="784"/>
      <c r="C975" s="784"/>
      <c r="D975" s="784"/>
      <c r="E975" s="784"/>
      <c r="F975" s="784"/>
      <c r="G975" s="1037"/>
      <c r="H975" s="1421"/>
      <c r="I975" s="1421"/>
      <c r="J975" s="1421"/>
      <c r="K975" s="1421"/>
      <c r="L975" s="915"/>
      <c r="M975" s="1421"/>
      <c r="N975" s="1421"/>
      <c r="O975" s="1421"/>
      <c r="P975" s="1421"/>
      <c r="Q975" s="1421"/>
      <c r="R975" s="1421"/>
      <c r="S975" s="1421"/>
      <c r="T975" s="1421"/>
      <c r="U975" s="1421"/>
      <c r="V975" s="1421"/>
      <c r="W975" s="1421"/>
      <c r="X975" s="913" t="s">
        <v>2157</v>
      </c>
      <c r="Y975" s="1468" t="s">
        <v>2158</v>
      </c>
      <c r="Z975" s="784"/>
      <c r="AA975" s="784"/>
      <c r="AB975" s="1468">
        <v>9</v>
      </c>
      <c r="AC975" s="909">
        <v>1</v>
      </c>
      <c r="AD975" s="1528" t="s">
        <v>407</v>
      </c>
      <c r="AE975" s="1528" t="s">
        <v>2140</v>
      </c>
      <c r="AF975" s="1555">
        <v>1</v>
      </c>
      <c r="AG975" s="1421">
        <v>0</v>
      </c>
      <c r="AH975" s="784"/>
      <c r="AI975" s="784">
        <v>0</v>
      </c>
      <c r="AJ975" s="784"/>
      <c r="AK975" s="784"/>
      <c r="AL975" s="784"/>
      <c r="AM975" s="784"/>
      <c r="AN975" s="784"/>
      <c r="AO975" s="784"/>
      <c r="AP975" s="784"/>
      <c r="AQ975" s="784"/>
      <c r="AR975" s="784"/>
      <c r="AS975" s="784"/>
      <c r="AT975" s="784"/>
      <c r="AU975" s="784"/>
      <c r="AV975" s="784"/>
      <c r="AW975" s="784"/>
      <c r="AX975" s="784"/>
    </row>
    <row r="976" spans="1:50" s="1554" customFormat="1" ht="30.75" customHeight="1" outlineLevel="1">
      <c r="A976" s="784"/>
      <c r="B976" s="784"/>
      <c r="C976" s="784"/>
      <c r="D976" s="784"/>
      <c r="E976" s="784"/>
      <c r="F976" s="784"/>
      <c r="G976" s="1037"/>
      <c r="H976" s="1421"/>
      <c r="I976" s="1421"/>
      <c r="J976" s="1421"/>
      <c r="K976" s="1421"/>
      <c r="L976" s="915"/>
      <c r="M976" s="1421"/>
      <c r="N976" s="1421"/>
      <c r="O976" s="1421"/>
      <c r="P976" s="1421"/>
      <c r="Q976" s="1421"/>
      <c r="R976" s="1421"/>
      <c r="S976" s="1421"/>
      <c r="T976" s="1421"/>
      <c r="U976" s="1421"/>
      <c r="V976" s="1421"/>
      <c r="W976" s="1421"/>
      <c r="X976" s="913" t="s">
        <v>2159</v>
      </c>
      <c r="Y976" s="1468" t="s">
        <v>2160</v>
      </c>
      <c r="Z976" s="784"/>
      <c r="AA976" s="784"/>
      <c r="AB976" s="1468">
        <v>10</v>
      </c>
      <c r="AC976" s="909">
        <v>1</v>
      </c>
      <c r="AD976" s="1528" t="s">
        <v>407</v>
      </c>
      <c r="AE976" s="1528" t="s">
        <v>2140</v>
      </c>
      <c r="AF976" s="1555">
        <v>1</v>
      </c>
      <c r="AG976" s="1421">
        <v>0</v>
      </c>
      <c r="AH976" s="784"/>
      <c r="AI976" s="784">
        <v>0</v>
      </c>
      <c r="AJ976" s="784"/>
      <c r="AK976" s="784"/>
      <c r="AL976" s="784"/>
      <c r="AM976" s="784"/>
      <c r="AN976" s="784"/>
      <c r="AO976" s="784"/>
      <c r="AP976" s="784"/>
      <c r="AQ976" s="784"/>
      <c r="AR976" s="784"/>
      <c r="AS976" s="784"/>
      <c r="AT976" s="784"/>
      <c r="AU976" s="784"/>
      <c r="AV976" s="784"/>
      <c r="AW976" s="784"/>
      <c r="AX976" s="784"/>
    </row>
    <row r="977" spans="1:50" s="1554" customFormat="1" ht="30.75" customHeight="1" outlineLevel="1">
      <c r="A977" s="784"/>
      <c r="B977" s="784"/>
      <c r="C977" s="784"/>
      <c r="D977" s="784"/>
      <c r="E977" s="784"/>
      <c r="F977" s="784"/>
      <c r="G977" s="1037"/>
      <c r="H977" s="1421"/>
      <c r="I977" s="1421"/>
      <c r="J977" s="1421"/>
      <c r="K977" s="1421"/>
      <c r="L977" s="915"/>
      <c r="M977" s="1421"/>
      <c r="N977" s="1421"/>
      <c r="O977" s="1421"/>
      <c r="P977" s="1421"/>
      <c r="Q977" s="1421"/>
      <c r="R977" s="1421"/>
      <c r="S977" s="1421"/>
      <c r="T977" s="1421"/>
      <c r="U977" s="1421"/>
      <c r="V977" s="1421"/>
      <c r="W977" s="1421"/>
      <c r="X977" s="1169" t="s">
        <v>2161</v>
      </c>
      <c r="Y977" s="1468" t="s">
        <v>2162</v>
      </c>
      <c r="Z977" s="784"/>
      <c r="AA977" s="784"/>
      <c r="AB977" s="1468">
        <v>11</v>
      </c>
      <c r="AC977" s="909">
        <v>1</v>
      </c>
      <c r="AD977" s="1528" t="s">
        <v>407</v>
      </c>
      <c r="AE977" s="1528" t="s">
        <v>2140</v>
      </c>
      <c r="AF977" s="1555">
        <v>1</v>
      </c>
      <c r="AG977" s="1421">
        <v>0</v>
      </c>
      <c r="AH977" s="784"/>
      <c r="AI977" s="784">
        <v>0</v>
      </c>
      <c r="AJ977" s="784"/>
      <c r="AK977" s="784"/>
      <c r="AL977" s="784"/>
      <c r="AM977" s="784"/>
      <c r="AN977" s="784"/>
      <c r="AO977" s="784"/>
      <c r="AP977" s="784"/>
      <c r="AQ977" s="784"/>
      <c r="AR977" s="784"/>
      <c r="AS977" s="784"/>
      <c r="AT977" s="784"/>
      <c r="AU977" s="784"/>
      <c r="AV977" s="784"/>
      <c r="AW977" s="784"/>
      <c r="AX977" s="784"/>
    </row>
    <row r="978" spans="1:50" s="1554" customFormat="1" ht="30.75" customHeight="1" outlineLevel="1">
      <c r="A978" s="784"/>
      <c r="B978" s="784"/>
      <c r="C978" s="784"/>
      <c r="D978" s="784"/>
      <c r="E978" s="784"/>
      <c r="F978" s="784"/>
      <c r="G978" s="1037"/>
      <c r="H978" s="1421"/>
      <c r="I978" s="1421"/>
      <c r="J978" s="1421"/>
      <c r="K978" s="1421"/>
      <c r="L978" s="915"/>
      <c r="M978" s="1421"/>
      <c r="N978" s="1421"/>
      <c r="O978" s="1421"/>
      <c r="P978" s="1421"/>
      <c r="Q978" s="1421"/>
      <c r="R978" s="1421"/>
      <c r="S978" s="1421"/>
      <c r="T978" s="1421"/>
      <c r="U978" s="1421"/>
      <c r="V978" s="1421"/>
      <c r="W978" s="1421"/>
      <c r="X978" s="913" t="s">
        <v>2163</v>
      </c>
      <c r="Y978" s="1468" t="s">
        <v>2164</v>
      </c>
      <c r="Z978" s="784"/>
      <c r="AA978" s="784"/>
      <c r="AB978" s="1468">
        <v>12</v>
      </c>
      <c r="AC978" s="909">
        <v>1</v>
      </c>
      <c r="AD978" s="1528" t="s">
        <v>407</v>
      </c>
      <c r="AE978" s="1528" t="s">
        <v>2140</v>
      </c>
      <c r="AF978" s="1555">
        <v>1</v>
      </c>
      <c r="AG978" s="1421">
        <v>0</v>
      </c>
      <c r="AH978" s="784"/>
      <c r="AI978" s="784">
        <v>0</v>
      </c>
      <c r="AJ978" s="784"/>
      <c r="AK978" s="784"/>
      <c r="AL978" s="784"/>
      <c r="AM978" s="784"/>
      <c r="AN978" s="784"/>
      <c r="AO978" s="784"/>
      <c r="AP978" s="784"/>
      <c r="AQ978" s="784"/>
      <c r="AR978" s="784"/>
      <c r="AS978" s="784"/>
      <c r="AT978" s="784"/>
      <c r="AU978" s="784"/>
      <c r="AV978" s="784"/>
      <c r="AW978" s="784"/>
      <c r="AX978" s="784"/>
    </row>
    <row r="979" spans="1:50" s="1554" customFormat="1" ht="30.75" customHeight="1" outlineLevel="1">
      <c r="A979" s="784"/>
      <c r="B979" s="784"/>
      <c r="C979" s="784"/>
      <c r="D979" s="784"/>
      <c r="E979" s="784"/>
      <c r="F979" s="784"/>
      <c r="G979" s="1037"/>
      <c r="H979" s="1421"/>
      <c r="I979" s="1421"/>
      <c r="J979" s="1421"/>
      <c r="K979" s="1421"/>
      <c r="L979" s="915"/>
      <c r="M979" s="1421"/>
      <c r="N979" s="1421"/>
      <c r="O979" s="1421"/>
      <c r="P979" s="1421"/>
      <c r="Q979" s="1421"/>
      <c r="R979" s="1421"/>
      <c r="S979" s="1421"/>
      <c r="T979" s="1421"/>
      <c r="U979" s="1421"/>
      <c r="V979" s="1421"/>
      <c r="W979" s="1421"/>
      <c r="X979" s="913" t="s">
        <v>2165</v>
      </c>
      <c r="Y979" s="1468" t="s">
        <v>2166</v>
      </c>
      <c r="Z979" s="784"/>
      <c r="AA979" s="784"/>
      <c r="AB979" s="1468">
        <v>13</v>
      </c>
      <c r="AC979" s="909">
        <v>1</v>
      </c>
      <c r="AD979" s="1528" t="s">
        <v>407</v>
      </c>
      <c r="AE979" s="1528" t="s">
        <v>2140</v>
      </c>
      <c r="AF979" s="1555">
        <v>1</v>
      </c>
      <c r="AG979" s="1421">
        <v>0</v>
      </c>
      <c r="AH979" s="784"/>
      <c r="AI979" s="784">
        <v>0</v>
      </c>
      <c r="AJ979" s="784"/>
      <c r="AK979" s="784"/>
      <c r="AL979" s="784"/>
      <c r="AM979" s="784"/>
      <c r="AN979" s="784"/>
      <c r="AO979" s="784"/>
      <c r="AP979" s="784"/>
      <c r="AQ979" s="784"/>
      <c r="AR979" s="784"/>
      <c r="AS979" s="784"/>
      <c r="AT979" s="784"/>
      <c r="AU979" s="784"/>
      <c r="AV979" s="784"/>
      <c r="AW979" s="784"/>
      <c r="AX979" s="784"/>
    </row>
    <row r="980" spans="1:50" s="1554" customFormat="1" ht="30.75" customHeight="1" outlineLevel="1">
      <c r="A980" s="784"/>
      <c r="B980" s="784"/>
      <c r="C980" s="784"/>
      <c r="D980" s="784"/>
      <c r="E980" s="784"/>
      <c r="F980" s="784"/>
      <c r="G980" s="1037"/>
      <c r="H980" s="1421"/>
      <c r="I980" s="1421"/>
      <c r="J980" s="1421"/>
      <c r="K980" s="1421"/>
      <c r="L980" s="915"/>
      <c r="M980" s="1421"/>
      <c r="N980" s="1421"/>
      <c r="O980" s="1421"/>
      <c r="P980" s="1421"/>
      <c r="Q980" s="1421"/>
      <c r="R980" s="1421"/>
      <c r="S980" s="1421"/>
      <c r="T980" s="1421"/>
      <c r="U980" s="1421"/>
      <c r="V980" s="1421"/>
      <c r="W980" s="1421"/>
      <c r="X980" s="913" t="s">
        <v>2167</v>
      </c>
      <c r="Y980" s="1468" t="s">
        <v>2168</v>
      </c>
      <c r="Z980" s="784"/>
      <c r="AA980" s="784"/>
      <c r="AB980" s="1468">
        <v>14</v>
      </c>
      <c r="AC980" s="909">
        <v>1</v>
      </c>
      <c r="AD980" s="1528" t="s">
        <v>407</v>
      </c>
      <c r="AE980" s="1528" t="s">
        <v>2140</v>
      </c>
      <c r="AF980" s="1555">
        <v>1</v>
      </c>
      <c r="AG980" s="1421">
        <v>0</v>
      </c>
      <c r="AH980" s="784"/>
      <c r="AI980" s="784">
        <v>0</v>
      </c>
      <c r="AJ980" s="784"/>
      <c r="AK980" s="784"/>
      <c r="AL980" s="784"/>
      <c r="AM980" s="784"/>
      <c r="AN980" s="784"/>
      <c r="AO980" s="784"/>
      <c r="AP980" s="784"/>
      <c r="AQ980" s="784"/>
      <c r="AR980" s="784"/>
      <c r="AS980" s="784"/>
      <c r="AT980" s="784"/>
      <c r="AU980" s="784"/>
      <c r="AV980" s="784"/>
      <c r="AW980" s="784"/>
      <c r="AX980" s="784"/>
    </row>
    <row r="981" spans="1:50" s="1554" customFormat="1" ht="30.75" customHeight="1" outlineLevel="1">
      <c r="A981" s="784"/>
      <c r="B981" s="784"/>
      <c r="C981" s="784"/>
      <c r="D981" s="784"/>
      <c r="E981" s="784"/>
      <c r="F981" s="784"/>
      <c r="G981" s="1037"/>
      <c r="H981" s="1421"/>
      <c r="I981" s="1421"/>
      <c r="J981" s="1421"/>
      <c r="K981" s="1421"/>
      <c r="L981" s="915"/>
      <c r="M981" s="1421"/>
      <c r="N981" s="1421"/>
      <c r="O981" s="1421"/>
      <c r="P981" s="1421"/>
      <c r="Q981" s="1421"/>
      <c r="R981" s="1421"/>
      <c r="S981" s="1421"/>
      <c r="T981" s="1421"/>
      <c r="U981" s="1421"/>
      <c r="V981" s="1421"/>
      <c r="W981" s="1421"/>
      <c r="X981" s="913" t="s">
        <v>2169</v>
      </c>
      <c r="Y981" s="1468" t="s">
        <v>2170</v>
      </c>
      <c r="Z981" s="784"/>
      <c r="AA981" s="784"/>
      <c r="AB981" s="1468">
        <v>15</v>
      </c>
      <c r="AC981" s="909">
        <v>1</v>
      </c>
      <c r="AD981" s="1528" t="s">
        <v>407</v>
      </c>
      <c r="AE981" s="1528" t="s">
        <v>2140</v>
      </c>
      <c r="AF981" s="1555">
        <v>1</v>
      </c>
      <c r="AG981" s="1421">
        <v>0</v>
      </c>
      <c r="AH981" s="784"/>
      <c r="AI981" s="784">
        <v>0</v>
      </c>
      <c r="AJ981" s="784"/>
      <c r="AK981" s="784"/>
      <c r="AL981" s="784"/>
      <c r="AM981" s="784"/>
      <c r="AN981" s="784"/>
      <c r="AO981" s="784"/>
      <c r="AP981" s="784"/>
      <c r="AQ981" s="784"/>
      <c r="AR981" s="784"/>
      <c r="AS981" s="784"/>
      <c r="AT981" s="784"/>
      <c r="AU981" s="784"/>
      <c r="AV981" s="784"/>
      <c r="AW981" s="784"/>
      <c r="AX981" s="784"/>
    </row>
    <row r="982" spans="1:50" s="1554" customFormat="1" ht="30.75" customHeight="1" outlineLevel="1">
      <c r="A982" s="784"/>
      <c r="B982" s="784"/>
      <c r="C982" s="784"/>
      <c r="D982" s="784"/>
      <c r="E982" s="784"/>
      <c r="F982" s="784"/>
      <c r="G982" s="1037"/>
      <c r="H982" s="1421"/>
      <c r="I982" s="1421"/>
      <c r="J982" s="1421"/>
      <c r="K982" s="1421"/>
      <c r="L982" s="915"/>
      <c r="M982" s="1421"/>
      <c r="N982" s="1421"/>
      <c r="O982" s="1421"/>
      <c r="P982" s="1421"/>
      <c r="Q982" s="1421"/>
      <c r="R982" s="1421"/>
      <c r="S982" s="1421"/>
      <c r="T982" s="1421"/>
      <c r="U982" s="1421"/>
      <c r="V982" s="1421"/>
      <c r="W982" s="1421"/>
      <c r="X982" s="913" t="s">
        <v>2171</v>
      </c>
      <c r="Y982" s="1468" t="s">
        <v>2172</v>
      </c>
      <c r="Z982" s="784"/>
      <c r="AA982" s="784"/>
      <c r="AB982" s="1468">
        <v>16</v>
      </c>
      <c r="AC982" s="909">
        <v>1</v>
      </c>
      <c r="AD982" s="1528" t="s">
        <v>407</v>
      </c>
      <c r="AE982" s="1528" t="s">
        <v>2140</v>
      </c>
      <c r="AF982" s="1555">
        <v>1</v>
      </c>
      <c r="AG982" s="1421">
        <v>0</v>
      </c>
      <c r="AH982" s="784"/>
      <c r="AI982" s="784">
        <v>0</v>
      </c>
      <c r="AJ982" s="784"/>
      <c r="AK982" s="784"/>
      <c r="AL982" s="784"/>
      <c r="AM982" s="784"/>
      <c r="AN982" s="784"/>
      <c r="AO982" s="784"/>
      <c r="AP982" s="784"/>
      <c r="AQ982" s="784"/>
      <c r="AR982" s="784"/>
      <c r="AS982" s="784"/>
      <c r="AT982" s="784"/>
      <c r="AU982" s="784"/>
      <c r="AV982" s="784"/>
      <c r="AW982" s="784"/>
      <c r="AX982" s="784"/>
    </row>
    <row r="983" spans="1:50" s="1554" customFormat="1" ht="30.75" customHeight="1" outlineLevel="1">
      <c r="A983" s="784"/>
      <c r="B983" s="784"/>
      <c r="C983" s="784"/>
      <c r="D983" s="784"/>
      <c r="E983" s="784"/>
      <c r="F983" s="784"/>
      <c r="G983" s="1037"/>
      <c r="H983" s="1421"/>
      <c r="I983" s="1421"/>
      <c r="J983" s="1421"/>
      <c r="K983" s="1421"/>
      <c r="L983" s="915"/>
      <c r="M983" s="1421"/>
      <c r="N983" s="1421"/>
      <c r="O983" s="1421"/>
      <c r="P983" s="1421"/>
      <c r="Q983" s="1421"/>
      <c r="R983" s="1421"/>
      <c r="S983" s="1421"/>
      <c r="T983" s="1421"/>
      <c r="U983" s="1421"/>
      <c r="V983" s="1421"/>
      <c r="W983" s="1421"/>
      <c r="X983" s="913" t="s">
        <v>2173</v>
      </c>
      <c r="Y983" s="1468" t="s">
        <v>2174</v>
      </c>
      <c r="Z983" s="784"/>
      <c r="AA983" s="784"/>
      <c r="AB983" s="1468">
        <v>17</v>
      </c>
      <c r="AC983" s="909">
        <v>1</v>
      </c>
      <c r="AD983" s="1528" t="s">
        <v>407</v>
      </c>
      <c r="AE983" s="1528" t="s">
        <v>2140</v>
      </c>
      <c r="AF983" s="1555">
        <v>1</v>
      </c>
      <c r="AG983" s="1421">
        <v>0</v>
      </c>
      <c r="AH983" s="784"/>
      <c r="AI983" s="784">
        <v>0</v>
      </c>
      <c r="AJ983" s="784"/>
      <c r="AK983" s="784"/>
      <c r="AL983" s="784"/>
      <c r="AM983" s="784"/>
      <c r="AN983" s="784"/>
      <c r="AO983" s="784"/>
      <c r="AP983" s="784"/>
      <c r="AQ983" s="784"/>
      <c r="AR983" s="784"/>
      <c r="AS983" s="784"/>
      <c r="AT983" s="784"/>
      <c r="AU983" s="784"/>
      <c r="AV983" s="784"/>
      <c r="AW983" s="784"/>
      <c r="AX983" s="784"/>
    </row>
    <row r="984" spans="1:50" s="1554" customFormat="1" ht="30.75" customHeight="1" outlineLevel="1">
      <c r="A984" s="784"/>
      <c r="B984" s="784"/>
      <c r="C984" s="784"/>
      <c r="D984" s="784"/>
      <c r="E984" s="784"/>
      <c r="F984" s="784"/>
      <c r="G984" s="1037"/>
      <c r="H984" s="1421"/>
      <c r="I984" s="1421"/>
      <c r="J984" s="1421"/>
      <c r="K984" s="1421"/>
      <c r="L984" s="915"/>
      <c r="M984" s="1421"/>
      <c r="N984" s="1421"/>
      <c r="O984" s="1421"/>
      <c r="P984" s="1421"/>
      <c r="Q984" s="1421"/>
      <c r="R984" s="1421"/>
      <c r="S984" s="1421"/>
      <c r="T984" s="1421"/>
      <c r="U984" s="1421"/>
      <c r="V984" s="1421"/>
      <c r="W984" s="1421"/>
      <c r="X984" s="913" t="s">
        <v>2175</v>
      </c>
      <c r="Y984" s="1468" t="s">
        <v>2176</v>
      </c>
      <c r="Z984" s="784"/>
      <c r="AA984" s="784"/>
      <c r="AB984" s="1468">
        <v>18</v>
      </c>
      <c r="AC984" s="909">
        <v>1</v>
      </c>
      <c r="AD984" s="1528" t="s">
        <v>407</v>
      </c>
      <c r="AE984" s="1528" t="s">
        <v>2140</v>
      </c>
      <c r="AF984" s="1555">
        <v>1</v>
      </c>
      <c r="AG984" s="1421">
        <v>0</v>
      </c>
      <c r="AH984" s="784"/>
      <c r="AI984" s="784">
        <v>0</v>
      </c>
      <c r="AJ984" s="784"/>
      <c r="AK984" s="784"/>
      <c r="AL984" s="784"/>
      <c r="AM984" s="784"/>
      <c r="AN984" s="784"/>
      <c r="AO984" s="784"/>
      <c r="AP984" s="784"/>
      <c r="AQ984" s="784"/>
      <c r="AR984" s="784"/>
      <c r="AS984" s="784"/>
      <c r="AT984" s="784"/>
      <c r="AU984" s="784"/>
      <c r="AV984" s="784"/>
      <c r="AW984" s="784"/>
      <c r="AX984" s="784"/>
    </row>
    <row r="985" spans="1:50" s="1554" customFormat="1" ht="30.75" customHeight="1" outlineLevel="1">
      <c r="A985" s="784"/>
      <c r="B985" s="784"/>
      <c r="C985" s="784"/>
      <c r="D985" s="784"/>
      <c r="E985" s="784"/>
      <c r="F985" s="784"/>
      <c r="G985" s="1037"/>
      <c r="H985" s="1421"/>
      <c r="I985" s="1421"/>
      <c r="J985" s="1421"/>
      <c r="K985" s="1421"/>
      <c r="L985" s="915"/>
      <c r="M985" s="1421"/>
      <c r="N985" s="1421"/>
      <c r="O985" s="1421"/>
      <c r="P985" s="1421"/>
      <c r="Q985" s="1421"/>
      <c r="R985" s="1421"/>
      <c r="S985" s="1421"/>
      <c r="T985" s="1421"/>
      <c r="U985" s="1421"/>
      <c r="V985" s="1421"/>
      <c r="W985" s="1421"/>
      <c r="X985" s="913" t="s">
        <v>2177</v>
      </c>
      <c r="Y985" s="1468" t="s">
        <v>2178</v>
      </c>
      <c r="Z985" s="784"/>
      <c r="AA985" s="784"/>
      <c r="AB985" s="1468">
        <v>19</v>
      </c>
      <c r="AC985" s="909">
        <v>1</v>
      </c>
      <c r="AD985" s="1528" t="s">
        <v>407</v>
      </c>
      <c r="AE985" s="1528" t="s">
        <v>2140</v>
      </c>
      <c r="AF985" s="1555">
        <v>1</v>
      </c>
      <c r="AG985" s="1421">
        <v>0</v>
      </c>
      <c r="AH985" s="784"/>
      <c r="AI985" s="784">
        <v>0</v>
      </c>
      <c r="AJ985" s="784"/>
      <c r="AK985" s="784"/>
      <c r="AL985" s="784"/>
      <c r="AM985" s="784"/>
      <c r="AN985" s="784"/>
      <c r="AO985" s="784"/>
      <c r="AP985" s="784"/>
      <c r="AQ985" s="784"/>
      <c r="AR985" s="784"/>
      <c r="AS985" s="784"/>
      <c r="AT985" s="784"/>
      <c r="AU985" s="784"/>
      <c r="AV985" s="784"/>
      <c r="AW985" s="784"/>
      <c r="AX985" s="784"/>
    </row>
    <row r="986" spans="1:50" s="1554" customFormat="1" ht="30.75" customHeight="1" outlineLevel="1">
      <c r="A986" s="784"/>
      <c r="B986" s="784"/>
      <c r="C986" s="784"/>
      <c r="D986" s="784"/>
      <c r="E986" s="784"/>
      <c r="F986" s="784"/>
      <c r="G986" s="1037"/>
      <c r="H986" s="1421"/>
      <c r="I986" s="1421"/>
      <c r="J986" s="1421"/>
      <c r="K986" s="1421"/>
      <c r="L986" s="915"/>
      <c r="M986" s="1421"/>
      <c r="N986" s="1421"/>
      <c r="O986" s="1421"/>
      <c r="P986" s="1421"/>
      <c r="Q986" s="1421"/>
      <c r="R986" s="1421"/>
      <c r="S986" s="1421"/>
      <c r="T986" s="1421"/>
      <c r="U986" s="1421"/>
      <c r="V986" s="1421"/>
      <c r="W986" s="1421"/>
      <c r="X986" s="913" t="s">
        <v>2179</v>
      </c>
      <c r="Y986" s="1468" t="s">
        <v>2180</v>
      </c>
      <c r="Z986" s="784"/>
      <c r="AA986" s="784"/>
      <c r="AB986" s="1468">
        <v>20</v>
      </c>
      <c r="AC986" s="909">
        <v>1</v>
      </c>
      <c r="AD986" s="1528" t="s">
        <v>407</v>
      </c>
      <c r="AE986" s="1528" t="s">
        <v>2140</v>
      </c>
      <c r="AF986" s="1555">
        <v>1</v>
      </c>
      <c r="AG986" s="1421">
        <v>0</v>
      </c>
      <c r="AH986" s="784"/>
      <c r="AI986" s="784">
        <v>0</v>
      </c>
      <c r="AJ986" s="784"/>
      <c r="AK986" s="784"/>
      <c r="AL986" s="784"/>
      <c r="AM986" s="784"/>
      <c r="AN986" s="784"/>
      <c r="AO986" s="784"/>
      <c r="AP986" s="784"/>
      <c r="AQ986" s="784"/>
      <c r="AR986" s="784"/>
      <c r="AS986" s="784"/>
      <c r="AT986" s="784"/>
      <c r="AU986" s="784"/>
      <c r="AV986" s="784"/>
      <c r="AW986" s="784"/>
      <c r="AX986" s="784"/>
    </row>
    <row r="987" spans="1:50" s="1554" customFormat="1" ht="30.75" customHeight="1" outlineLevel="1">
      <c r="A987" s="784"/>
      <c r="B987" s="784"/>
      <c r="C987" s="784"/>
      <c r="D987" s="784"/>
      <c r="E987" s="784"/>
      <c r="F987" s="784"/>
      <c r="G987" s="1037"/>
      <c r="H987" s="1421"/>
      <c r="I987" s="1421"/>
      <c r="J987" s="1421"/>
      <c r="K987" s="1421"/>
      <c r="L987" s="915"/>
      <c r="M987" s="1421"/>
      <c r="N987" s="1421"/>
      <c r="O987" s="1421"/>
      <c r="P987" s="1421"/>
      <c r="Q987" s="1421"/>
      <c r="R987" s="1421"/>
      <c r="S987" s="1421"/>
      <c r="T987" s="1421"/>
      <c r="U987" s="1421"/>
      <c r="V987" s="1421"/>
      <c r="W987" s="1421"/>
      <c r="X987" s="913" t="s">
        <v>2181</v>
      </c>
      <c r="Y987" s="1468" t="s">
        <v>2182</v>
      </c>
      <c r="Z987" s="784"/>
      <c r="AA987" s="784"/>
      <c r="AB987" s="1468">
        <v>21</v>
      </c>
      <c r="AC987" s="909">
        <v>1</v>
      </c>
      <c r="AD987" s="1528" t="s">
        <v>407</v>
      </c>
      <c r="AE987" s="1528" t="s">
        <v>2140</v>
      </c>
      <c r="AF987" s="1555">
        <v>1</v>
      </c>
      <c r="AG987" s="1421">
        <v>0</v>
      </c>
      <c r="AH987" s="784"/>
      <c r="AI987" s="784">
        <v>0</v>
      </c>
      <c r="AJ987" s="784"/>
      <c r="AK987" s="784"/>
      <c r="AL987" s="784"/>
      <c r="AM987" s="784"/>
      <c r="AN987" s="784"/>
      <c r="AO987" s="784"/>
      <c r="AP987" s="784"/>
      <c r="AQ987" s="784"/>
      <c r="AR987" s="784"/>
      <c r="AS987" s="784"/>
      <c r="AT987" s="784"/>
      <c r="AU987" s="784"/>
      <c r="AV987" s="784"/>
      <c r="AW987" s="784"/>
      <c r="AX987" s="784"/>
    </row>
    <row r="988" spans="1:50" s="1554" customFormat="1" ht="30.75" customHeight="1" outlineLevel="1">
      <c r="A988" s="784"/>
      <c r="B988" s="784"/>
      <c r="C988" s="784"/>
      <c r="D988" s="784"/>
      <c r="E988" s="784"/>
      <c r="F988" s="784"/>
      <c r="G988" s="1037"/>
      <c r="H988" s="1421"/>
      <c r="I988" s="1421"/>
      <c r="J988" s="1421"/>
      <c r="K988" s="1421"/>
      <c r="L988" s="915"/>
      <c r="M988" s="1421"/>
      <c r="N988" s="1421"/>
      <c r="O988" s="1421"/>
      <c r="P988" s="1421"/>
      <c r="Q988" s="1421"/>
      <c r="R988" s="1421"/>
      <c r="S988" s="1421"/>
      <c r="T988" s="1421"/>
      <c r="U988" s="1421"/>
      <c r="V988" s="1421"/>
      <c r="W988" s="1421"/>
      <c r="X988" s="913" t="s">
        <v>2183</v>
      </c>
      <c r="Y988" s="1468" t="s">
        <v>2184</v>
      </c>
      <c r="Z988" s="784"/>
      <c r="AA988" s="784"/>
      <c r="AB988" s="1468">
        <v>22</v>
      </c>
      <c r="AC988" s="909">
        <v>1</v>
      </c>
      <c r="AD988" s="1528" t="s">
        <v>407</v>
      </c>
      <c r="AE988" s="1528" t="s">
        <v>2140</v>
      </c>
      <c r="AF988" s="1555">
        <v>1</v>
      </c>
      <c r="AG988" s="1421">
        <v>0</v>
      </c>
      <c r="AH988" s="784"/>
      <c r="AI988" s="784">
        <v>0</v>
      </c>
      <c r="AJ988" s="784"/>
      <c r="AK988" s="784"/>
      <c r="AL988" s="784"/>
      <c r="AM988" s="784"/>
      <c r="AN988" s="784"/>
      <c r="AO988" s="784"/>
      <c r="AP988" s="784"/>
      <c r="AQ988" s="784"/>
      <c r="AR988" s="784"/>
      <c r="AS988" s="784"/>
      <c r="AT988" s="784"/>
      <c r="AU988" s="784"/>
      <c r="AV988" s="784"/>
      <c r="AW988" s="784"/>
      <c r="AX988" s="784"/>
    </row>
    <row r="989" spans="1:50" s="1554" customFormat="1" ht="30.75" customHeight="1" outlineLevel="1">
      <c r="A989" s="784"/>
      <c r="B989" s="784"/>
      <c r="C989" s="784"/>
      <c r="D989" s="784"/>
      <c r="E989" s="784"/>
      <c r="F989" s="784"/>
      <c r="G989" s="1037"/>
      <c r="H989" s="1421"/>
      <c r="I989" s="1421"/>
      <c r="J989" s="1421"/>
      <c r="K989" s="1421"/>
      <c r="L989" s="915"/>
      <c r="M989" s="1421"/>
      <c r="N989" s="1421"/>
      <c r="O989" s="1421"/>
      <c r="P989" s="1421"/>
      <c r="Q989" s="1421"/>
      <c r="R989" s="1421"/>
      <c r="S989" s="1421"/>
      <c r="T989" s="1421"/>
      <c r="U989" s="1421"/>
      <c r="V989" s="1421"/>
      <c r="W989" s="1421"/>
      <c r="X989" s="913" t="s">
        <v>2185</v>
      </c>
      <c r="Y989" s="1468" t="s">
        <v>2186</v>
      </c>
      <c r="Z989" s="784"/>
      <c r="AA989" s="784"/>
      <c r="AB989" s="1468">
        <v>23</v>
      </c>
      <c r="AC989" s="909">
        <v>1</v>
      </c>
      <c r="AD989" s="1528" t="s">
        <v>407</v>
      </c>
      <c r="AE989" s="1528" t="s">
        <v>2140</v>
      </c>
      <c r="AF989" s="1555">
        <v>1</v>
      </c>
      <c r="AG989" s="1421">
        <v>0</v>
      </c>
      <c r="AH989" s="784"/>
      <c r="AI989" s="784">
        <v>0</v>
      </c>
      <c r="AJ989" s="784"/>
      <c r="AK989" s="784"/>
      <c r="AL989" s="784"/>
      <c r="AM989" s="784"/>
      <c r="AN989" s="784"/>
      <c r="AO989" s="784"/>
      <c r="AP989" s="784"/>
      <c r="AQ989" s="784"/>
      <c r="AR989" s="784"/>
      <c r="AS989" s="784"/>
      <c r="AT989" s="784"/>
      <c r="AU989" s="784"/>
      <c r="AV989" s="784"/>
      <c r="AW989" s="784"/>
      <c r="AX989" s="784"/>
    </row>
    <row r="990" spans="1:50" s="1554" customFormat="1" ht="30.75" customHeight="1" outlineLevel="1">
      <c r="A990" s="784"/>
      <c r="B990" s="784"/>
      <c r="C990" s="784"/>
      <c r="D990" s="784"/>
      <c r="E990" s="784"/>
      <c r="F990" s="784"/>
      <c r="G990" s="1037"/>
      <c r="H990" s="1421"/>
      <c r="I990" s="1421"/>
      <c r="J990" s="1421"/>
      <c r="K990" s="1421"/>
      <c r="L990" s="915"/>
      <c r="M990" s="1421"/>
      <c r="N990" s="1421"/>
      <c r="O990" s="1421"/>
      <c r="P990" s="1421"/>
      <c r="Q990" s="1421"/>
      <c r="R990" s="1421"/>
      <c r="S990" s="1421"/>
      <c r="T990" s="1421"/>
      <c r="U990" s="1421"/>
      <c r="V990" s="1421"/>
      <c r="W990" s="1421"/>
      <c r="X990" s="913" t="s">
        <v>2187</v>
      </c>
      <c r="Y990" s="1468" t="s">
        <v>2188</v>
      </c>
      <c r="Z990" s="784"/>
      <c r="AA990" s="784"/>
      <c r="AB990" s="1468">
        <v>24</v>
      </c>
      <c r="AC990" s="909">
        <v>1</v>
      </c>
      <c r="AD990" s="1528" t="s">
        <v>407</v>
      </c>
      <c r="AE990" s="1528" t="s">
        <v>2140</v>
      </c>
      <c r="AF990" s="1555">
        <v>1</v>
      </c>
      <c r="AG990" s="1421">
        <v>0</v>
      </c>
      <c r="AH990" s="784"/>
      <c r="AI990" s="784">
        <v>0</v>
      </c>
      <c r="AJ990" s="784"/>
      <c r="AK990" s="784"/>
      <c r="AL990" s="784"/>
      <c r="AM990" s="784"/>
      <c r="AN990" s="784"/>
      <c r="AO990" s="784"/>
      <c r="AP990" s="784"/>
      <c r="AQ990" s="784"/>
      <c r="AR990" s="784"/>
      <c r="AS990" s="784"/>
      <c r="AT990" s="784"/>
      <c r="AU990" s="784"/>
      <c r="AV990" s="784"/>
      <c r="AW990" s="784"/>
      <c r="AX990" s="784"/>
    </row>
    <row r="991" spans="1:50" s="1554" customFormat="1" ht="30.75" customHeight="1" outlineLevel="1">
      <c r="A991" s="784"/>
      <c r="B991" s="784"/>
      <c r="C991" s="784"/>
      <c r="D991" s="784"/>
      <c r="E991" s="784"/>
      <c r="F991" s="784"/>
      <c r="G991" s="1037"/>
      <c r="H991" s="1421"/>
      <c r="I991" s="1421"/>
      <c r="J991" s="1421"/>
      <c r="K991" s="1421"/>
      <c r="L991" s="915"/>
      <c r="M991" s="1421"/>
      <c r="N991" s="1421"/>
      <c r="O991" s="1421"/>
      <c r="P991" s="1421"/>
      <c r="Q991" s="1421"/>
      <c r="R991" s="1421"/>
      <c r="S991" s="1421"/>
      <c r="T991" s="1421"/>
      <c r="U991" s="1421"/>
      <c r="V991" s="1421"/>
      <c r="W991" s="1421"/>
      <c r="X991" s="913" t="s">
        <v>2189</v>
      </c>
      <c r="Y991" s="1468" t="s">
        <v>2190</v>
      </c>
      <c r="Z991" s="784"/>
      <c r="AA991" s="784"/>
      <c r="AB991" s="1468">
        <v>25</v>
      </c>
      <c r="AC991" s="909">
        <v>1</v>
      </c>
      <c r="AD991" s="1528" t="s">
        <v>407</v>
      </c>
      <c r="AE991" s="1528" t="s">
        <v>2140</v>
      </c>
      <c r="AF991" s="1555">
        <v>1</v>
      </c>
      <c r="AG991" s="1421">
        <v>0</v>
      </c>
      <c r="AH991" s="784"/>
      <c r="AI991" s="784">
        <v>0</v>
      </c>
      <c r="AJ991" s="784"/>
      <c r="AK991" s="784"/>
      <c r="AL991" s="784"/>
      <c r="AM991" s="784"/>
      <c r="AN991" s="784"/>
      <c r="AO991" s="784"/>
      <c r="AP991" s="784"/>
      <c r="AQ991" s="784"/>
      <c r="AR991" s="784"/>
      <c r="AS991" s="784"/>
      <c r="AT991" s="784"/>
      <c r="AU991" s="784"/>
      <c r="AV991" s="784"/>
      <c r="AW991" s="784"/>
      <c r="AX991" s="784"/>
    </row>
    <row r="992" spans="1:50" s="1554" customFormat="1" ht="30.75" customHeight="1" outlineLevel="1">
      <c r="A992" s="784"/>
      <c r="B992" s="784"/>
      <c r="C992" s="784"/>
      <c r="D992" s="784"/>
      <c r="E992" s="784"/>
      <c r="F992" s="784"/>
      <c r="G992" s="1037"/>
      <c r="H992" s="1421"/>
      <c r="I992" s="1421"/>
      <c r="J992" s="1421"/>
      <c r="K992" s="1421"/>
      <c r="L992" s="915"/>
      <c r="M992" s="1421"/>
      <c r="N992" s="1421"/>
      <c r="O992" s="1421"/>
      <c r="P992" s="1421"/>
      <c r="Q992" s="1421"/>
      <c r="R992" s="1421"/>
      <c r="S992" s="1421"/>
      <c r="T992" s="1421"/>
      <c r="U992" s="1421"/>
      <c r="V992" s="1421"/>
      <c r="W992" s="1421"/>
      <c r="X992" s="913" t="s">
        <v>2191</v>
      </c>
      <c r="Y992" s="1468" t="s">
        <v>2192</v>
      </c>
      <c r="Z992" s="784"/>
      <c r="AA992" s="784"/>
      <c r="AB992" s="1468">
        <v>26</v>
      </c>
      <c r="AC992" s="909">
        <v>1</v>
      </c>
      <c r="AD992" s="1528" t="s">
        <v>407</v>
      </c>
      <c r="AE992" s="1528" t="s">
        <v>2140</v>
      </c>
      <c r="AF992" s="1555">
        <v>1</v>
      </c>
      <c r="AG992" s="1421">
        <v>0</v>
      </c>
      <c r="AH992" s="784"/>
      <c r="AI992" s="784">
        <v>0</v>
      </c>
      <c r="AJ992" s="784"/>
      <c r="AK992" s="784"/>
      <c r="AL992" s="784"/>
      <c r="AM992" s="784"/>
      <c r="AN992" s="784"/>
      <c r="AO992" s="784"/>
      <c r="AP992" s="784"/>
      <c r="AQ992" s="784"/>
      <c r="AR992" s="784"/>
      <c r="AS992" s="784"/>
      <c r="AT992" s="784"/>
      <c r="AU992" s="784"/>
      <c r="AV992" s="784"/>
      <c r="AW992" s="784"/>
      <c r="AX992" s="784"/>
    </row>
    <row r="993" spans="1:50" s="1554" customFormat="1" ht="30.75" customHeight="1" outlineLevel="1">
      <c r="A993" s="784"/>
      <c r="B993" s="784"/>
      <c r="C993" s="784"/>
      <c r="D993" s="784"/>
      <c r="E993" s="784"/>
      <c r="F993" s="784"/>
      <c r="G993" s="1037"/>
      <c r="H993" s="1421"/>
      <c r="I993" s="1421"/>
      <c r="J993" s="1421"/>
      <c r="K993" s="1421"/>
      <c r="L993" s="915"/>
      <c r="M993" s="1421"/>
      <c r="N993" s="1421"/>
      <c r="O993" s="1421"/>
      <c r="P993" s="1421"/>
      <c r="Q993" s="1421"/>
      <c r="R993" s="1421"/>
      <c r="S993" s="1421"/>
      <c r="T993" s="1421"/>
      <c r="U993" s="1421"/>
      <c r="V993" s="1421"/>
      <c r="W993" s="1421"/>
      <c r="X993" s="913" t="s">
        <v>2193</v>
      </c>
      <c r="Y993" s="1468" t="s">
        <v>2194</v>
      </c>
      <c r="Z993" s="784"/>
      <c r="AA993" s="784"/>
      <c r="AB993" s="1468">
        <v>27</v>
      </c>
      <c r="AC993" s="909">
        <v>1</v>
      </c>
      <c r="AD993" s="1528" t="s">
        <v>407</v>
      </c>
      <c r="AE993" s="1528" t="s">
        <v>2140</v>
      </c>
      <c r="AF993" s="1555">
        <v>1</v>
      </c>
      <c r="AG993" s="1421">
        <v>0</v>
      </c>
      <c r="AH993" s="784"/>
      <c r="AI993" s="784">
        <v>0</v>
      </c>
      <c r="AJ993" s="784"/>
      <c r="AK993" s="784"/>
      <c r="AL993" s="784"/>
      <c r="AM993" s="784"/>
      <c r="AN993" s="784"/>
      <c r="AO993" s="784"/>
      <c r="AP993" s="784"/>
      <c r="AQ993" s="784"/>
      <c r="AR993" s="784"/>
      <c r="AS993" s="784"/>
      <c r="AT993" s="784"/>
      <c r="AU993" s="784"/>
      <c r="AV993" s="784"/>
      <c r="AW993" s="784"/>
      <c r="AX993" s="784"/>
    </row>
    <row r="994" spans="1:50" s="1554" customFormat="1" ht="30.75" customHeight="1" outlineLevel="1">
      <c r="A994" s="784"/>
      <c r="B994" s="784"/>
      <c r="C994" s="784"/>
      <c r="D994" s="784"/>
      <c r="E994" s="784"/>
      <c r="F994" s="784"/>
      <c r="G994" s="1037"/>
      <c r="H994" s="1421"/>
      <c r="I994" s="1421"/>
      <c r="J994" s="1421"/>
      <c r="K994" s="1421"/>
      <c r="L994" s="915"/>
      <c r="M994" s="1421"/>
      <c r="N994" s="1421"/>
      <c r="O994" s="1421"/>
      <c r="P994" s="1421"/>
      <c r="Q994" s="1421"/>
      <c r="R994" s="1421"/>
      <c r="S994" s="1421"/>
      <c r="T994" s="1421"/>
      <c r="U994" s="1421"/>
      <c r="V994" s="1421"/>
      <c r="W994" s="1421"/>
      <c r="X994" s="913" t="s">
        <v>2195</v>
      </c>
      <c r="Y994" s="1468" t="s">
        <v>2196</v>
      </c>
      <c r="Z994" s="784"/>
      <c r="AA994" s="784"/>
      <c r="AB994" s="1468">
        <v>28</v>
      </c>
      <c r="AC994" s="909">
        <v>1</v>
      </c>
      <c r="AD994" s="1528" t="s">
        <v>407</v>
      </c>
      <c r="AE994" s="1528" t="s">
        <v>2140</v>
      </c>
      <c r="AF994" s="1555">
        <v>1</v>
      </c>
      <c r="AG994" s="1421">
        <v>0</v>
      </c>
      <c r="AH994" s="784"/>
      <c r="AI994" s="784">
        <v>0</v>
      </c>
      <c r="AJ994" s="784"/>
      <c r="AK994" s="784"/>
      <c r="AL994" s="784"/>
      <c r="AM994" s="784"/>
      <c r="AN994" s="784"/>
      <c r="AO994" s="784"/>
      <c r="AP994" s="784"/>
      <c r="AQ994" s="784"/>
      <c r="AR994" s="784"/>
      <c r="AS994" s="784"/>
      <c r="AT994" s="784"/>
      <c r="AU994" s="784"/>
      <c r="AV994" s="784"/>
      <c r="AW994" s="784"/>
      <c r="AX994" s="784"/>
    </row>
    <row r="995" spans="1:50" s="1554" customFormat="1" ht="30.75" customHeight="1" outlineLevel="1">
      <c r="A995" s="784"/>
      <c r="B995" s="784"/>
      <c r="C995" s="784"/>
      <c r="D995" s="784"/>
      <c r="E995" s="784"/>
      <c r="F995" s="784"/>
      <c r="G995" s="1037"/>
      <c r="H995" s="1421"/>
      <c r="I995" s="1421"/>
      <c r="J995" s="1421"/>
      <c r="K995" s="1421"/>
      <c r="L995" s="915"/>
      <c r="M995" s="1421"/>
      <c r="N995" s="1421"/>
      <c r="O995" s="1421"/>
      <c r="P995" s="1421"/>
      <c r="Q995" s="1421"/>
      <c r="R995" s="1421"/>
      <c r="S995" s="1421"/>
      <c r="T995" s="1421"/>
      <c r="U995" s="1421"/>
      <c r="V995" s="1421"/>
      <c r="W995" s="1421"/>
      <c r="X995" s="913" t="s">
        <v>2197</v>
      </c>
      <c r="Y995" s="1468" t="s">
        <v>2198</v>
      </c>
      <c r="Z995" s="784"/>
      <c r="AA995" s="784"/>
      <c r="AB995" s="1468">
        <v>29</v>
      </c>
      <c r="AC995" s="909">
        <v>1</v>
      </c>
      <c r="AD995" s="1528" t="s">
        <v>407</v>
      </c>
      <c r="AE995" s="1528" t="s">
        <v>2140</v>
      </c>
      <c r="AF995" s="1555">
        <v>1</v>
      </c>
      <c r="AG995" s="1421">
        <v>0</v>
      </c>
      <c r="AH995" s="784"/>
      <c r="AI995" s="784">
        <v>0</v>
      </c>
      <c r="AJ995" s="784"/>
      <c r="AK995" s="784"/>
      <c r="AL995" s="784"/>
      <c r="AM995" s="784"/>
      <c r="AN995" s="784"/>
      <c r="AO995" s="784"/>
      <c r="AP995" s="784"/>
      <c r="AQ995" s="784"/>
      <c r="AR995" s="784"/>
      <c r="AS995" s="784"/>
      <c r="AT995" s="784"/>
      <c r="AU995" s="784"/>
      <c r="AV995" s="784"/>
      <c r="AW995" s="784"/>
      <c r="AX995" s="784"/>
    </row>
    <row r="996" spans="1:50" s="1554" customFormat="1" ht="30.75" customHeight="1" outlineLevel="1">
      <c r="A996" s="784"/>
      <c r="B996" s="784"/>
      <c r="C996" s="784"/>
      <c r="D996" s="784"/>
      <c r="E996" s="784"/>
      <c r="F996" s="784"/>
      <c r="G996" s="1037"/>
      <c r="H996" s="1421"/>
      <c r="I996" s="1421"/>
      <c r="J996" s="1421"/>
      <c r="K996" s="1421"/>
      <c r="L996" s="915"/>
      <c r="M996" s="1421"/>
      <c r="N996" s="1421"/>
      <c r="O996" s="1421"/>
      <c r="P996" s="1421"/>
      <c r="Q996" s="1421"/>
      <c r="R996" s="1421"/>
      <c r="S996" s="1421"/>
      <c r="T996" s="1421"/>
      <c r="U996" s="1421"/>
      <c r="V996" s="1421"/>
      <c r="W996" s="1421"/>
      <c r="X996" s="913" t="s">
        <v>2199</v>
      </c>
      <c r="Y996" s="1468" t="s">
        <v>2200</v>
      </c>
      <c r="Z996" s="784"/>
      <c r="AA996" s="784"/>
      <c r="AB996" s="1468">
        <v>30</v>
      </c>
      <c r="AC996" s="909">
        <v>1</v>
      </c>
      <c r="AD996" s="1528" t="s">
        <v>407</v>
      </c>
      <c r="AE996" s="1528" t="s">
        <v>2140</v>
      </c>
      <c r="AF996" s="1555">
        <v>1</v>
      </c>
      <c r="AG996" s="1421">
        <v>0</v>
      </c>
      <c r="AH996" s="784"/>
      <c r="AI996" s="784">
        <v>0</v>
      </c>
      <c r="AJ996" s="784"/>
      <c r="AK996" s="784"/>
      <c r="AL996" s="784"/>
      <c r="AM996" s="784"/>
      <c r="AN996" s="784"/>
      <c r="AO996" s="784"/>
      <c r="AP996" s="784"/>
      <c r="AQ996" s="784"/>
      <c r="AR996" s="784"/>
      <c r="AS996" s="784"/>
      <c r="AT996" s="784"/>
      <c r="AU996" s="784"/>
      <c r="AV996" s="784"/>
      <c r="AW996" s="784"/>
      <c r="AX996" s="784"/>
    </row>
    <row r="997" spans="1:50" s="1554" customFormat="1" ht="30.75" customHeight="1" outlineLevel="1">
      <c r="A997" s="784"/>
      <c r="B997" s="784"/>
      <c r="C997" s="784"/>
      <c r="D997" s="784"/>
      <c r="E997" s="784"/>
      <c r="F997" s="784"/>
      <c r="G997" s="1037"/>
      <c r="H997" s="1421"/>
      <c r="I997" s="1421"/>
      <c r="J997" s="1421"/>
      <c r="K997" s="1421"/>
      <c r="L997" s="915"/>
      <c r="M997" s="1421"/>
      <c r="N997" s="1421"/>
      <c r="O997" s="1421"/>
      <c r="P997" s="1421"/>
      <c r="Q997" s="1421"/>
      <c r="R997" s="1421"/>
      <c r="S997" s="1421"/>
      <c r="T997" s="1421"/>
      <c r="U997" s="1421"/>
      <c r="V997" s="1421"/>
      <c r="W997" s="1421"/>
      <c r="X997" s="913" t="s">
        <v>2201</v>
      </c>
      <c r="Y997" s="1468" t="s">
        <v>2202</v>
      </c>
      <c r="Z997" s="784"/>
      <c r="AA997" s="784"/>
      <c r="AB997" s="1468">
        <v>31</v>
      </c>
      <c r="AC997" s="909">
        <v>1</v>
      </c>
      <c r="AD997" s="1528" t="s">
        <v>407</v>
      </c>
      <c r="AE997" s="1528" t="s">
        <v>2140</v>
      </c>
      <c r="AF997" s="1555">
        <v>1</v>
      </c>
      <c r="AG997" s="1421">
        <v>0</v>
      </c>
      <c r="AH997" s="784"/>
      <c r="AI997" s="784">
        <v>0</v>
      </c>
      <c r="AJ997" s="784"/>
      <c r="AK997" s="784"/>
      <c r="AL997" s="784"/>
      <c r="AM997" s="784"/>
      <c r="AN997" s="784"/>
      <c r="AO997" s="784"/>
      <c r="AP997" s="784"/>
      <c r="AQ997" s="784"/>
      <c r="AR997" s="784"/>
      <c r="AS997" s="784"/>
      <c r="AT997" s="784"/>
      <c r="AU997" s="784"/>
      <c r="AV997" s="784"/>
      <c r="AW997" s="784"/>
      <c r="AX997" s="784"/>
    </row>
    <row r="998" spans="1:50" s="1554" customFormat="1" ht="30.75" customHeight="1" outlineLevel="1">
      <c r="A998" s="784"/>
      <c r="B998" s="784"/>
      <c r="C998" s="784"/>
      <c r="D998" s="784"/>
      <c r="E998" s="784"/>
      <c r="F998" s="784"/>
      <c r="G998" s="1037"/>
      <c r="H998" s="1421"/>
      <c r="I998" s="1421"/>
      <c r="J998" s="1421"/>
      <c r="K998" s="1421"/>
      <c r="L998" s="915"/>
      <c r="M998" s="1421"/>
      <c r="N998" s="1421"/>
      <c r="O998" s="1421"/>
      <c r="P998" s="1421"/>
      <c r="Q998" s="1421"/>
      <c r="R998" s="1421"/>
      <c r="S998" s="1421"/>
      <c r="T998" s="1421"/>
      <c r="U998" s="1421"/>
      <c r="V998" s="1421"/>
      <c r="W998" s="1421"/>
      <c r="X998" s="913" t="s">
        <v>2203</v>
      </c>
      <c r="Y998" s="1468" t="s">
        <v>2204</v>
      </c>
      <c r="Z998" s="784"/>
      <c r="AA998" s="784"/>
      <c r="AB998" s="1468">
        <v>32</v>
      </c>
      <c r="AC998" s="909">
        <v>1</v>
      </c>
      <c r="AD998" s="1528" t="s">
        <v>407</v>
      </c>
      <c r="AE998" s="1528" t="s">
        <v>2140</v>
      </c>
      <c r="AF998" s="1555">
        <v>1</v>
      </c>
      <c r="AG998" s="1421">
        <v>0</v>
      </c>
      <c r="AH998" s="784"/>
      <c r="AI998" s="784">
        <v>0</v>
      </c>
      <c r="AJ998" s="784"/>
      <c r="AK998" s="784"/>
      <c r="AL998" s="784"/>
      <c r="AM998" s="784"/>
      <c r="AN998" s="784"/>
      <c r="AO998" s="784"/>
      <c r="AP998" s="784"/>
      <c r="AQ998" s="784"/>
      <c r="AR998" s="784"/>
      <c r="AS998" s="784"/>
      <c r="AT998" s="784"/>
      <c r="AU998" s="784"/>
      <c r="AV998" s="784"/>
      <c r="AW998" s="784"/>
      <c r="AX998" s="784"/>
    </row>
    <row r="999" spans="1:50" s="1554" customFormat="1" ht="30.75" customHeight="1" outlineLevel="1">
      <c r="A999" s="784"/>
      <c r="B999" s="784"/>
      <c r="C999" s="784"/>
      <c r="D999" s="784"/>
      <c r="E999" s="784"/>
      <c r="F999" s="784"/>
      <c r="G999" s="1037"/>
      <c r="H999" s="1421"/>
      <c r="I999" s="1421"/>
      <c r="J999" s="1421"/>
      <c r="K999" s="1421"/>
      <c r="L999" s="915"/>
      <c r="M999" s="1421"/>
      <c r="N999" s="1421"/>
      <c r="O999" s="1421"/>
      <c r="P999" s="1421"/>
      <c r="Q999" s="1421"/>
      <c r="R999" s="1421"/>
      <c r="S999" s="1421"/>
      <c r="T999" s="1421"/>
      <c r="U999" s="1421"/>
      <c r="V999" s="1421"/>
      <c r="W999" s="1421"/>
      <c r="X999" s="913" t="s">
        <v>2205</v>
      </c>
      <c r="Y999" s="1468" t="s">
        <v>2206</v>
      </c>
      <c r="Z999" s="784"/>
      <c r="AA999" s="784"/>
      <c r="AB999" s="1468">
        <v>33</v>
      </c>
      <c r="AC999" s="909">
        <v>1</v>
      </c>
      <c r="AD999" s="1528" t="s">
        <v>407</v>
      </c>
      <c r="AE999" s="1468" t="s">
        <v>2207</v>
      </c>
      <c r="AF999" s="1555">
        <v>1</v>
      </c>
      <c r="AG999" s="1421">
        <v>0</v>
      </c>
      <c r="AH999" s="784"/>
      <c r="AI999" s="784">
        <v>0</v>
      </c>
      <c r="AJ999" s="784"/>
      <c r="AK999" s="784"/>
      <c r="AL999" s="784"/>
      <c r="AM999" s="784"/>
      <c r="AN999" s="784"/>
      <c r="AO999" s="784"/>
      <c r="AP999" s="784"/>
      <c r="AQ999" s="784"/>
      <c r="AR999" s="784"/>
      <c r="AS999" s="784"/>
      <c r="AT999" s="784"/>
      <c r="AU999" s="784"/>
      <c r="AV999" s="784"/>
      <c r="AW999" s="784"/>
      <c r="AX999" s="784"/>
    </row>
    <row r="1000" spans="1:50" s="1554" customFormat="1" ht="30.75" customHeight="1" outlineLevel="1">
      <c r="A1000" s="784"/>
      <c r="B1000" s="784"/>
      <c r="C1000" s="784"/>
      <c r="D1000" s="784"/>
      <c r="E1000" s="784"/>
      <c r="F1000" s="784"/>
      <c r="G1000" s="1037"/>
      <c r="H1000" s="1421"/>
      <c r="I1000" s="1421"/>
      <c r="J1000" s="1421"/>
      <c r="K1000" s="1421"/>
      <c r="L1000" s="915"/>
      <c r="M1000" s="1421"/>
      <c r="N1000" s="1421"/>
      <c r="O1000" s="1421"/>
      <c r="P1000" s="1421"/>
      <c r="Q1000" s="1421"/>
      <c r="R1000" s="1421"/>
      <c r="S1000" s="1421"/>
      <c r="T1000" s="1421"/>
      <c r="U1000" s="1421"/>
      <c r="V1000" s="1421"/>
      <c r="W1000" s="1421"/>
      <c r="X1000" s="913" t="s">
        <v>2208</v>
      </c>
      <c r="Y1000" s="1468" t="s">
        <v>2209</v>
      </c>
      <c r="Z1000" s="784"/>
      <c r="AA1000" s="784"/>
      <c r="AB1000" s="1468">
        <v>34</v>
      </c>
      <c r="AC1000" s="909">
        <v>1</v>
      </c>
      <c r="AD1000" s="1528" t="s">
        <v>407</v>
      </c>
      <c r="AE1000" s="1468" t="s">
        <v>2210</v>
      </c>
      <c r="AF1000" s="1555">
        <v>1</v>
      </c>
      <c r="AG1000" s="1421">
        <v>0</v>
      </c>
      <c r="AH1000" s="784"/>
      <c r="AI1000" s="784">
        <v>0</v>
      </c>
      <c r="AJ1000" s="784"/>
      <c r="AK1000" s="784"/>
      <c r="AL1000" s="784"/>
      <c r="AM1000" s="784"/>
      <c r="AN1000" s="784"/>
      <c r="AO1000" s="784"/>
      <c r="AP1000" s="784"/>
      <c r="AQ1000" s="784"/>
      <c r="AR1000" s="784"/>
      <c r="AS1000" s="784"/>
      <c r="AT1000" s="784"/>
      <c r="AU1000" s="784"/>
      <c r="AV1000" s="784"/>
      <c r="AW1000" s="784"/>
      <c r="AX1000" s="784"/>
    </row>
    <row r="1001" spans="1:50" s="1554" customFormat="1" ht="30.75" customHeight="1" outlineLevel="1">
      <c r="A1001" s="784"/>
      <c r="B1001" s="784"/>
      <c r="C1001" s="784"/>
      <c r="D1001" s="784"/>
      <c r="E1001" s="784"/>
      <c r="F1001" s="784"/>
      <c r="G1001" s="1037"/>
      <c r="H1001" s="1421"/>
      <c r="I1001" s="1421"/>
      <c r="J1001" s="1421"/>
      <c r="K1001" s="1421"/>
      <c r="L1001" s="915"/>
      <c r="M1001" s="1421"/>
      <c r="N1001" s="1421"/>
      <c r="O1001" s="1421"/>
      <c r="P1001" s="1421"/>
      <c r="Q1001" s="1421"/>
      <c r="R1001" s="1421"/>
      <c r="S1001" s="1421"/>
      <c r="T1001" s="1421"/>
      <c r="U1001" s="1421"/>
      <c r="V1001" s="1421"/>
      <c r="W1001" s="1421"/>
      <c r="X1001" s="913" t="s">
        <v>2211</v>
      </c>
      <c r="Y1001" s="1468" t="s">
        <v>2212</v>
      </c>
      <c r="Z1001" s="784"/>
      <c r="AA1001" s="784"/>
      <c r="AB1001" s="1468">
        <v>35</v>
      </c>
      <c r="AC1001" s="909">
        <v>1</v>
      </c>
      <c r="AD1001" s="1528" t="s">
        <v>407</v>
      </c>
      <c r="AE1001" s="1468" t="s">
        <v>2213</v>
      </c>
      <c r="AF1001" s="1555">
        <v>1</v>
      </c>
      <c r="AG1001" s="1421">
        <v>0</v>
      </c>
      <c r="AH1001" s="784"/>
      <c r="AI1001" s="784">
        <v>0</v>
      </c>
      <c r="AJ1001" s="784"/>
      <c r="AK1001" s="784"/>
      <c r="AL1001" s="784"/>
      <c r="AM1001" s="784"/>
      <c r="AN1001" s="784"/>
      <c r="AO1001" s="784"/>
      <c r="AP1001" s="784"/>
      <c r="AQ1001" s="784"/>
      <c r="AR1001" s="784"/>
      <c r="AS1001" s="784"/>
      <c r="AT1001" s="784"/>
      <c r="AU1001" s="784"/>
      <c r="AV1001" s="784"/>
      <c r="AW1001" s="784"/>
      <c r="AX1001" s="784"/>
    </row>
    <row r="1002" spans="1:50" s="1554" customFormat="1" ht="30.75" customHeight="1" outlineLevel="1">
      <c r="A1002" s="784"/>
      <c r="B1002" s="784"/>
      <c r="C1002" s="784"/>
      <c r="D1002" s="784"/>
      <c r="E1002" s="784"/>
      <c r="F1002" s="784"/>
      <c r="G1002" s="1037"/>
      <c r="H1002" s="1421"/>
      <c r="I1002" s="1421"/>
      <c r="J1002" s="1421"/>
      <c r="K1002" s="1421"/>
      <c r="L1002" s="915"/>
      <c r="M1002" s="1421"/>
      <c r="N1002" s="1421"/>
      <c r="O1002" s="1421"/>
      <c r="P1002" s="1421"/>
      <c r="Q1002" s="1421"/>
      <c r="R1002" s="1421"/>
      <c r="S1002" s="1421"/>
      <c r="T1002" s="1421"/>
      <c r="U1002" s="1421"/>
      <c r="V1002" s="1421"/>
      <c r="W1002" s="1421"/>
      <c r="X1002" s="913" t="s">
        <v>2214</v>
      </c>
      <c r="Y1002" s="1468" t="s">
        <v>2215</v>
      </c>
      <c r="Z1002" s="784"/>
      <c r="AA1002" s="784"/>
      <c r="AB1002" s="1468">
        <v>36</v>
      </c>
      <c r="AC1002" s="909">
        <v>1</v>
      </c>
      <c r="AD1002" s="1528" t="s">
        <v>407</v>
      </c>
      <c r="AE1002" s="1468" t="s">
        <v>2216</v>
      </c>
      <c r="AF1002" s="1555">
        <v>1</v>
      </c>
      <c r="AG1002" s="1421">
        <v>0</v>
      </c>
      <c r="AH1002" s="784"/>
      <c r="AI1002" s="784">
        <v>0</v>
      </c>
      <c r="AJ1002" s="784"/>
      <c r="AK1002" s="784"/>
      <c r="AL1002" s="784"/>
      <c r="AM1002" s="784"/>
      <c r="AN1002" s="784"/>
      <c r="AO1002" s="784"/>
      <c r="AP1002" s="784"/>
      <c r="AQ1002" s="784"/>
      <c r="AR1002" s="784"/>
      <c r="AS1002" s="784"/>
      <c r="AT1002" s="784"/>
      <c r="AU1002" s="784"/>
      <c r="AV1002" s="784"/>
      <c r="AW1002" s="784"/>
      <c r="AX1002" s="784"/>
    </row>
    <row r="1003" spans="1:50" s="1554" customFormat="1" ht="30.75" customHeight="1" outlineLevel="1">
      <c r="A1003" s="784"/>
      <c r="B1003" s="784"/>
      <c r="C1003" s="784"/>
      <c r="D1003" s="784"/>
      <c r="E1003" s="784"/>
      <c r="F1003" s="784"/>
      <c r="G1003" s="1037"/>
      <c r="H1003" s="1421"/>
      <c r="I1003" s="1421"/>
      <c r="J1003" s="1421"/>
      <c r="K1003" s="1421"/>
      <c r="L1003" s="915"/>
      <c r="M1003" s="1421"/>
      <c r="N1003" s="1421"/>
      <c r="O1003" s="1421"/>
      <c r="P1003" s="1421"/>
      <c r="Q1003" s="1421"/>
      <c r="R1003" s="1421"/>
      <c r="S1003" s="1421"/>
      <c r="T1003" s="1421"/>
      <c r="U1003" s="1421"/>
      <c r="V1003" s="1421"/>
      <c r="W1003" s="1421"/>
      <c r="X1003" s="913" t="s">
        <v>2217</v>
      </c>
      <c r="Y1003" s="1468" t="s">
        <v>2218</v>
      </c>
      <c r="Z1003" s="784"/>
      <c r="AA1003" s="784"/>
      <c r="AB1003" s="1468">
        <v>37</v>
      </c>
      <c r="AC1003" s="909">
        <v>1</v>
      </c>
      <c r="AD1003" s="1528" t="s">
        <v>407</v>
      </c>
      <c r="AE1003" s="1468" t="s">
        <v>2219</v>
      </c>
      <c r="AF1003" s="1555">
        <v>1</v>
      </c>
      <c r="AG1003" s="1421">
        <v>0</v>
      </c>
      <c r="AH1003" s="784"/>
      <c r="AI1003" s="784">
        <v>0</v>
      </c>
      <c r="AJ1003" s="784"/>
      <c r="AK1003" s="784"/>
      <c r="AL1003" s="784"/>
      <c r="AM1003" s="784"/>
      <c r="AN1003" s="784"/>
      <c r="AO1003" s="784"/>
      <c r="AP1003" s="784"/>
      <c r="AQ1003" s="784"/>
      <c r="AR1003" s="784"/>
      <c r="AS1003" s="784"/>
      <c r="AT1003" s="784"/>
      <c r="AU1003" s="784"/>
      <c r="AV1003" s="784"/>
      <c r="AW1003" s="784"/>
      <c r="AX1003" s="784"/>
    </row>
    <row r="1004" spans="1:50" s="1554" customFormat="1" ht="30.75" customHeight="1" outlineLevel="1">
      <c r="A1004" s="784"/>
      <c r="B1004" s="784"/>
      <c r="C1004" s="784"/>
      <c r="D1004" s="784"/>
      <c r="E1004" s="784"/>
      <c r="F1004" s="784"/>
      <c r="G1004" s="1037"/>
      <c r="H1004" s="1421"/>
      <c r="I1004" s="1421"/>
      <c r="J1004" s="1421"/>
      <c r="K1004" s="1421"/>
      <c r="L1004" s="915"/>
      <c r="M1004" s="1421"/>
      <c r="N1004" s="1421"/>
      <c r="O1004" s="1421"/>
      <c r="P1004" s="1421"/>
      <c r="Q1004" s="1421"/>
      <c r="R1004" s="1421"/>
      <c r="S1004" s="1421"/>
      <c r="T1004" s="1421"/>
      <c r="U1004" s="1421"/>
      <c r="V1004" s="1421"/>
      <c r="W1004" s="1421"/>
      <c r="X1004" s="913" t="s">
        <v>2220</v>
      </c>
      <c r="Y1004" s="1468" t="s">
        <v>2221</v>
      </c>
      <c r="Z1004" s="784"/>
      <c r="AA1004" s="784"/>
      <c r="AB1004" s="1468">
        <v>38</v>
      </c>
      <c r="AC1004" s="909">
        <v>1</v>
      </c>
      <c r="AD1004" s="1528" t="s">
        <v>407</v>
      </c>
      <c r="AE1004" s="1468" t="s">
        <v>2222</v>
      </c>
      <c r="AF1004" s="1555">
        <v>1</v>
      </c>
      <c r="AG1004" s="1421">
        <v>0</v>
      </c>
      <c r="AH1004" s="784"/>
      <c r="AI1004" s="784">
        <v>0</v>
      </c>
      <c r="AJ1004" s="784"/>
      <c r="AK1004" s="784"/>
      <c r="AL1004" s="784"/>
      <c r="AM1004" s="784"/>
      <c r="AN1004" s="784"/>
      <c r="AO1004" s="784"/>
      <c r="AP1004" s="784"/>
      <c r="AQ1004" s="784"/>
      <c r="AR1004" s="784"/>
      <c r="AS1004" s="784"/>
      <c r="AT1004" s="784"/>
      <c r="AU1004" s="784"/>
      <c r="AV1004" s="784"/>
      <c r="AW1004" s="784"/>
      <c r="AX1004" s="784"/>
    </row>
    <row r="1005" spans="1:50" s="1554" customFormat="1" ht="30.75" customHeight="1" outlineLevel="1">
      <c r="A1005" s="784"/>
      <c r="B1005" s="784"/>
      <c r="C1005" s="784"/>
      <c r="D1005" s="784"/>
      <c r="E1005" s="784"/>
      <c r="F1005" s="784"/>
      <c r="G1005" s="1037"/>
      <c r="H1005" s="1421"/>
      <c r="I1005" s="1421"/>
      <c r="J1005" s="1421"/>
      <c r="K1005" s="1421"/>
      <c r="L1005" s="915"/>
      <c r="M1005" s="1421"/>
      <c r="N1005" s="1421"/>
      <c r="O1005" s="1421"/>
      <c r="P1005" s="1421"/>
      <c r="Q1005" s="1421"/>
      <c r="R1005" s="1421"/>
      <c r="S1005" s="1421"/>
      <c r="T1005" s="1421"/>
      <c r="U1005" s="1421"/>
      <c r="V1005" s="1421"/>
      <c r="W1005" s="1421"/>
      <c r="X1005" s="913" t="s">
        <v>2223</v>
      </c>
      <c r="Y1005" s="1468" t="s">
        <v>2224</v>
      </c>
      <c r="Z1005" s="784"/>
      <c r="AA1005" s="784"/>
      <c r="AB1005" s="1468">
        <v>39</v>
      </c>
      <c r="AC1005" s="909">
        <v>1</v>
      </c>
      <c r="AD1005" s="1528" t="s">
        <v>407</v>
      </c>
      <c r="AE1005" s="1468" t="s">
        <v>2225</v>
      </c>
      <c r="AF1005" s="1555">
        <v>1</v>
      </c>
      <c r="AG1005" s="1421">
        <v>0</v>
      </c>
      <c r="AH1005" s="784"/>
      <c r="AI1005" s="784">
        <v>0</v>
      </c>
      <c r="AJ1005" s="784"/>
      <c r="AK1005" s="784"/>
      <c r="AL1005" s="784"/>
      <c r="AM1005" s="784"/>
      <c r="AN1005" s="784"/>
      <c r="AO1005" s="784"/>
      <c r="AP1005" s="784"/>
      <c r="AQ1005" s="784"/>
      <c r="AR1005" s="784"/>
      <c r="AS1005" s="784"/>
      <c r="AT1005" s="784"/>
      <c r="AU1005" s="784"/>
      <c r="AV1005" s="784"/>
      <c r="AW1005" s="784"/>
      <c r="AX1005" s="784"/>
    </row>
    <row r="1006" spans="1:50" s="1554" customFormat="1" ht="30.75" customHeight="1" outlineLevel="1">
      <c r="A1006" s="784"/>
      <c r="B1006" s="784"/>
      <c r="C1006" s="784"/>
      <c r="D1006" s="784"/>
      <c r="E1006" s="784"/>
      <c r="F1006" s="784"/>
      <c r="G1006" s="1037"/>
      <c r="H1006" s="1421"/>
      <c r="I1006" s="1421"/>
      <c r="J1006" s="1421"/>
      <c r="K1006" s="1421"/>
      <c r="L1006" s="915"/>
      <c r="M1006" s="1421"/>
      <c r="N1006" s="1421"/>
      <c r="O1006" s="1421"/>
      <c r="P1006" s="1421"/>
      <c r="Q1006" s="1421"/>
      <c r="R1006" s="1421"/>
      <c r="S1006" s="1421"/>
      <c r="T1006" s="1421"/>
      <c r="U1006" s="1421"/>
      <c r="V1006" s="1421"/>
      <c r="W1006" s="1421"/>
      <c r="X1006" s="913" t="s">
        <v>2226</v>
      </c>
      <c r="Y1006" s="1468" t="s">
        <v>2227</v>
      </c>
      <c r="Z1006" s="784"/>
      <c r="AA1006" s="784"/>
      <c r="AB1006" s="1468">
        <v>40</v>
      </c>
      <c r="AC1006" s="909">
        <v>1</v>
      </c>
      <c r="AD1006" s="1528" t="s">
        <v>407</v>
      </c>
      <c r="AE1006" s="1468" t="s">
        <v>2228</v>
      </c>
      <c r="AF1006" s="1555">
        <v>1</v>
      </c>
      <c r="AG1006" s="1421">
        <v>0</v>
      </c>
      <c r="AH1006" s="784"/>
      <c r="AI1006" s="784">
        <v>0</v>
      </c>
      <c r="AJ1006" s="784"/>
      <c r="AK1006" s="784"/>
      <c r="AL1006" s="784"/>
      <c r="AM1006" s="784"/>
      <c r="AN1006" s="784"/>
      <c r="AO1006" s="784"/>
      <c r="AP1006" s="784"/>
      <c r="AQ1006" s="784"/>
      <c r="AR1006" s="784"/>
      <c r="AS1006" s="784"/>
      <c r="AT1006" s="784"/>
      <c r="AU1006" s="784"/>
      <c r="AV1006" s="784"/>
      <c r="AW1006" s="784"/>
      <c r="AX1006" s="784"/>
    </row>
    <row r="1007" spans="1:50" s="1554" customFormat="1" ht="30.75" customHeight="1" outlineLevel="1">
      <c r="A1007" s="784"/>
      <c r="B1007" s="784"/>
      <c r="C1007" s="784"/>
      <c r="D1007" s="784"/>
      <c r="E1007" s="784"/>
      <c r="F1007" s="784"/>
      <c r="G1007" s="1037"/>
      <c r="H1007" s="1421"/>
      <c r="I1007" s="1421"/>
      <c r="J1007" s="1421"/>
      <c r="K1007" s="1421"/>
      <c r="L1007" s="915"/>
      <c r="M1007" s="1421"/>
      <c r="N1007" s="1421"/>
      <c r="O1007" s="1421"/>
      <c r="P1007" s="1421"/>
      <c r="Q1007" s="1421"/>
      <c r="R1007" s="1421"/>
      <c r="S1007" s="1421"/>
      <c r="T1007" s="1421"/>
      <c r="U1007" s="1421"/>
      <c r="V1007" s="1421"/>
      <c r="W1007" s="1421"/>
      <c r="X1007" s="913" t="s">
        <v>2229</v>
      </c>
      <c r="Y1007" s="1468" t="s">
        <v>2230</v>
      </c>
      <c r="Z1007" s="784"/>
      <c r="AA1007" s="784"/>
      <c r="AB1007" s="1468">
        <v>41</v>
      </c>
      <c r="AC1007" s="909">
        <v>1</v>
      </c>
      <c r="AD1007" s="1528" t="s">
        <v>407</v>
      </c>
      <c r="AE1007" s="1468" t="s">
        <v>2231</v>
      </c>
      <c r="AF1007" s="1555">
        <v>1</v>
      </c>
      <c r="AG1007" s="1421">
        <v>0</v>
      </c>
      <c r="AH1007" s="784"/>
      <c r="AI1007" s="784">
        <v>0</v>
      </c>
      <c r="AJ1007" s="784"/>
      <c r="AK1007" s="784"/>
      <c r="AL1007" s="784"/>
      <c r="AM1007" s="784"/>
      <c r="AN1007" s="784"/>
      <c r="AO1007" s="784"/>
      <c r="AP1007" s="784"/>
      <c r="AQ1007" s="784"/>
      <c r="AR1007" s="784"/>
      <c r="AS1007" s="784"/>
      <c r="AT1007" s="784"/>
      <c r="AU1007" s="784"/>
      <c r="AV1007" s="784"/>
      <c r="AW1007" s="784"/>
      <c r="AX1007" s="784"/>
    </row>
    <row r="1008" spans="1:50" s="1554" customFormat="1" ht="30.75" customHeight="1" outlineLevel="1">
      <c r="A1008" s="784"/>
      <c r="B1008" s="784"/>
      <c r="C1008" s="784"/>
      <c r="D1008" s="784"/>
      <c r="E1008" s="784"/>
      <c r="F1008" s="784"/>
      <c r="G1008" s="1037"/>
      <c r="H1008" s="1421"/>
      <c r="I1008" s="1421"/>
      <c r="J1008" s="1421"/>
      <c r="K1008" s="1421"/>
      <c r="L1008" s="915"/>
      <c r="M1008" s="1421"/>
      <c r="N1008" s="1421"/>
      <c r="O1008" s="1421"/>
      <c r="P1008" s="1421"/>
      <c r="Q1008" s="1421"/>
      <c r="R1008" s="1421"/>
      <c r="S1008" s="1421"/>
      <c r="T1008" s="1421"/>
      <c r="U1008" s="1421"/>
      <c r="V1008" s="1421"/>
      <c r="W1008" s="1421"/>
      <c r="X1008" s="913" t="s">
        <v>2232</v>
      </c>
      <c r="Y1008" s="1468" t="s">
        <v>2233</v>
      </c>
      <c r="Z1008" s="784"/>
      <c r="AA1008" s="784"/>
      <c r="AB1008" s="1468">
        <v>42</v>
      </c>
      <c r="AC1008" s="909">
        <v>1</v>
      </c>
      <c r="AD1008" s="1528" t="s">
        <v>407</v>
      </c>
      <c r="AE1008" s="1468" t="s">
        <v>2234</v>
      </c>
      <c r="AF1008" s="1555">
        <v>1</v>
      </c>
      <c r="AG1008" s="1421">
        <v>0</v>
      </c>
      <c r="AH1008" s="784"/>
      <c r="AI1008" s="784">
        <v>0</v>
      </c>
      <c r="AJ1008" s="784"/>
      <c r="AK1008" s="784"/>
      <c r="AL1008" s="784"/>
      <c r="AM1008" s="784"/>
      <c r="AN1008" s="784"/>
      <c r="AO1008" s="784"/>
      <c r="AP1008" s="784"/>
      <c r="AQ1008" s="784"/>
      <c r="AR1008" s="784"/>
      <c r="AS1008" s="784"/>
      <c r="AT1008" s="784"/>
      <c r="AU1008" s="784"/>
      <c r="AV1008" s="784"/>
      <c r="AW1008" s="784"/>
      <c r="AX1008" s="784"/>
    </row>
    <row r="1009" spans="1:50" s="1554" customFormat="1" ht="30.75" customHeight="1" outlineLevel="1">
      <c r="A1009" s="784"/>
      <c r="B1009" s="784"/>
      <c r="C1009" s="784"/>
      <c r="D1009" s="784"/>
      <c r="E1009" s="784"/>
      <c r="F1009" s="784"/>
      <c r="G1009" s="1037"/>
      <c r="H1009" s="1421"/>
      <c r="I1009" s="1421"/>
      <c r="J1009" s="1421"/>
      <c r="K1009" s="1421"/>
      <c r="L1009" s="915"/>
      <c r="M1009" s="1421"/>
      <c r="N1009" s="1421"/>
      <c r="O1009" s="1421"/>
      <c r="P1009" s="1421"/>
      <c r="Q1009" s="1421"/>
      <c r="R1009" s="1421"/>
      <c r="S1009" s="1421"/>
      <c r="T1009" s="1421"/>
      <c r="U1009" s="1421"/>
      <c r="V1009" s="1421"/>
      <c r="W1009" s="1421"/>
      <c r="X1009" s="913" t="s">
        <v>2235</v>
      </c>
      <c r="Y1009" s="1468" t="s">
        <v>2236</v>
      </c>
      <c r="Z1009" s="784"/>
      <c r="AA1009" s="784"/>
      <c r="AB1009" s="1468">
        <v>43</v>
      </c>
      <c r="AC1009" s="909">
        <v>1</v>
      </c>
      <c r="AD1009" s="1528" t="s">
        <v>407</v>
      </c>
      <c r="AE1009" s="1468" t="s">
        <v>2237</v>
      </c>
      <c r="AF1009" s="1555">
        <v>1</v>
      </c>
      <c r="AG1009" s="1421">
        <v>0</v>
      </c>
      <c r="AH1009" s="784"/>
      <c r="AI1009" s="784">
        <v>0</v>
      </c>
      <c r="AJ1009" s="784"/>
      <c r="AK1009" s="784"/>
      <c r="AL1009" s="784"/>
      <c r="AM1009" s="784"/>
      <c r="AN1009" s="784"/>
      <c r="AO1009" s="784"/>
      <c r="AP1009" s="784"/>
      <c r="AQ1009" s="784"/>
      <c r="AR1009" s="784"/>
      <c r="AS1009" s="784"/>
      <c r="AT1009" s="784"/>
      <c r="AU1009" s="784"/>
      <c r="AV1009" s="784"/>
      <c r="AW1009" s="784"/>
      <c r="AX1009" s="784"/>
    </row>
    <row r="1010" spans="1:50" s="1554" customFormat="1" ht="30.75" customHeight="1" outlineLevel="1">
      <c r="A1010" s="784"/>
      <c r="B1010" s="784"/>
      <c r="C1010" s="784"/>
      <c r="D1010" s="784"/>
      <c r="E1010" s="784"/>
      <c r="F1010" s="784"/>
      <c r="G1010" s="1037"/>
      <c r="H1010" s="1421"/>
      <c r="I1010" s="1421"/>
      <c r="J1010" s="1421"/>
      <c r="K1010" s="1421"/>
      <c r="L1010" s="915"/>
      <c r="M1010" s="1421"/>
      <c r="N1010" s="1421"/>
      <c r="O1010" s="1421"/>
      <c r="P1010" s="1421"/>
      <c r="Q1010" s="1421"/>
      <c r="R1010" s="1421"/>
      <c r="S1010" s="1421"/>
      <c r="T1010" s="1421"/>
      <c r="U1010" s="1421"/>
      <c r="V1010" s="1421"/>
      <c r="W1010" s="1421"/>
      <c r="X1010" s="913" t="s">
        <v>2238</v>
      </c>
      <c r="Y1010" s="1468" t="s">
        <v>2239</v>
      </c>
      <c r="Z1010" s="784"/>
      <c r="AA1010" s="784"/>
      <c r="AB1010" s="1468">
        <v>44</v>
      </c>
      <c r="AC1010" s="909">
        <v>1</v>
      </c>
      <c r="AD1010" s="1528" t="s">
        <v>407</v>
      </c>
      <c r="AE1010" s="1468" t="s">
        <v>2240</v>
      </c>
      <c r="AF1010" s="1555">
        <v>1</v>
      </c>
      <c r="AG1010" s="1421">
        <v>0</v>
      </c>
      <c r="AH1010" s="784"/>
      <c r="AI1010" s="784">
        <v>0</v>
      </c>
      <c r="AJ1010" s="784"/>
      <c r="AK1010" s="784"/>
      <c r="AL1010" s="784"/>
      <c r="AM1010" s="784"/>
      <c r="AN1010" s="784"/>
      <c r="AO1010" s="784"/>
      <c r="AP1010" s="784"/>
      <c r="AQ1010" s="784"/>
      <c r="AR1010" s="784"/>
      <c r="AS1010" s="784"/>
      <c r="AT1010" s="784"/>
      <c r="AU1010" s="784"/>
      <c r="AV1010" s="784"/>
      <c r="AW1010" s="784"/>
      <c r="AX1010" s="784"/>
    </row>
    <row r="1011" spans="1:50" s="1554" customFormat="1" ht="30.75" customHeight="1" outlineLevel="1">
      <c r="A1011" s="784"/>
      <c r="B1011" s="784"/>
      <c r="C1011" s="784"/>
      <c r="D1011" s="784"/>
      <c r="E1011" s="784"/>
      <c r="F1011" s="784"/>
      <c r="G1011" s="1037"/>
      <c r="H1011" s="1421"/>
      <c r="I1011" s="1421"/>
      <c r="J1011" s="1421"/>
      <c r="K1011" s="1421"/>
      <c r="L1011" s="915"/>
      <c r="M1011" s="1421"/>
      <c r="N1011" s="1421"/>
      <c r="O1011" s="1421"/>
      <c r="P1011" s="1421"/>
      <c r="Q1011" s="1421"/>
      <c r="R1011" s="1421"/>
      <c r="S1011" s="1421"/>
      <c r="T1011" s="1421"/>
      <c r="U1011" s="1421"/>
      <c r="V1011" s="1421"/>
      <c r="W1011" s="1421"/>
      <c r="X1011" s="913" t="s">
        <v>2241</v>
      </c>
      <c r="Y1011" s="893" t="s">
        <v>2242</v>
      </c>
      <c r="Z1011" s="784"/>
      <c r="AA1011" s="784"/>
      <c r="AB1011" s="893">
        <v>45</v>
      </c>
      <c r="AC1011" s="909">
        <v>1</v>
      </c>
      <c r="AD1011" s="1528" t="s">
        <v>407</v>
      </c>
      <c r="AE1011" s="893" t="s">
        <v>2243</v>
      </c>
      <c r="AF1011" s="1555">
        <v>1</v>
      </c>
      <c r="AG1011" s="1421">
        <v>0</v>
      </c>
      <c r="AH1011" s="784"/>
      <c r="AI1011" s="784">
        <v>0</v>
      </c>
      <c r="AJ1011" s="784"/>
      <c r="AK1011" s="784"/>
      <c r="AL1011" s="784"/>
      <c r="AM1011" s="784"/>
      <c r="AN1011" s="784"/>
      <c r="AO1011" s="784"/>
      <c r="AP1011" s="784"/>
      <c r="AQ1011" s="784"/>
      <c r="AR1011" s="784"/>
      <c r="AS1011" s="784"/>
      <c r="AT1011" s="784"/>
      <c r="AU1011" s="784"/>
      <c r="AV1011" s="784"/>
      <c r="AW1011" s="784"/>
      <c r="AX1011" s="784"/>
    </row>
    <row r="1012" spans="1:50" s="1554" customFormat="1" ht="30.75" customHeight="1" outlineLevel="1">
      <c r="A1012" s="784"/>
      <c r="B1012" s="784"/>
      <c r="C1012" s="784"/>
      <c r="D1012" s="784"/>
      <c r="E1012" s="784"/>
      <c r="F1012" s="784"/>
      <c r="G1012" s="1421"/>
      <c r="H1012" s="1421"/>
      <c r="I1012" s="1421"/>
      <c r="J1012" s="1421"/>
      <c r="K1012" s="1421"/>
      <c r="L1012" s="1549"/>
      <c r="M1012" s="1421"/>
      <c r="N1012" s="1421"/>
      <c r="O1012" s="1421"/>
      <c r="P1012" s="1421"/>
      <c r="Q1012" s="1421"/>
      <c r="R1012" s="1421"/>
      <c r="S1012" s="1421"/>
      <c r="T1012" s="1421"/>
      <c r="U1012" s="1421"/>
      <c r="V1012" s="1421"/>
      <c r="W1012" s="1421"/>
      <c r="X1012" s="913"/>
      <c r="Y1012" s="1468"/>
      <c r="Z1012" s="784"/>
      <c r="AA1012" s="784"/>
      <c r="AB1012" s="1468"/>
      <c r="AC1012" s="909"/>
      <c r="AD1012" s="1528"/>
      <c r="AE1012" s="1468"/>
      <c r="AF1012" s="1555"/>
      <c r="AG1012" s="1421"/>
      <c r="AH1012" s="784"/>
      <c r="AI1012" s="784"/>
      <c r="AJ1012" s="784"/>
      <c r="AK1012" s="784"/>
      <c r="AL1012" s="784"/>
      <c r="AM1012" s="784"/>
      <c r="AN1012" s="784"/>
      <c r="AO1012" s="784"/>
      <c r="AP1012" s="784"/>
      <c r="AQ1012" s="784"/>
      <c r="AR1012" s="784"/>
      <c r="AS1012" s="784"/>
      <c r="AT1012" s="784"/>
      <c r="AU1012" s="784"/>
      <c r="AV1012" s="784"/>
      <c r="AW1012" s="784"/>
      <c r="AX1012" s="784"/>
    </row>
    <row r="1013" spans="1:50" s="1554" customFormat="1" ht="30.75" customHeight="1" outlineLevel="1">
      <c r="A1013" s="784"/>
      <c r="B1013" s="784"/>
      <c r="C1013" s="784"/>
      <c r="D1013" s="784"/>
      <c r="E1013" s="784"/>
      <c r="F1013" s="784"/>
      <c r="G1013" s="1421"/>
      <c r="H1013" s="1421"/>
      <c r="I1013" s="1421"/>
      <c r="J1013" s="1421"/>
      <c r="K1013" s="1421"/>
      <c r="L1013" s="1549"/>
      <c r="M1013" s="1421"/>
      <c r="N1013" s="1421"/>
      <c r="O1013" s="1421"/>
      <c r="P1013" s="1421"/>
      <c r="Q1013" s="1421"/>
      <c r="R1013" s="1421"/>
      <c r="S1013" s="1421"/>
      <c r="T1013" s="1421"/>
      <c r="U1013" s="1421"/>
      <c r="V1013" s="1421"/>
      <c r="W1013" s="1421"/>
      <c r="X1013" s="913"/>
      <c r="Y1013" s="1468"/>
      <c r="Z1013" s="784"/>
      <c r="AA1013" s="784"/>
      <c r="AB1013" s="1468"/>
      <c r="AC1013" s="909"/>
      <c r="AD1013" s="1528"/>
      <c r="AE1013" s="1468"/>
      <c r="AF1013" s="1555"/>
      <c r="AG1013" s="1421"/>
      <c r="AH1013" s="784"/>
      <c r="AI1013" s="784"/>
      <c r="AJ1013" s="784"/>
      <c r="AK1013" s="784"/>
      <c r="AL1013" s="784"/>
      <c r="AM1013" s="784"/>
      <c r="AN1013" s="784"/>
      <c r="AO1013" s="784"/>
      <c r="AP1013" s="784"/>
      <c r="AQ1013" s="784"/>
      <c r="AR1013" s="784"/>
      <c r="AS1013" s="784"/>
      <c r="AT1013" s="784"/>
      <c r="AU1013" s="784"/>
      <c r="AV1013" s="784"/>
      <c r="AW1013" s="784"/>
      <c r="AX1013" s="784"/>
    </row>
    <row r="1014" spans="1:50" ht="14.25" customHeight="1">
      <c r="A1014" s="1363"/>
      <c r="B1014" s="1363"/>
      <c r="C1014" s="1363"/>
      <c r="D1014" s="1363"/>
      <c r="E1014" s="1363"/>
      <c r="F1014" s="1363"/>
      <c r="G1014" s="1363"/>
      <c r="H1014" s="1363"/>
      <c r="I1014" s="1363"/>
      <c r="J1014" s="1363"/>
      <c r="K1014" s="1363"/>
      <c r="L1014" s="1363"/>
      <c r="M1014" s="1363"/>
      <c r="N1014" s="1363"/>
      <c r="O1014" s="1363"/>
      <c r="P1014" s="1363"/>
      <c r="Q1014" s="1363"/>
      <c r="R1014" s="1363"/>
      <c r="S1014" s="1363"/>
      <c r="T1014" s="1363"/>
      <c r="U1014" s="1363"/>
      <c r="V1014" s="117"/>
      <c r="W1014" s="117"/>
      <c r="X1014" s="1538"/>
      <c r="Y1014" s="117"/>
      <c r="Z1014" s="1363"/>
      <c r="AA1014" s="1363"/>
      <c r="AB1014" s="1363"/>
      <c r="AC1014" s="1363"/>
      <c r="AD1014" s="1363"/>
      <c r="AE1014" s="1363"/>
      <c r="AF1014" s="1363"/>
      <c r="AG1014" s="1363"/>
      <c r="AH1014" s="1363"/>
      <c r="AI1014" s="1363"/>
      <c r="AJ1014" s="1363"/>
      <c r="AK1014" s="1363"/>
      <c r="AL1014" s="364"/>
      <c r="AM1014" s="1363"/>
      <c r="AN1014" s="1363"/>
    </row>
    <row r="1015" spans="1:50" ht="14.25" customHeight="1">
      <c r="X1015" s="596"/>
    </row>
    <row r="1016" spans="1:50" ht="14.25" customHeight="1">
      <c r="X1016" s="596"/>
    </row>
    <row r="1017" spans="1:50" ht="14.25" customHeight="1">
      <c r="X1017" s="596"/>
    </row>
    <row r="1018" spans="1:50" ht="14.25" customHeight="1">
      <c r="X1018" s="596"/>
    </row>
    <row r="1019" spans="1:50" ht="14.25" customHeight="1">
      <c r="X1019" s="596"/>
    </row>
    <row r="1020" spans="1:50" ht="14.25" customHeight="1">
      <c r="X1020" s="596"/>
    </row>
    <row r="1021" spans="1:50" ht="14.25" customHeight="1">
      <c r="X1021" s="596"/>
    </row>
    <row r="1022" spans="1:50" ht="14.25" customHeight="1">
      <c r="X1022" s="596"/>
    </row>
    <row r="1023" spans="1:50" ht="14.25" customHeight="1">
      <c r="X1023" s="596"/>
    </row>
    <row r="1024" spans="1:50" ht="14.25" customHeight="1">
      <c r="X1024" s="596"/>
    </row>
    <row r="1025" spans="24:24" ht="14.25" customHeight="1">
      <c r="X1025" s="596"/>
    </row>
    <row r="1026" spans="24:24" ht="14.25" customHeight="1">
      <c r="X1026" s="596"/>
    </row>
    <row r="1027" spans="24:24" ht="14.25" customHeight="1">
      <c r="X1027" s="596"/>
    </row>
    <row r="1028" spans="24:24" ht="14.25" customHeight="1">
      <c r="X1028" s="596"/>
    </row>
    <row r="1029" spans="24:24" ht="14.25" customHeight="1">
      <c r="X1029" s="596"/>
    </row>
    <row r="1030" spans="24:24" ht="14.25" customHeight="1">
      <c r="X1030" s="596"/>
    </row>
    <row r="1031" spans="24:24" ht="14.25" customHeight="1">
      <c r="X1031" s="596"/>
    </row>
    <row r="1032" spans="24:24" ht="14.25" customHeight="1">
      <c r="X1032" s="596"/>
    </row>
    <row r="1033" spans="24:24" ht="14.25" customHeight="1">
      <c r="X1033" s="596"/>
    </row>
    <row r="1034" spans="24:24" ht="14.25" customHeight="1">
      <c r="X1034" s="596"/>
    </row>
    <row r="1035" spans="24:24" ht="14.25" customHeight="1">
      <c r="X1035" s="596"/>
    </row>
    <row r="1036" spans="24:24" ht="14.25" customHeight="1">
      <c r="X1036" s="596"/>
    </row>
    <row r="1037" spans="24:24" ht="14.25" customHeight="1">
      <c r="X1037" s="596"/>
    </row>
    <row r="1038" spans="24:24" ht="14.25" customHeight="1">
      <c r="X1038" s="596"/>
    </row>
    <row r="1039" spans="24:24" ht="14.25" customHeight="1">
      <c r="X1039" s="596"/>
    </row>
    <row r="1040" spans="24:24" ht="14.25" customHeight="1">
      <c r="X1040" s="596"/>
    </row>
    <row r="1041" spans="24:24" ht="14.25" customHeight="1">
      <c r="X1041" s="596"/>
    </row>
    <row r="1042" spans="24:24" ht="14.25" customHeight="1">
      <c r="X1042" s="596"/>
    </row>
    <row r="1043" spans="24:24" ht="14.25" customHeight="1">
      <c r="X1043" s="596"/>
    </row>
    <row r="1044" spans="24:24" ht="14.25" customHeight="1">
      <c r="X1044" s="596"/>
    </row>
    <row r="1045" spans="24:24" ht="14.25" customHeight="1">
      <c r="X1045" s="596"/>
    </row>
    <row r="1046" spans="24:24" ht="14.25" customHeight="1">
      <c r="X1046" s="596"/>
    </row>
    <row r="1047" spans="24:24" ht="14.25" customHeight="1">
      <c r="X1047" s="596"/>
    </row>
    <row r="1048" spans="24:24" ht="14.25" customHeight="1">
      <c r="X1048" s="596"/>
    </row>
    <row r="1049" spans="24:24" ht="14.25" customHeight="1">
      <c r="X1049" s="596"/>
    </row>
    <row r="1050" spans="24:24" ht="14.25" customHeight="1">
      <c r="X1050" s="596"/>
    </row>
    <row r="1051" spans="24:24" ht="14.25" customHeight="1">
      <c r="X1051" s="596"/>
    </row>
    <row r="1052" spans="24:24" ht="14.25" customHeight="1">
      <c r="X1052" s="596"/>
    </row>
    <row r="1053" spans="24:24" ht="14.25" customHeight="1">
      <c r="X1053" s="596"/>
    </row>
    <row r="1054" spans="24:24" ht="14.25" customHeight="1">
      <c r="X1054" s="596"/>
    </row>
    <row r="1055" spans="24:24" ht="14.25" customHeight="1">
      <c r="X1055" s="596"/>
    </row>
    <row r="1056" spans="24:24" ht="14.25" customHeight="1">
      <c r="X1056" s="596"/>
    </row>
    <row r="1057" spans="24:24" ht="14.25" customHeight="1">
      <c r="X1057" s="596"/>
    </row>
    <row r="1058" spans="24:24" ht="14.25" customHeight="1">
      <c r="X1058" s="596"/>
    </row>
    <row r="1059" spans="24:24" ht="14.25" customHeight="1">
      <c r="X1059" s="596"/>
    </row>
    <row r="1060" spans="24:24" ht="14.25" customHeight="1">
      <c r="X1060" s="596"/>
    </row>
    <row r="1061" spans="24:24" ht="14.25" customHeight="1">
      <c r="X1061" s="596"/>
    </row>
    <row r="1062" spans="24:24" ht="14.25" customHeight="1">
      <c r="X1062" s="596"/>
    </row>
    <row r="1063" spans="24:24" ht="14.25" customHeight="1">
      <c r="X1063" s="596"/>
    </row>
    <row r="1064" spans="24:24" ht="14.25" customHeight="1">
      <c r="X1064" s="596"/>
    </row>
    <row r="1065" spans="24:24" ht="14.25" customHeight="1">
      <c r="X1065" s="596"/>
    </row>
    <row r="1066" spans="24:24" ht="14.25" customHeight="1">
      <c r="X1066" s="596"/>
    </row>
    <row r="1067" spans="24:24" ht="14.25" customHeight="1">
      <c r="X1067" s="596"/>
    </row>
    <row r="1068" spans="24:24" ht="14.25" customHeight="1">
      <c r="X1068" s="596"/>
    </row>
    <row r="1069" spans="24:24" ht="14.25" customHeight="1">
      <c r="X1069" s="596"/>
    </row>
    <row r="1070" spans="24:24" ht="14.25" customHeight="1">
      <c r="X1070" s="596"/>
    </row>
    <row r="1071" spans="24:24" ht="14.25" customHeight="1">
      <c r="X1071" s="596"/>
    </row>
    <row r="1072" spans="24:24" ht="14.25" customHeight="1">
      <c r="X1072" s="596"/>
    </row>
    <row r="1073" spans="24:24" ht="14.25" customHeight="1">
      <c r="X1073" s="596"/>
    </row>
    <row r="1074" spans="24:24" ht="14.25" customHeight="1">
      <c r="X1074" s="596"/>
    </row>
    <row r="1075" spans="24:24" ht="14.25" customHeight="1">
      <c r="X1075" s="596"/>
    </row>
    <row r="1076" spans="24:24" ht="14.25" customHeight="1">
      <c r="X1076" s="596"/>
    </row>
    <row r="1077" spans="24:24" ht="14.25" customHeight="1">
      <c r="X1077" s="596"/>
    </row>
    <row r="1078" spans="24:24" ht="14.25" customHeight="1">
      <c r="X1078" s="596"/>
    </row>
    <row r="1079" spans="24:24" ht="14.25" customHeight="1">
      <c r="X1079" s="596"/>
    </row>
    <row r="1080" spans="24:24" ht="14.25" customHeight="1">
      <c r="X1080" s="596"/>
    </row>
    <row r="1081" spans="24:24" ht="14.25" customHeight="1">
      <c r="X1081" s="596"/>
    </row>
    <row r="1082" spans="24:24" ht="14.25" customHeight="1">
      <c r="X1082" s="596"/>
    </row>
    <row r="1083" spans="24:24" ht="14.25" customHeight="1">
      <c r="X1083" s="596"/>
    </row>
    <row r="1084" spans="24:24" ht="14.25" customHeight="1">
      <c r="X1084" s="596"/>
    </row>
    <row r="1085" spans="24:24" ht="14.25" customHeight="1">
      <c r="X1085" s="596"/>
    </row>
    <row r="1086" spans="24:24" ht="14.25" customHeight="1">
      <c r="X1086" s="596"/>
    </row>
    <row r="1087" spans="24:24" ht="14.25" customHeight="1">
      <c r="X1087" s="596"/>
    </row>
    <row r="1088" spans="24:24" ht="14.25" customHeight="1">
      <c r="X1088" s="596"/>
    </row>
    <row r="1089" spans="24:24" ht="14.25" customHeight="1">
      <c r="X1089" s="596"/>
    </row>
    <row r="1090" spans="24:24" ht="14.25" customHeight="1">
      <c r="X1090" s="596"/>
    </row>
    <row r="1091" spans="24:24" ht="14.25" customHeight="1">
      <c r="X1091" s="596"/>
    </row>
    <row r="1092" spans="24:24" ht="14.25" customHeight="1">
      <c r="X1092" s="596"/>
    </row>
    <row r="1093" spans="24:24" ht="14.25" customHeight="1">
      <c r="X1093" s="596"/>
    </row>
    <row r="1094" spans="24:24" ht="14.25" customHeight="1">
      <c r="X1094" s="596"/>
    </row>
    <row r="1095" spans="24:24" ht="14.25" customHeight="1">
      <c r="X1095" s="596"/>
    </row>
    <row r="1096" spans="24:24" ht="14.25" customHeight="1">
      <c r="X1096" s="596"/>
    </row>
    <row r="1097" spans="24:24" ht="14.25" customHeight="1">
      <c r="X1097" s="596"/>
    </row>
    <row r="1098" spans="24:24" ht="14.25" customHeight="1">
      <c r="X1098" s="596"/>
    </row>
    <row r="1099" spans="24:24" ht="14.25" customHeight="1">
      <c r="X1099" s="596"/>
    </row>
    <row r="1100" spans="24:24" ht="14.25" customHeight="1">
      <c r="X1100" s="596"/>
    </row>
    <row r="1101" spans="24:24" ht="14.25" customHeight="1">
      <c r="X1101" s="596"/>
    </row>
    <row r="1102" spans="24:24" ht="14.25" customHeight="1">
      <c r="X1102" s="596"/>
    </row>
    <row r="1103" spans="24:24" ht="14.25" customHeight="1">
      <c r="X1103" s="596"/>
    </row>
    <row r="1104" spans="24:24" ht="14.25" customHeight="1">
      <c r="X1104" s="596"/>
    </row>
    <row r="1105" spans="24:24" ht="14.25" customHeight="1">
      <c r="X1105" s="596"/>
    </row>
    <row r="1106" spans="24:24" ht="14.25" customHeight="1">
      <c r="X1106" s="596"/>
    </row>
    <row r="1107" spans="24:24" ht="14.25" customHeight="1">
      <c r="X1107" s="596"/>
    </row>
    <row r="1108" spans="24:24" ht="14.25" customHeight="1">
      <c r="X1108" s="596"/>
    </row>
    <row r="1109" spans="24:24" ht="14.25" customHeight="1">
      <c r="X1109" s="596"/>
    </row>
    <row r="1110" spans="24:24" ht="14.25" customHeight="1">
      <c r="X1110" s="596"/>
    </row>
    <row r="1111" spans="24:24" ht="14.25" customHeight="1">
      <c r="X1111" s="596"/>
    </row>
    <row r="1112" spans="24:24" ht="14.25" customHeight="1">
      <c r="X1112" s="596"/>
    </row>
    <row r="1113" spans="24:24" ht="14.25" customHeight="1">
      <c r="X1113" s="596"/>
    </row>
    <row r="1114" spans="24:24" ht="14.25" customHeight="1">
      <c r="X1114" s="596"/>
    </row>
    <row r="1115" spans="24:24" ht="14.25" customHeight="1">
      <c r="X1115" s="596"/>
    </row>
    <row r="1116" spans="24:24" ht="14.25" customHeight="1">
      <c r="X1116" s="596"/>
    </row>
    <row r="1117" spans="24:24" ht="14.25" customHeight="1">
      <c r="X1117" s="596"/>
    </row>
    <row r="1118" spans="24:24" ht="14.25" customHeight="1">
      <c r="X1118" s="596"/>
    </row>
    <row r="1119" spans="24:24" ht="14.25" customHeight="1">
      <c r="X1119" s="596"/>
    </row>
    <row r="1120" spans="24:24" ht="14.25" customHeight="1">
      <c r="X1120" s="596"/>
    </row>
    <row r="1121" spans="24:24" ht="14.25" customHeight="1">
      <c r="X1121" s="596"/>
    </row>
    <row r="1122" spans="24:24" ht="14.25" customHeight="1">
      <c r="X1122" s="596"/>
    </row>
    <row r="1123" spans="24:24" ht="14.25" customHeight="1">
      <c r="X1123" s="596"/>
    </row>
    <row r="1124" spans="24:24" ht="14.25" customHeight="1">
      <c r="X1124" s="596"/>
    </row>
    <row r="1125" spans="24:24" ht="14.25" customHeight="1">
      <c r="X1125" s="596"/>
    </row>
    <row r="1126" spans="24:24" ht="14.25" customHeight="1">
      <c r="X1126" s="596"/>
    </row>
    <row r="1127" spans="24:24" ht="14.25" customHeight="1">
      <c r="X1127" s="596"/>
    </row>
    <row r="1128" spans="24:24" ht="14.25" customHeight="1">
      <c r="X1128" s="596"/>
    </row>
    <row r="1129" spans="24:24" ht="14.25" customHeight="1">
      <c r="X1129" s="596"/>
    </row>
    <row r="1130" spans="24:24" ht="14.25" customHeight="1">
      <c r="X1130" s="596"/>
    </row>
    <row r="1131" spans="24:24" ht="14.25" customHeight="1">
      <c r="X1131" s="596"/>
    </row>
    <row r="1132" spans="24:24" ht="14.25" customHeight="1">
      <c r="X1132" s="596"/>
    </row>
    <row r="1133" spans="24:24" ht="14.25" customHeight="1">
      <c r="X1133" s="596"/>
    </row>
    <row r="1134" spans="24:24" ht="14.25" customHeight="1">
      <c r="X1134" s="596"/>
    </row>
    <row r="1135" spans="24:24" ht="14.25" customHeight="1">
      <c r="X1135" s="596"/>
    </row>
    <row r="1136" spans="24:24" ht="14.25" customHeight="1">
      <c r="X1136" s="596"/>
    </row>
    <row r="1137" spans="24:24" ht="14.25" customHeight="1">
      <c r="X1137" s="596"/>
    </row>
    <row r="1138" spans="24:24" ht="14.25" customHeight="1">
      <c r="X1138" s="596"/>
    </row>
    <row r="1139" spans="24:24" ht="14.25" customHeight="1">
      <c r="X1139" s="596"/>
    </row>
    <row r="1140" spans="24:24" ht="14.25" customHeight="1">
      <c r="X1140" s="596"/>
    </row>
    <row r="1141" spans="24:24" ht="14.25" customHeight="1">
      <c r="X1141" s="596"/>
    </row>
    <row r="1142" spans="24:24" ht="14.25" customHeight="1">
      <c r="X1142" s="596"/>
    </row>
    <row r="1143" spans="24:24" ht="14.25" customHeight="1">
      <c r="X1143" s="596"/>
    </row>
    <row r="1144" spans="24:24" ht="14.25" customHeight="1">
      <c r="X1144" s="596"/>
    </row>
    <row r="1145" spans="24:24" ht="14.25" customHeight="1">
      <c r="X1145" s="596"/>
    </row>
    <row r="1146" spans="24:24" ht="14.25" customHeight="1">
      <c r="X1146" s="596"/>
    </row>
    <row r="1147" spans="24:24" ht="14.25" customHeight="1">
      <c r="X1147" s="596"/>
    </row>
    <row r="1148" spans="24:24" ht="14.25" customHeight="1">
      <c r="X1148" s="596"/>
    </row>
    <row r="1149" spans="24:24" ht="14.25" customHeight="1">
      <c r="X1149" s="596"/>
    </row>
    <row r="1150" spans="24:24" ht="14.25" customHeight="1">
      <c r="X1150" s="596"/>
    </row>
    <row r="1151" spans="24:24" ht="14.25" customHeight="1">
      <c r="X1151" s="596"/>
    </row>
    <row r="1152" spans="24:24" ht="14.25" customHeight="1">
      <c r="X1152" s="596"/>
    </row>
    <row r="1153" spans="24:24" ht="14.25" customHeight="1">
      <c r="X1153" s="596"/>
    </row>
    <row r="1154" spans="24:24" ht="14.25" customHeight="1">
      <c r="X1154" s="596"/>
    </row>
    <row r="1155" spans="24:24" ht="14.25" customHeight="1">
      <c r="X1155" s="596"/>
    </row>
    <row r="1156" spans="24:24" ht="14.25" customHeight="1">
      <c r="X1156" s="596"/>
    </row>
    <row r="1157" spans="24:24" ht="14.25" customHeight="1">
      <c r="X1157" s="596"/>
    </row>
    <row r="1158" spans="24:24" ht="14.25" customHeight="1">
      <c r="X1158" s="596"/>
    </row>
    <row r="1159" spans="24:24" ht="14.25" customHeight="1">
      <c r="X1159" s="596"/>
    </row>
    <row r="1160" spans="24:24" ht="14.25" customHeight="1">
      <c r="X1160" s="596"/>
    </row>
    <row r="1161" spans="24:24" ht="14.25" customHeight="1">
      <c r="X1161" s="596"/>
    </row>
    <row r="1162" spans="24:24" ht="14.25" customHeight="1">
      <c r="X1162" s="596"/>
    </row>
    <row r="1163" spans="24:24" ht="14.25" customHeight="1">
      <c r="X1163" s="596"/>
    </row>
    <row r="1164" spans="24:24" ht="14.25" customHeight="1">
      <c r="X1164" s="596"/>
    </row>
    <row r="1165" spans="24:24" ht="14.25" customHeight="1">
      <c r="X1165" s="596"/>
    </row>
    <row r="1166" spans="24:24" ht="14.25" customHeight="1">
      <c r="X1166" s="596"/>
    </row>
    <row r="1167" spans="24:24" ht="14.25" customHeight="1">
      <c r="X1167" s="596"/>
    </row>
    <row r="1168" spans="24:24" ht="14.25" customHeight="1">
      <c r="X1168" s="596"/>
    </row>
    <row r="1169" spans="24:24" ht="14.25" customHeight="1">
      <c r="X1169" s="596"/>
    </row>
    <row r="1170" spans="24:24" ht="14.25" customHeight="1">
      <c r="X1170" s="596"/>
    </row>
    <row r="1171" spans="24:24" ht="14.25" customHeight="1">
      <c r="X1171" s="596"/>
    </row>
    <row r="1172" spans="24:24" ht="14.25" customHeight="1">
      <c r="X1172" s="596"/>
    </row>
    <row r="1173" spans="24:24" ht="14.25" customHeight="1">
      <c r="X1173" s="596"/>
    </row>
    <row r="1174" spans="24:24" ht="14.25" customHeight="1">
      <c r="X1174" s="596"/>
    </row>
    <row r="1175" spans="24:24" ht="14.25" customHeight="1">
      <c r="X1175" s="596"/>
    </row>
    <row r="1176" spans="24:24" ht="14.25" customHeight="1">
      <c r="X1176" s="596"/>
    </row>
    <row r="1177" spans="24:24" ht="14.25" customHeight="1">
      <c r="X1177" s="596"/>
    </row>
    <row r="1178" spans="24:24" ht="14.25" customHeight="1">
      <c r="X1178" s="596"/>
    </row>
    <row r="1179" spans="24:24" ht="14.25" customHeight="1">
      <c r="X1179" s="596"/>
    </row>
    <row r="1180" spans="24:24" ht="14.25" customHeight="1">
      <c r="X1180" s="596"/>
    </row>
    <row r="1181" spans="24:24" ht="14.25" customHeight="1">
      <c r="X1181" s="596"/>
    </row>
    <row r="1182" spans="24:24" ht="14.25" customHeight="1">
      <c r="X1182" s="596"/>
    </row>
    <row r="1183" spans="24:24" ht="14.25" customHeight="1">
      <c r="X1183" s="596"/>
    </row>
    <row r="1184" spans="24:24" ht="14.25" customHeight="1">
      <c r="X1184" s="596"/>
    </row>
    <row r="1185" spans="24:24" ht="14.25" customHeight="1">
      <c r="X1185" s="596"/>
    </row>
    <row r="1186" spans="24:24" ht="14.25" customHeight="1">
      <c r="X1186" s="596"/>
    </row>
    <row r="1187" spans="24:24" ht="14.25" customHeight="1">
      <c r="X1187" s="596"/>
    </row>
    <row r="1188" spans="24:24" ht="14.25" customHeight="1">
      <c r="X1188" s="596"/>
    </row>
    <row r="1189" spans="24:24" ht="14.25" customHeight="1">
      <c r="X1189" s="596"/>
    </row>
    <row r="1190" spans="24:24" ht="14.25" customHeight="1">
      <c r="X1190" s="596"/>
    </row>
    <row r="1191" spans="24:24" ht="14.25" customHeight="1">
      <c r="X1191" s="596"/>
    </row>
    <row r="1192" spans="24:24" ht="14.25" customHeight="1">
      <c r="X1192" s="596"/>
    </row>
    <row r="1193" spans="24:24" ht="14.25" customHeight="1">
      <c r="X1193" s="596"/>
    </row>
    <row r="1194" spans="24:24" ht="14.25" customHeight="1">
      <c r="X1194" s="596"/>
    </row>
    <row r="1195" spans="24:24" ht="14.25" customHeight="1">
      <c r="X1195" s="596"/>
    </row>
    <row r="1196" spans="24:24" ht="14.25" customHeight="1">
      <c r="X1196" s="596"/>
    </row>
    <row r="1197" spans="24:24" ht="14.25" customHeight="1">
      <c r="X1197" s="596"/>
    </row>
    <row r="1198" spans="24:24" ht="14.25" customHeight="1">
      <c r="X1198" s="596"/>
    </row>
    <row r="1199" spans="24:24" ht="14.25" customHeight="1">
      <c r="X1199" s="596"/>
    </row>
    <row r="1200" spans="24:24" ht="14.25" customHeight="1">
      <c r="X1200" s="596"/>
    </row>
    <row r="1201" spans="24:24" ht="14.25" customHeight="1">
      <c r="X1201" s="596"/>
    </row>
    <row r="1202" spans="24:24" ht="14.25" customHeight="1">
      <c r="X1202" s="596"/>
    </row>
    <row r="1203" spans="24:24" ht="14.25" customHeight="1">
      <c r="X1203" s="596"/>
    </row>
    <row r="1204" spans="24:24" ht="14.25" customHeight="1">
      <c r="X1204" s="596"/>
    </row>
    <row r="1205" spans="24:24" ht="14.25" customHeight="1">
      <c r="X1205" s="596"/>
    </row>
    <row r="1206" spans="24:24" ht="14.25" customHeight="1">
      <c r="X1206" s="596"/>
    </row>
    <row r="1207" spans="24:24" ht="14.25" customHeight="1">
      <c r="X1207" s="596"/>
    </row>
    <row r="1208" spans="24:24" ht="14.25" customHeight="1">
      <c r="X1208" s="596"/>
    </row>
    <row r="1209" spans="24:24" ht="14.25" customHeight="1">
      <c r="X1209" s="596"/>
    </row>
    <row r="1210" spans="24:24" ht="14.25" customHeight="1">
      <c r="X1210" s="596"/>
    </row>
    <row r="1211" spans="24:24" ht="14.25" customHeight="1">
      <c r="X1211" s="596"/>
    </row>
    <row r="1212" spans="24:24" ht="14.25" customHeight="1">
      <c r="X1212" s="596"/>
    </row>
    <row r="1213" spans="24:24" ht="14.25" customHeight="1">
      <c r="X1213" s="596"/>
    </row>
    <row r="1214" spans="24:24" ht="14.25" customHeight="1">
      <c r="X1214" s="596"/>
    </row>
    <row r="1215" spans="24:24" ht="14.25" customHeight="1">
      <c r="X1215" s="596"/>
    </row>
    <row r="1216" spans="24:24" ht="14.25" customHeight="1">
      <c r="X1216" s="596"/>
    </row>
    <row r="1217" spans="24:24" ht="14.25" customHeight="1">
      <c r="X1217" s="596"/>
    </row>
    <row r="1218" spans="24:24" ht="14.25" customHeight="1">
      <c r="X1218" s="596"/>
    </row>
    <row r="1219" spans="24:24" ht="14.25" customHeight="1">
      <c r="X1219" s="596"/>
    </row>
    <row r="1220" spans="24:24" ht="14.25" customHeight="1">
      <c r="X1220" s="596"/>
    </row>
    <row r="1221" spans="24:24" ht="14.25" customHeight="1">
      <c r="X1221" s="596"/>
    </row>
    <row r="1222" spans="24:24" ht="14.25" customHeight="1">
      <c r="X1222" s="596"/>
    </row>
    <row r="1223" spans="24:24" ht="14.25" customHeight="1">
      <c r="X1223" s="596"/>
    </row>
    <row r="1224" spans="24:24" ht="14.25" customHeight="1">
      <c r="X1224" s="596"/>
    </row>
    <row r="1225" spans="24:24" ht="14.25" customHeight="1">
      <c r="X1225" s="596"/>
    </row>
    <row r="1226" spans="24:24" ht="14.25" customHeight="1">
      <c r="X1226" s="596"/>
    </row>
    <row r="1227" spans="24:24" ht="14.25" customHeight="1">
      <c r="X1227" s="596"/>
    </row>
    <row r="1228" spans="24:24" ht="14.25" customHeight="1">
      <c r="X1228" s="596"/>
    </row>
    <row r="1229" spans="24:24" ht="14.25" customHeight="1">
      <c r="X1229" s="596"/>
    </row>
    <row r="1230" spans="24:24" ht="14.25" customHeight="1">
      <c r="X1230" s="596"/>
    </row>
    <row r="1231" spans="24:24" ht="14.25" customHeight="1">
      <c r="X1231" s="596"/>
    </row>
    <row r="1232" spans="24:24" ht="14.25" customHeight="1">
      <c r="X1232" s="596"/>
    </row>
    <row r="1233" spans="24:24" ht="14.25" customHeight="1">
      <c r="X1233" s="596"/>
    </row>
    <row r="1234" spans="24:24" ht="14.25" customHeight="1">
      <c r="X1234" s="596"/>
    </row>
    <row r="1235" spans="24:24" ht="14.25" customHeight="1">
      <c r="X1235" s="596"/>
    </row>
    <row r="1236" spans="24:24" ht="14.25" customHeight="1">
      <c r="X1236" s="596"/>
    </row>
    <row r="1237" spans="24:24" ht="14.25" customHeight="1">
      <c r="X1237" s="596"/>
    </row>
    <row r="1238" spans="24:24" ht="14.25" customHeight="1">
      <c r="X1238" s="596"/>
    </row>
    <row r="1239" spans="24:24" ht="14.25" customHeight="1">
      <c r="X1239" s="596"/>
    </row>
    <row r="1240" spans="24:24" ht="14.25" customHeight="1">
      <c r="X1240" s="596"/>
    </row>
    <row r="1241" spans="24:24" ht="14.25" customHeight="1">
      <c r="X1241" s="596"/>
    </row>
    <row r="1242" spans="24:24" ht="14.25" customHeight="1">
      <c r="X1242" s="596"/>
    </row>
    <row r="1243" spans="24:24" ht="14.25" customHeight="1">
      <c r="X1243" s="596"/>
    </row>
    <row r="1244" spans="24:24" ht="14.25" customHeight="1">
      <c r="X1244" s="596"/>
    </row>
    <row r="1245" spans="24:24" ht="14.25" customHeight="1">
      <c r="X1245" s="596"/>
    </row>
    <row r="1246" spans="24:24" ht="14.25" customHeight="1">
      <c r="X1246" s="596"/>
    </row>
    <row r="1247" spans="24:24" ht="14.25" customHeight="1">
      <c r="X1247" s="596"/>
    </row>
    <row r="1248" spans="24:24" ht="14.25" customHeight="1">
      <c r="X1248" s="596"/>
    </row>
    <row r="1249" spans="24:24" ht="14.25" customHeight="1">
      <c r="X1249" s="596"/>
    </row>
    <row r="1250" spans="24:24" ht="14.25" customHeight="1">
      <c r="X1250" s="596"/>
    </row>
    <row r="1251" spans="24:24" ht="14.25" customHeight="1">
      <c r="X1251" s="596"/>
    </row>
    <row r="1252" spans="24:24" ht="14.25" customHeight="1">
      <c r="X1252" s="596"/>
    </row>
    <row r="1253" spans="24:24" ht="14.25" customHeight="1">
      <c r="X1253" s="596"/>
    </row>
    <row r="1254" spans="24:24" ht="14.25" customHeight="1">
      <c r="X1254" s="596"/>
    </row>
    <row r="1255" spans="24:24" ht="14.25" customHeight="1">
      <c r="X1255" s="596"/>
    </row>
    <row r="1256" spans="24:24" ht="14.25" customHeight="1">
      <c r="X1256" s="596"/>
    </row>
    <row r="1257" spans="24:24" ht="14.25" customHeight="1">
      <c r="X1257" s="596"/>
    </row>
    <row r="1258" spans="24:24" ht="14.25" customHeight="1">
      <c r="X1258" s="596"/>
    </row>
    <row r="1259" spans="24:24" ht="14.25" customHeight="1">
      <c r="X1259" s="596"/>
    </row>
    <row r="1260" spans="24:24" ht="14.25" customHeight="1">
      <c r="X1260" s="596"/>
    </row>
    <row r="1261" spans="24:24" ht="14.25" customHeight="1">
      <c r="X1261" s="596"/>
    </row>
    <row r="1262" spans="24:24" ht="14.25" customHeight="1">
      <c r="X1262" s="596"/>
    </row>
    <row r="1263" spans="24:24" ht="14.25" customHeight="1">
      <c r="X1263" s="596"/>
    </row>
    <row r="1264" spans="24:24" ht="14.25" customHeight="1">
      <c r="X1264" s="596"/>
    </row>
    <row r="1265" spans="24:24" ht="14.25" customHeight="1">
      <c r="X1265" s="596"/>
    </row>
    <row r="1266" spans="24:24" ht="14.25" customHeight="1">
      <c r="X1266" s="596"/>
    </row>
    <row r="1267" spans="24:24" ht="14.25" customHeight="1">
      <c r="X1267" s="596"/>
    </row>
    <row r="1268" spans="24:24" ht="14.25" customHeight="1">
      <c r="X1268" s="596"/>
    </row>
    <row r="1269" spans="24:24" ht="14.25" customHeight="1">
      <c r="X1269" s="596"/>
    </row>
    <row r="1270" spans="24:24" ht="14.25" customHeight="1">
      <c r="X1270" s="596"/>
    </row>
    <row r="1271" spans="24:24" ht="14.25" customHeight="1">
      <c r="X1271" s="596"/>
    </row>
    <row r="1272" spans="24:24" ht="14.25" customHeight="1">
      <c r="X1272" s="596"/>
    </row>
    <row r="1273" spans="24:24" ht="14.25" customHeight="1">
      <c r="X1273" s="596"/>
    </row>
    <row r="1274" spans="24:24" ht="14.25" customHeight="1">
      <c r="X1274" s="596"/>
    </row>
    <row r="1275" spans="24:24" ht="14.25" customHeight="1">
      <c r="X1275" s="596"/>
    </row>
    <row r="1276" spans="24:24" ht="14.25" customHeight="1">
      <c r="X1276" s="596"/>
    </row>
    <row r="1277" spans="24:24" ht="14.25" customHeight="1">
      <c r="X1277" s="596"/>
    </row>
    <row r="1278" spans="24:24" ht="14.25" customHeight="1">
      <c r="X1278" s="596"/>
    </row>
    <row r="1279" spans="24:24" ht="14.25" customHeight="1">
      <c r="X1279" s="596"/>
    </row>
    <row r="1280" spans="24:24" ht="14.25" customHeight="1">
      <c r="X1280" s="596"/>
    </row>
    <row r="1281" spans="24:24" ht="14.25" customHeight="1">
      <c r="X1281" s="596"/>
    </row>
    <row r="1282" spans="24:24" ht="14.25" customHeight="1">
      <c r="X1282" s="596"/>
    </row>
    <row r="1283" spans="24:24" ht="14.25" customHeight="1">
      <c r="X1283" s="596"/>
    </row>
    <row r="1284" spans="24:24" ht="14.25" customHeight="1">
      <c r="X1284" s="596"/>
    </row>
    <row r="1285" spans="24:24" ht="14.25" customHeight="1">
      <c r="X1285" s="596"/>
    </row>
    <row r="1286" spans="24:24" ht="14.25" customHeight="1">
      <c r="X1286" s="596"/>
    </row>
    <row r="1287" spans="24:24" ht="14.25" customHeight="1">
      <c r="X1287" s="596"/>
    </row>
    <row r="1288" spans="24:24" ht="14.25" customHeight="1">
      <c r="X1288" s="596"/>
    </row>
    <row r="1289" spans="24:24" ht="14.25" customHeight="1">
      <c r="X1289" s="596"/>
    </row>
    <row r="1290" spans="24:24" ht="14.25" customHeight="1">
      <c r="X1290" s="596"/>
    </row>
    <row r="1291" spans="24:24" ht="14.25" customHeight="1">
      <c r="X1291" s="596"/>
    </row>
    <row r="1292" spans="24:24" ht="14.25" customHeight="1">
      <c r="X1292" s="596"/>
    </row>
    <row r="1293" spans="24:24" ht="14.25" customHeight="1">
      <c r="X1293" s="596"/>
    </row>
    <row r="1294" spans="24:24" ht="14.25" customHeight="1">
      <c r="X1294" s="596"/>
    </row>
    <row r="1295" spans="24:24" ht="14.25" customHeight="1">
      <c r="X1295" s="596"/>
    </row>
    <row r="1296" spans="24:24" ht="14.25" customHeight="1">
      <c r="X1296" s="596"/>
    </row>
    <row r="1297" spans="24:24" ht="14.25" customHeight="1">
      <c r="X1297" s="596"/>
    </row>
    <row r="1298" spans="24:24" ht="14.25" customHeight="1">
      <c r="X1298" s="596"/>
    </row>
    <row r="1299" spans="24:24" ht="14.25" customHeight="1">
      <c r="X1299" s="596"/>
    </row>
    <row r="1300" spans="24:24" ht="14.25" customHeight="1">
      <c r="X1300" s="596"/>
    </row>
    <row r="1301" spans="24:24" ht="14.25" customHeight="1">
      <c r="X1301" s="596"/>
    </row>
    <row r="1302" spans="24:24" ht="14.25" customHeight="1">
      <c r="X1302" s="596"/>
    </row>
    <row r="1303" spans="24:24" ht="14.25" customHeight="1">
      <c r="X1303" s="596"/>
    </row>
    <row r="1304" spans="24:24" ht="14.25" customHeight="1">
      <c r="X1304" s="596"/>
    </row>
    <row r="1305" spans="24:24" ht="14.25" customHeight="1">
      <c r="X1305" s="596"/>
    </row>
    <row r="1306" spans="24:24" ht="14.25" customHeight="1">
      <c r="X1306" s="596"/>
    </row>
    <row r="1307" spans="24:24" ht="14.25" customHeight="1">
      <c r="X1307" s="596"/>
    </row>
    <row r="1308" spans="24:24" ht="14.25" customHeight="1">
      <c r="X1308" s="596"/>
    </row>
    <row r="1309" spans="24:24" ht="14.25" customHeight="1">
      <c r="X1309" s="596"/>
    </row>
    <row r="1310" spans="24:24" ht="14.25" customHeight="1">
      <c r="X1310" s="596"/>
    </row>
    <row r="1311" spans="24:24" ht="14.25" customHeight="1">
      <c r="X1311" s="596"/>
    </row>
    <row r="1312" spans="24:24" ht="14.25" customHeight="1">
      <c r="X1312" s="596"/>
    </row>
    <row r="1313" spans="24:24" ht="14.25" customHeight="1">
      <c r="X1313" s="596"/>
    </row>
    <row r="1314" spans="24:24" ht="14.25" customHeight="1">
      <c r="X1314" s="596"/>
    </row>
    <row r="1315" spans="24:24" ht="14.25" customHeight="1">
      <c r="X1315" s="596"/>
    </row>
    <row r="1316" spans="24:24" ht="14.25" customHeight="1">
      <c r="X1316" s="596"/>
    </row>
    <row r="1317" spans="24:24" ht="14.25" customHeight="1">
      <c r="X1317" s="596"/>
    </row>
    <row r="1318" spans="24:24" ht="14.25" customHeight="1">
      <c r="X1318" s="596"/>
    </row>
    <row r="1319" spans="24:24" ht="14.25" customHeight="1">
      <c r="X1319" s="596"/>
    </row>
    <row r="1320" spans="24:24" ht="14.25" customHeight="1">
      <c r="X1320" s="596"/>
    </row>
    <row r="1321" spans="24:24" ht="14.25" customHeight="1">
      <c r="X1321" s="596"/>
    </row>
    <row r="1322" spans="24:24" ht="14.25" customHeight="1">
      <c r="X1322" s="596"/>
    </row>
    <row r="1323" spans="24:24" ht="14.25" customHeight="1">
      <c r="X1323" s="596"/>
    </row>
    <row r="1324" spans="24:24" ht="14.25" customHeight="1">
      <c r="X1324" s="596"/>
    </row>
    <row r="1325" spans="24:24" ht="14.25" customHeight="1">
      <c r="X1325" s="596"/>
    </row>
    <row r="1326" spans="24:24" ht="14.25" customHeight="1">
      <c r="X1326" s="596"/>
    </row>
    <row r="1327" spans="24:24" ht="14.25" customHeight="1">
      <c r="X1327" s="596"/>
    </row>
    <row r="1328" spans="24:24" ht="14.25" customHeight="1">
      <c r="X1328" s="596"/>
    </row>
    <row r="1329" spans="24:24" ht="14.25" customHeight="1">
      <c r="X1329" s="596"/>
    </row>
    <row r="1330" spans="24:24" ht="14.25" customHeight="1">
      <c r="X1330" s="596"/>
    </row>
    <row r="1331" spans="24:24" ht="14.25" customHeight="1">
      <c r="X1331" s="596"/>
    </row>
    <row r="1332" spans="24:24" ht="14.25" customHeight="1">
      <c r="X1332" s="596"/>
    </row>
    <row r="1333" spans="24:24" ht="14.25" customHeight="1">
      <c r="X1333" s="596"/>
    </row>
    <row r="1334" spans="24:24" ht="14.25" customHeight="1">
      <c r="X1334" s="596"/>
    </row>
    <row r="1335" spans="24:24" ht="14.25" customHeight="1">
      <c r="X1335" s="596"/>
    </row>
    <row r="1336" spans="24:24" ht="14.25" customHeight="1">
      <c r="X1336" s="596"/>
    </row>
    <row r="1337" spans="24:24" ht="14.25" customHeight="1">
      <c r="X1337" s="596"/>
    </row>
    <row r="1338" spans="24:24" ht="14.25" customHeight="1">
      <c r="X1338" s="596"/>
    </row>
    <row r="1339" spans="24:24" ht="14.25" customHeight="1">
      <c r="X1339" s="596"/>
    </row>
    <row r="1340" spans="24:24" ht="14.25" customHeight="1">
      <c r="X1340" s="596"/>
    </row>
    <row r="1341" spans="24:24" ht="14.25" customHeight="1">
      <c r="X1341" s="596"/>
    </row>
    <row r="1342" spans="24:24" ht="14.25" customHeight="1">
      <c r="X1342" s="596"/>
    </row>
    <row r="1343" spans="24:24" ht="14.25" customHeight="1">
      <c r="X1343" s="596"/>
    </row>
    <row r="1344" spans="24:24" ht="14.25" customHeight="1">
      <c r="X1344" s="596"/>
    </row>
    <row r="1345" spans="24:24" ht="14.25" customHeight="1">
      <c r="X1345" s="596"/>
    </row>
    <row r="1346" spans="24:24" ht="14.25" customHeight="1">
      <c r="X1346" s="596"/>
    </row>
    <row r="1347" spans="24:24" ht="14.25" customHeight="1">
      <c r="X1347" s="596"/>
    </row>
    <row r="1348" spans="24:24" ht="14.25" customHeight="1">
      <c r="X1348" s="596"/>
    </row>
    <row r="1349" spans="24:24" ht="14.25" customHeight="1">
      <c r="X1349" s="596"/>
    </row>
    <row r="1350" spans="24:24" ht="14.25" customHeight="1">
      <c r="X1350" s="596"/>
    </row>
    <row r="1351" spans="24:24" ht="14.25" customHeight="1">
      <c r="X1351" s="596"/>
    </row>
    <row r="1352" spans="24:24" ht="14.25" customHeight="1">
      <c r="X1352" s="596"/>
    </row>
    <row r="1353" spans="24:24" ht="14.25" customHeight="1">
      <c r="X1353" s="596"/>
    </row>
    <row r="1354" spans="24:24" ht="14.25" customHeight="1">
      <c r="X1354" s="596"/>
    </row>
    <row r="1355" spans="24:24" ht="14.25" customHeight="1">
      <c r="X1355" s="596"/>
    </row>
    <row r="1356" spans="24:24" ht="14.25" customHeight="1">
      <c r="X1356" s="596"/>
    </row>
    <row r="1357" spans="24:24" ht="14.25" customHeight="1">
      <c r="X1357" s="596"/>
    </row>
    <row r="1358" spans="24:24" ht="14.25" customHeight="1">
      <c r="X1358" s="596"/>
    </row>
    <row r="1359" spans="24:24" ht="14.25" customHeight="1">
      <c r="X1359" s="596"/>
    </row>
    <row r="1360" spans="24:24" ht="14.25" customHeight="1">
      <c r="X1360" s="596"/>
    </row>
    <row r="1361" spans="24:24" ht="14.25" customHeight="1">
      <c r="X1361" s="596"/>
    </row>
    <row r="1362" spans="24:24" ht="14.25" customHeight="1">
      <c r="X1362" s="596"/>
    </row>
    <row r="1363" spans="24:24" ht="14.25" customHeight="1">
      <c r="X1363" s="596"/>
    </row>
    <row r="1364" spans="24:24" ht="14.25" customHeight="1">
      <c r="X1364" s="596"/>
    </row>
    <row r="1365" spans="24:24" ht="14.25" customHeight="1">
      <c r="X1365" s="596"/>
    </row>
    <row r="1366" spans="24:24" ht="14.25" customHeight="1">
      <c r="X1366" s="596"/>
    </row>
    <row r="1367" spans="24:24" ht="14.25" customHeight="1">
      <c r="X1367" s="596"/>
    </row>
    <row r="1368" spans="24:24" ht="14.25" customHeight="1">
      <c r="X1368" s="596"/>
    </row>
    <row r="1369" spans="24:24" ht="14.25" customHeight="1">
      <c r="X1369" s="596"/>
    </row>
    <row r="1370" spans="24:24" ht="14.25" customHeight="1">
      <c r="X1370" s="596"/>
    </row>
    <row r="1371" spans="24:24" ht="14.25" customHeight="1">
      <c r="X1371" s="596"/>
    </row>
    <row r="1372" spans="24:24" ht="14.25" customHeight="1">
      <c r="X1372" s="596"/>
    </row>
    <row r="1373" spans="24:24" ht="14.25" customHeight="1">
      <c r="X1373" s="596"/>
    </row>
    <row r="1374" spans="24:24" ht="14.25" customHeight="1">
      <c r="X1374" s="596"/>
    </row>
    <row r="1375" spans="24:24" ht="14.25" customHeight="1">
      <c r="X1375" s="596"/>
    </row>
    <row r="1376" spans="24:24" ht="14.25" customHeight="1">
      <c r="X1376" s="596"/>
    </row>
    <row r="1377" spans="24:24" ht="14.25" customHeight="1">
      <c r="X1377" s="596"/>
    </row>
    <row r="1378" spans="24:24" ht="14.25" customHeight="1">
      <c r="X1378" s="596"/>
    </row>
    <row r="1379" spans="24:24" ht="14.25" customHeight="1">
      <c r="X1379" s="596"/>
    </row>
    <row r="1380" spans="24:24" ht="14.25" customHeight="1">
      <c r="X1380" s="596"/>
    </row>
    <row r="1381" spans="24:24" ht="14.25" customHeight="1">
      <c r="X1381" s="596"/>
    </row>
    <row r="1382" spans="24:24" ht="14.25" customHeight="1">
      <c r="X1382" s="596"/>
    </row>
    <row r="1383" spans="24:24" ht="14.25" customHeight="1">
      <c r="X1383" s="596"/>
    </row>
    <row r="1384" spans="24:24" ht="14.25" customHeight="1">
      <c r="X1384" s="596"/>
    </row>
    <row r="1385" spans="24:24" ht="14.25" customHeight="1">
      <c r="X1385" s="596"/>
    </row>
    <row r="1386" spans="24:24" ht="14.25" customHeight="1">
      <c r="X1386" s="596"/>
    </row>
    <row r="1387" spans="24:24" ht="14.25" customHeight="1">
      <c r="X1387" s="596"/>
    </row>
    <row r="1388" spans="24:24" ht="14.25" customHeight="1">
      <c r="X1388" s="596"/>
    </row>
    <row r="1389" spans="24:24" ht="14.25" customHeight="1">
      <c r="X1389" s="596"/>
    </row>
    <row r="1390" spans="24:24" ht="14.25" customHeight="1">
      <c r="X1390" s="596"/>
    </row>
    <row r="1391" spans="24:24" ht="14.25" customHeight="1">
      <c r="X1391" s="596"/>
    </row>
    <row r="1392" spans="24:24" ht="14.25" customHeight="1">
      <c r="X1392" s="596"/>
    </row>
    <row r="1393" spans="24:24" ht="14.25" customHeight="1">
      <c r="X1393" s="596"/>
    </row>
    <row r="1394" spans="24:24" ht="14.25" customHeight="1">
      <c r="X1394" s="596"/>
    </row>
    <row r="1395" spans="24:24" ht="14.25" customHeight="1">
      <c r="X1395" s="596"/>
    </row>
    <row r="1396" spans="24:24" ht="14.25" customHeight="1">
      <c r="X1396" s="596"/>
    </row>
    <row r="1397" spans="24:24" ht="14.25" customHeight="1">
      <c r="X1397" s="596"/>
    </row>
    <row r="1398" spans="24:24" ht="14.25" customHeight="1">
      <c r="X1398" s="596"/>
    </row>
    <row r="1399" spans="24:24" ht="14.25" customHeight="1">
      <c r="X1399" s="596"/>
    </row>
    <row r="1400" spans="24:24" ht="14.25" customHeight="1">
      <c r="X1400" s="596"/>
    </row>
    <row r="1401" spans="24:24" ht="14.25" customHeight="1">
      <c r="X1401" s="596"/>
    </row>
    <row r="1402" spans="24:24" ht="14.25" customHeight="1">
      <c r="X1402" s="596"/>
    </row>
    <row r="1403" spans="24:24" ht="14.25" customHeight="1">
      <c r="X1403" s="596"/>
    </row>
    <row r="1404" spans="24:24" ht="14.25" customHeight="1">
      <c r="X1404" s="596"/>
    </row>
    <row r="1405" spans="24:24" ht="14.25" customHeight="1">
      <c r="X1405" s="596"/>
    </row>
    <row r="1406" spans="24:24" ht="14.25" customHeight="1">
      <c r="X1406" s="596"/>
    </row>
    <row r="1407" spans="24:24" ht="14.25" customHeight="1">
      <c r="X1407" s="596"/>
    </row>
    <row r="1408" spans="24:24" ht="14.25" customHeight="1">
      <c r="X1408" s="596"/>
    </row>
    <row r="1409" spans="24:24" ht="14.25" customHeight="1">
      <c r="X1409" s="596"/>
    </row>
    <row r="1410" spans="24:24" ht="14.25" customHeight="1">
      <c r="X1410" s="596"/>
    </row>
    <row r="1411" spans="24:24" ht="14.25" customHeight="1">
      <c r="X1411" s="596"/>
    </row>
    <row r="1412" spans="24:24" ht="14.25" customHeight="1">
      <c r="X1412" s="596"/>
    </row>
    <row r="1413" spans="24:24" ht="14.25" customHeight="1">
      <c r="X1413" s="596"/>
    </row>
    <row r="1414" spans="24:24" ht="14.25" customHeight="1">
      <c r="X1414" s="596"/>
    </row>
    <row r="1415" spans="24:24" ht="14.25" customHeight="1">
      <c r="X1415" s="596"/>
    </row>
    <row r="1416" spans="24:24" ht="14.25" customHeight="1">
      <c r="X1416" s="596"/>
    </row>
    <row r="1417" spans="24:24" ht="14.25" customHeight="1">
      <c r="X1417" s="596"/>
    </row>
    <row r="1418" spans="24:24" ht="14.25" customHeight="1">
      <c r="X1418" s="596"/>
    </row>
    <row r="1419" spans="24:24" ht="14.25" customHeight="1">
      <c r="X1419" s="596"/>
    </row>
    <row r="1420" spans="24:24" ht="14.25" customHeight="1">
      <c r="X1420" s="596"/>
    </row>
    <row r="1421" spans="24:24" ht="14.25" customHeight="1">
      <c r="X1421" s="596"/>
    </row>
    <row r="1422" spans="24:24" ht="14.25" customHeight="1">
      <c r="X1422" s="596"/>
    </row>
    <row r="1423" spans="24:24" ht="14.25" customHeight="1">
      <c r="X1423" s="596"/>
    </row>
    <row r="1424" spans="24:24" ht="14.25" customHeight="1">
      <c r="X1424" s="596"/>
    </row>
    <row r="1425" spans="24:24" ht="14.25" customHeight="1">
      <c r="X1425" s="596"/>
    </row>
    <row r="1426" spans="24:24" ht="14.25" customHeight="1">
      <c r="X1426" s="596"/>
    </row>
    <row r="1427" spans="24:24" ht="14.25" customHeight="1">
      <c r="X1427" s="596"/>
    </row>
    <row r="1428" spans="24:24" ht="14.25" customHeight="1">
      <c r="X1428" s="596"/>
    </row>
    <row r="1429" spans="24:24" ht="14.25" customHeight="1">
      <c r="X1429" s="596"/>
    </row>
    <row r="1430" spans="24:24" ht="14.25" customHeight="1">
      <c r="X1430" s="596"/>
    </row>
    <row r="1431" spans="24:24" ht="14.25" customHeight="1">
      <c r="X1431" s="596"/>
    </row>
    <row r="1432" spans="24:24" ht="14.25" customHeight="1">
      <c r="X1432" s="596"/>
    </row>
    <row r="1433" spans="24:24" ht="14.25" customHeight="1">
      <c r="X1433" s="596"/>
    </row>
    <row r="1434" spans="24:24" ht="14.25" customHeight="1">
      <c r="X1434" s="596"/>
    </row>
    <row r="1435" spans="24:24" ht="14.25" customHeight="1">
      <c r="X1435" s="596"/>
    </row>
    <row r="1436" spans="24:24" ht="14.25" customHeight="1">
      <c r="X1436" s="596"/>
    </row>
    <row r="1437" spans="24:24" ht="14.25" customHeight="1">
      <c r="X1437" s="596"/>
    </row>
    <row r="1438" spans="24:24" ht="14.25" customHeight="1">
      <c r="X1438" s="596"/>
    </row>
    <row r="1439" spans="24:24" ht="14.25" customHeight="1">
      <c r="X1439" s="596"/>
    </row>
    <row r="1440" spans="24:24" ht="14.25" customHeight="1">
      <c r="X1440" s="596"/>
    </row>
    <row r="1441" spans="24:24" ht="14.25" customHeight="1">
      <c r="X1441" s="596"/>
    </row>
    <row r="1442" spans="24:24" ht="14.25" customHeight="1">
      <c r="X1442" s="596"/>
    </row>
    <row r="1443" spans="24:24" ht="14.25" customHeight="1">
      <c r="X1443" s="596"/>
    </row>
    <row r="1444" spans="24:24" ht="14.25" customHeight="1">
      <c r="X1444" s="596"/>
    </row>
    <row r="1445" spans="24:24" ht="14.25" customHeight="1">
      <c r="X1445" s="596"/>
    </row>
    <row r="1446" spans="24:24" ht="14.25" customHeight="1">
      <c r="X1446" s="596"/>
    </row>
    <row r="1447" spans="24:24" ht="14.25" customHeight="1">
      <c r="X1447" s="596"/>
    </row>
    <row r="1448" spans="24:24" ht="14.25" customHeight="1">
      <c r="X1448" s="596"/>
    </row>
    <row r="1449" spans="24:24" ht="14.25" customHeight="1">
      <c r="X1449" s="596"/>
    </row>
    <row r="1450" spans="24:24" ht="14.25" customHeight="1">
      <c r="X1450" s="596"/>
    </row>
    <row r="1451" spans="24:24" ht="14.25" customHeight="1">
      <c r="X1451" s="596"/>
    </row>
    <row r="1452" spans="24:24" ht="14.25" customHeight="1">
      <c r="X1452" s="596"/>
    </row>
    <row r="1453" spans="24:24" ht="14.25" customHeight="1">
      <c r="X1453" s="596"/>
    </row>
    <row r="1454" spans="24:24" ht="14.25" customHeight="1">
      <c r="X1454" s="596"/>
    </row>
    <row r="1455" spans="24:24" ht="14.25" customHeight="1">
      <c r="X1455" s="596"/>
    </row>
    <row r="1456" spans="24:24" ht="14.25" customHeight="1">
      <c r="X1456" s="596"/>
    </row>
    <row r="1457" spans="24:24" ht="14.25" customHeight="1">
      <c r="X1457" s="596"/>
    </row>
    <row r="1458" spans="24:24" ht="14.25" customHeight="1">
      <c r="X1458" s="596"/>
    </row>
    <row r="1459" spans="24:24" ht="14.25" customHeight="1">
      <c r="X1459" s="596"/>
    </row>
    <row r="1460" spans="24:24" ht="14.25" customHeight="1">
      <c r="X1460" s="596"/>
    </row>
    <row r="1461" spans="24:24" ht="14.25" customHeight="1">
      <c r="X1461" s="596"/>
    </row>
    <row r="1462" spans="24:24" ht="14.25" customHeight="1">
      <c r="X1462" s="596"/>
    </row>
    <row r="1463" spans="24:24" ht="14.25" customHeight="1">
      <c r="X1463" s="596"/>
    </row>
    <row r="1464" spans="24:24" ht="14.25" customHeight="1">
      <c r="X1464" s="596"/>
    </row>
    <row r="1465" spans="24:24" ht="14.25" customHeight="1">
      <c r="X1465" s="596"/>
    </row>
    <row r="1466" spans="24:24" ht="14.25" customHeight="1">
      <c r="X1466" s="596"/>
    </row>
    <row r="1467" spans="24:24" ht="14.25" customHeight="1">
      <c r="X1467" s="596"/>
    </row>
    <row r="1468" spans="24:24" ht="14.25" customHeight="1">
      <c r="X1468" s="596"/>
    </row>
    <row r="1469" spans="24:24" ht="14.25" customHeight="1">
      <c r="X1469" s="596"/>
    </row>
    <row r="1470" spans="24:24" ht="14.25" customHeight="1">
      <c r="X1470" s="596"/>
    </row>
    <row r="1471" spans="24:24" ht="14.25" customHeight="1">
      <c r="X1471" s="596"/>
    </row>
    <row r="1472" spans="24:24" ht="14.25" customHeight="1">
      <c r="X1472" s="596"/>
    </row>
    <row r="1473" spans="24:24" ht="14.25" customHeight="1">
      <c r="X1473" s="596"/>
    </row>
    <row r="1474" spans="24:24" ht="14.25" customHeight="1">
      <c r="X1474" s="596"/>
    </row>
    <row r="1475" spans="24:24" ht="14.25" customHeight="1">
      <c r="X1475" s="596"/>
    </row>
    <row r="1476" spans="24:24" ht="14.25" customHeight="1">
      <c r="X1476" s="596"/>
    </row>
    <row r="1477" spans="24:24" ht="14.25" customHeight="1">
      <c r="X1477" s="596"/>
    </row>
    <row r="1478" spans="24:24" ht="14.25" customHeight="1">
      <c r="X1478" s="596"/>
    </row>
    <row r="1479" spans="24:24" ht="14.25" customHeight="1">
      <c r="X1479" s="596"/>
    </row>
    <row r="1480" spans="24:24" ht="14.25" customHeight="1">
      <c r="X1480" s="596"/>
    </row>
    <row r="1481" spans="24:24" ht="14.25" customHeight="1">
      <c r="X1481" s="596"/>
    </row>
    <row r="1482" spans="24:24" ht="14.25" customHeight="1">
      <c r="X1482" s="596"/>
    </row>
    <row r="1483" spans="24:24" ht="14.25" customHeight="1">
      <c r="X1483" s="596"/>
    </row>
    <row r="1484" spans="24:24" ht="14.25" customHeight="1">
      <c r="X1484" s="596"/>
    </row>
    <row r="1485" spans="24:24" ht="14.25" customHeight="1">
      <c r="X1485" s="596"/>
    </row>
    <row r="1486" spans="24:24" ht="14.25" customHeight="1">
      <c r="X1486" s="596"/>
    </row>
    <row r="1487" spans="24:24" ht="14.25" customHeight="1">
      <c r="X1487" s="596"/>
    </row>
    <row r="1488" spans="24:24" ht="14.25" customHeight="1">
      <c r="X1488" s="596"/>
    </row>
    <row r="1489" spans="24:24" ht="14.25" customHeight="1">
      <c r="X1489" s="596"/>
    </row>
    <row r="1490" spans="24:24" ht="14.25" customHeight="1">
      <c r="X1490" s="596"/>
    </row>
    <row r="1491" spans="24:24" ht="14.25" customHeight="1">
      <c r="X1491" s="596"/>
    </row>
    <row r="1492" spans="24:24" ht="14.25" customHeight="1">
      <c r="X1492" s="596"/>
    </row>
    <row r="1493" spans="24:24" ht="14.25" customHeight="1">
      <c r="X1493" s="596"/>
    </row>
    <row r="1494" spans="24:24" ht="14.25" customHeight="1">
      <c r="X1494" s="596"/>
    </row>
    <row r="1495" spans="24:24" ht="14.25" customHeight="1">
      <c r="X1495" s="596"/>
    </row>
    <row r="1496" spans="24:24" ht="14.25" customHeight="1">
      <c r="X1496" s="596"/>
    </row>
    <row r="1497" spans="24:24" ht="14.25" customHeight="1">
      <c r="X1497" s="596"/>
    </row>
    <row r="1498" spans="24:24" ht="14.25" customHeight="1">
      <c r="X1498" s="596"/>
    </row>
    <row r="1499" spans="24:24" ht="14.25" customHeight="1">
      <c r="X1499" s="596"/>
    </row>
    <row r="1500" spans="24:24" ht="14.25" customHeight="1">
      <c r="X1500" s="596"/>
    </row>
    <row r="1501" spans="24:24" ht="14.25" customHeight="1">
      <c r="X1501" s="596"/>
    </row>
    <row r="1502" spans="24:24" ht="14.25" customHeight="1">
      <c r="X1502" s="596"/>
    </row>
    <row r="1503" spans="24:24" ht="14.25" customHeight="1">
      <c r="X1503" s="596"/>
    </row>
    <row r="1504" spans="24:24" ht="14.25" customHeight="1">
      <c r="X1504" s="596"/>
    </row>
    <row r="1505" spans="24:24" ht="14.25" customHeight="1">
      <c r="X1505" s="596"/>
    </row>
    <row r="1506" spans="24:24" ht="14.25" customHeight="1">
      <c r="X1506" s="596"/>
    </row>
    <row r="1507" spans="24:24" ht="14.25" customHeight="1">
      <c r="X1507" s="596"/>
    </row>
    <row r="1508" spans="24:24" ht="14.25" customHeight="1">
      <c r="X1508" s="596"/>
    </row>
    <row r="1509" spans="24:24" ht="14.25" customHeight="1">
      <c r="X1509" s="596"/>
    </row>
    <row r="1510" spans="24:24" ht="14.25" customHeight="1">
      <c r="X1510" s="596"/>
    </row>
    <row r="1511" spans="24:24" ht="14.25" customHeight="1">
      <c r="X1511" s="596"/>
    </row>
    <row r="1512" spans="24:24" ht="14.25" customHeight="1">
      <c r="X1512" s="596"/>
    </row>
    <row r="1513" spans="24:24" ht="14.25" customHeight="1">
      <c r="X1513" s="596"/>
    </row>
    <row r="1514" spans="24:24" ht="14.25" customHeight="1">
      <c r="X1514" s="596"/>
    </row>
    <row r="1515" spans="24:24" ht="14.25" customHeight="1">
      <c r="X1515" s="596"/>
    </row>
    <row r="1516" spans="24:24" ht="14.25" customHeight="1">
      <c r="X1516" s="596"/>
    </row>
    <row r="1517" spans="24:24" ht="14.25" customHeight="1">
      <c r="X1517" s="596"/>
    </row>
    <row r="1518" spans="24:24" ht="14.25" customHeight="1">
      <c r="X1518" s="596"/>
    </row>
    <row r="1519" spans="24:24" ht="14.25" customHeight="1">
      <c r="X1519" s="596"/>
    </row>
    <row r="1520" spans="24:24" ht="14.25" customHeight="1">
      <c r="X1520" s="596"/>
    </row>
    <row r="1521" spans="24:24" ht="14.25" customHeight="1">
      <c r="X1521" s="596"/>
    </row>
    <row r="1522" spans="24:24" ht="14.25" customHeight="1">
      <c r="X1522" s="596"/>
    </row>
    <row r="1523" spans="24:24" ht="14.25" customHeight="1">
      <c r="X1523" s="596"/>
    </row>
    <row r="1524" spans="24:24" ht="14.25" customHeight="1">
      <c r="X1524" s="596"/>
    </row>
    <row r="1525" spans="24:24" ht="14.25" customHeight="1">
      <c r="X1525" s="596"/>
    </row>
    <row r="1526" spans="24:24" ht="14.25" customHeight="1">
      <c r="X1526" s="596"/>
    </row>
    <row r="1527" spans="24:24" ht="14.25" customHeight="1">
      <c r="X1527" s="596"/>
    </row>
    <row r="1528" spans="24:24" ht="14.25" customHeight="1">
      <c r="X1528" s="596"/>
    </row>
    <row r="1529" spans="24:24" ht="14.25" customHeight="1">
      <c r="X1529" s="596"/>
    </row>
    <row r="1530" spans="24:24" ht="14.25" customHeight="1">
      <c r="X1530" s="596"/>
    </row>
    <row r="1531" spans="24:24" ht="14.25" customHeight="1">
      <c r="X1531" s="596"/>
    </row>
    <row r="1532" spans="24:24" ht="14.25" customHeight="1">
      <c r="X1532" s="596"/>
    </row>
    <row r="1533" spans="24:24" ht="14.25" customHeight="1">
      <c r="X1533" s="596"/>
    </row>
    <row r="1534" spans="24:24" ht="14.25" customHeight="1">
      <c r="X1534" s="596"/>
    </row>
    <row r="1535" spans="24:24" ht="14.25" customHeight="1">
      <c r="X1535" s="596"/>
    </row>
    <row r="1536" spans="24:24" ht="14.25" customHeight="1">
      <c r="X1536" s="596"/>
    </row>
    <row r="1537" spans="24:24" ht="14.25" customHeight="1">
      <c r="X1537" s="596"/>
    </row>
    <row r="1538" spans="24:24" ht="14.25" customHeight="1">
      <c r="X1538" s="596"/>
    </row>
    <row r="1539" spans="24:24" ht="14.25" customHeight="1">
      <c r="X1539" s="596"/>
    </row>
    <row r="1540" spans="24:24" ht="14.25" customHeight="1">
      <c r="X1540" s="596"/>
    </row>
    <row r="1541" spans="24:24" ht="14.25" customHeight="1">
      <c r="X1541" s="596"/>
    </row>
    <row r="1542" spans="24:24" ht="14.25" customHeight="1">
      <c r="X1542" s="596"/>
    </row>
    <row r="1543" spans="24:24" ht="14.25" customHeight="1">
      <c r="X1543" s="596"/>
    </row>
    <row r="1544" spans="24:24" ht="14.25" customHeight="1">
      <c r="X1544" s="596"/>
    </row>
    <row r="1545" spans="24:24" ht="14.25" customHeight="1">
      <c r="X1545" s="596"/>
    </row>
    <row r="1546" spans="24:24" ht="14.25" customHeight="1">
      <c r="X1546" s="596"/>
    </row>
    <row r="1547" spans="24:24" ht="14.25" customHeight="1">
      <c r="X1547" s="596"/>
    </row>
    <row r="1548" spans="24:24" ht="14.25" customHeight="1">
      <c r="X1548" s="596"/>
    </row>
    <row r="1549" spans="24:24" ht="14.25" customHeight="1">
      <c r="X1549" s="596"/>
    </row>
    <row r="1550" spans="24:24" ht="14.25" customHeight="1">
      <c r="X1550" s="596"/>
    </row>
    <row r="1551" spans="24:24" ht="14.25" customHeight="1">
      <c r="X1551" s="596"/>
    </row>
    <row r="1552" spans="24:24" ht="14.25" customHeight="1">
      <c r="X1552" s="596"/>
    </row>
    <row r="1553" spans="24:24" ht="14.25" customHeight="1">
      <c r="X1553" s="596"/>
    </row>
    <row r="1554" spans="24:24" ht="14.25" customHeight="1">
      <c r="X1554" s="596"/>
    </row>
    <row r="1555" spans="24:24" ht="14.25" customHeight="1">
      <c r="X1555" s="596"/>
    </row>
    <row r="1556" spans="24:24" ht="14.25" customHeight="1">
      <c r="X1556" s="596"/>
    </row>
    <row r="1557" spans="24:24" ht="14.25" customHeight="1">
      <c r="X1557" s="596"/>
    </row>
    <row r="1558" spans="24:24" ht="14.25" customHeight="1">
      <c r="X1558" s="596"/>
    </row>
    <row r="1559" spans="24:24" ht="14.25" customHeight="1">
      <c r="X1559" s="596"/>
    </row>
    <row r="1560" spans="24:24" ht="14.25" customHeight="1">
      <c r="X1560" s="596"/>
    </row>
    <row r="1561" spans="24:24" ht="14.25" customHeight="1">
      <c r="X1561" s="596"/>
    </row>
    <row r="1562" spans="24:24" ht="14.25" customHeight="1">
      <c r="X1562" s="596"/>
    </row>
    <row r="1563" spans="24:24" ht="14.25" customHeight="1">
      <c r="X1563" s="596"/>
    </row>
    <row r="1564" spans="24:24" ht="14.25" customHeight="1">
      <c r="X1564" s="596"/>
    </row>
    <row r="1565" spans="24:24" ht="14.25" customHeight="1">
      <c r="X1565" s="596"/>
    </row>
    <row r="1566" spans="24:24" ht="14.25" customHeight="1">
      <c r="X1566" s="596"/>
    </row>
    <row r="1567" spans="24:24" ht="14.25" customHeight="1">
      <c r="X1567" s="596"/>
    </row>
    <row r="1568" spans="24:24" ht="14.25" customHeight="1">
      <c r="X1568" s="596"/>
    </row>
    <row r="1569" spans="24:24" ht="14.25" customHeight="1">
      <c r="X1569" s="596"/>
    </row>
    <row r="1570" spans="24:24" ht="14.25" customHeight="1">
      <c r="X1570" s="596"/>
    </row>
    <row r="1571" spans="24:24" ht="14.25" customHeight="1">
      <c r="X1571" s="596"/>
    </row>
    <row r="1572" spans="24:24" ht="14.25" customHeight="1">
      <c r="X1572" s="596"/>
    </row>
    <row r="1573" spans="24:24" ht="14.25" customHeight="1">
      <c r="X1573" s="596"/>
    </row>
    <row r="1574" spans="24:24" ht="14.25" customHeight="1">
      <c r="X1574" s="596"/>
    </row>
    <row r="1575" spans="24:24" ht="14.25" customHeight="1">
      <c r="X1575" s="596"/>
    </row>
    <row r="1576" spans="24:24" ht="14.25" customHeight="1">
      <c r="X1576" s="596"/>
    </row>
    <row r="1577" spans="24:24" ht="14.25" customHeight="1">
      <c r="X1577" s="596"/>
    </row>
    <row r="1578" spans="24:24" ht="14.25" customHeight="1">
      <c r="X1578" s="596"/>
    </row>
    <row r="1579" spans="24:24" ht="14.25" customHeight="1">
      <c r="X1579" s="596"/>
    </row>
    <row r="1580" spans="24:24" ht="14.25" customHeight="1">
      <c r="X1580" s="596"/>
    </row>
    <row r="1581" spans="24:24" ht="14.25" customHeight="1">
      <c r="X1581" s="596"/>
    </row>
    <row r="1582" spans="24:24" ht="14.25" customHeight="1">
      <c r="X1582" s="596"/>
    </row>
    <row r="1583" spans="24:24" ht="14.25" customHeight="1">
      <c r="X1583" s="596"/>
    </row>
    <row r="1584" spans="24:24" ht="14.25" customHeight="1">
      <c r="X1584" s="596"/>
    </row>
    <row r="1585" spans="16:24" ht="14.25" customHeight="1">
      <c r="X1585" s="596"/>
    </row>
    <row r="1586" spans="16:24" ht="14.25" customHeight="1">
      <c r="X1586" s="596"/>
    </row>
    <row r="1587" spans="16:24" ht="14.25" customHeight="1">
      <c r="X1587" s="596"/>
    </row>
    <row r="1588" spans="16:24" ht="14.25" customHeight="1">
      <c r="X1588" s="596"/>
    </row>
    <row r="1589" spans="16:24" ht="14.25" customHeight="1">
      <c r="X1589" s="596"/>
    </row>
    <row r="1590" spans="16:24" ht="14.25" customHeight="1">
      <c r="X1590" s="596"/>
    </row>
    <row r="1591" spans="16:24" ht="14.25" customHeight="1">
      <c r="X1591" s="596"/>
    </row>
    <row r="1592" spans="16:24" ht="14.25" customHeight="1">
      <c r="X1592" s="596"/>
    </row>
    <row r="1593" spans="16:24" ht="14.25" customHeight="1">
      <c r="X1593" s="596"/>
    </row>
    <row r="1594" spans="16:24" ht="14.25" customHeight="1">
      <c r="P1594" s="49" t="s">
        <v>2244</v>
      </c>
      <c r="X1594" s="596"/>
    </row>
  </sheetData>
  <mergeCells count="39">
    <mergeCell ref="A1:AJ1"/>
    <mergeCell ref="A2:F2"/>
    <mergeCell ref="AF3:AF4"/>
    <mergeCell ref="Y3:Y4"/>
    <mergeCell ref="X3:X4"/>
    <mergeCell ref="AC3:AC4"/>
    <mergeCell ref="D3:D4"/>
    <mergeCell ref="AE3:AE4"/>
    <mergeCell ref="AA884:AF884"/>
    <mergeCell ref="AC890:AH890"/>
    <mergeCell ref="AI841:AI842"/>
    <mergeCell ref="B3:B4"/>
    <mergeCell ref="AB3:AB4"/>
    <mergeCell ref="AG3:AG4"/>
    <mergeCell ref="AD3:AD4"/>
    <mergeCell ref="AD841:AD842"/>
    <mergeCell ref="AG841:AG842"/>
    <mergeCell ref="AC841:AC842"/>
    <mergeCell ref="AF841:AF842"/>
    <mergeCell ref="C101:C108"/>
    <mergeCell ref="AH3:AH4"/>
    <mergeCell ref="AJ841:AJ842"/>
    <mergeCell ref="G3:V3"/>
    <mergeCell ref="AA3:AA4"/>
    <mergeCell ref="X2:AJ2"/>
    <mergeCell ref="AH841:AH842"/>
    <mergeCell ref="AA841:AA842"/>
    <mergeCell ref="AI3:AI4"/>
    <mergeCell ref="AB841:AB842"/>
    <mergeCell ref="AJ3:AJ4"/>
    <mergeCell ref="X841:X842"/>
    <mergeCell ref="Z841:Z842"/>
    <mergeCell ref="E3:E4"/>
    <mergeCell ref="Z3:Z4"/>
    <mergeCell ref="A3:A4"/>
    <mergeCell ref="G2:V2"/>
    <mergeCell ref="Y841:Y842"/>
    <mergeCell ref="C3:C4"/>
    <mergeCell ref="F3:F4"/>
  </mergeCells>
  <phoneticPr fontId="1" type="noConversion"/>
  <conditionalFormatting sqref="X956:X957">
    <cfRule type="expression" dxfId="40" priority="10">
      <formula>LEN(X959)&gt;27</formula>
    </cfRule>
  </conditionalFormatting>
  <conditionalFormatting sqref="X960:Y963">
    <cfRule type="expression" dxfId="39" priority="8">
      <formula>LEN(X963)&gt;27</formula>
    </cfRule>
  </conditionalFormatting>
  <conditionalFormatting sqref="Y935 Y937">
    <cfRule type="expression" dxfId="38" priority="15">
      <formula>LEN(Y937)&gt;27</formula>
    </cfRule>
  </conditionalFormatting>
  <conditionalFormatting sqref="Y936">
    <cfRule type="expression" dxfId="37" priority="22">
      <formula>LEN(#REF!)&gt;27</formula>
    </cfRule>
  </conditionalFormatting>
  <conditionalFormatting sqref="Y938:Y940 Y944 Y950:Y954 Y956:Y958">
    <cfRule type="expression" dxfId="36" priority="14">
      <formula>LEN(Y941)&gt;27</formula>
    </cfRule>
  </conditionalFormatting>
  <conditionalFormatting sqref="Y941:Y942">
    <cfRule type="expression" dxfId="35" priority="26">
      <formula>LEN(#REF!)&gt;27</formula>
    </cfRule>
  </conditionalFormatting>
  <conditionalFormatting sqref="Y943">
    <cfRule type="expression" dxfId="34" priority="25">
      <formula>LEN(Y944)&gt;27</formula>
    </cfRule>
  </conditionalFormatting>
  <conditionalFormatting sqref="Y945:Y948">
    <cfRule type="expression" dxfId="33" priority="16">
      <formula>LEN(Y949)&gt;27</formula>
    </cfRule>
  </conditionalFormatting>
  <conditionalFormatting sqref="Y949">
    <cfRule type="expression" dxfId="32" priority="12">
      <formula>LEN(Y950)&gt;27</formula>
    </cfRule>
  </conditionalFormatting>
  <conditionalFormatting sqref="Y955">
    <cfRule type="expression" dxfId="31" priority="11">
      <formula>LEN(Y956)&gt;27</formula>
    </cfRule>
  </conditionalFormatting>
  <conditionalFormatting sqref="Y959">
    <cfRule type="expression" dxfId="30" priority="9">
      <formula>LEN(Y960)&gt;27</formula>
    </cfRule>
  </conditionalFormatting>
  <conditionalFormatting sqref="Y965">
    <cfRule type="expression" dxfId="29" priority="13">
      <formula>LEN(Y968)&gt;27</formula>
    </cfRule>
  </conditionalFormatting>
  <dataValidations count="1">
    <dataValidation type="list" allowBlank="1" showInputMessage="1" showErrorMessage="1" sqref="F68 F71 F76 F84:F92" xr:uid="{00000000-0002-0000-0400-000000000000}">
      <formula1>"Intel,Motorola"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77C8-D53D-4AAC-A99E-A49D2B445A3F}">
  <sheetPr>
    <outlinePr summaryBelow="0" summaryRight="0"/>
  </sheetPr>
  <dimension ref="A1:AX866"/>
  <sheetViews>
    <sheetView workbookViewId="0">
      <pane ySplit="4" topLeftCell="A5" activePane="bottomLeft" state="frozen"/>
      <selection pane="bottomLeft" sqref="A1:AP1"/>
    </sheetView>
  </sheetViews>
  <sheetFormatPr defaultColWidth="9" defaultRowHeight="14.25" customHeight="1" outlineLevelRow="1"/>
  <cols>
    <col min="1" max="1" width="7.125" style="54" customWidth="1"/>
    <col min="2" max="2" width="26.875" style="54" customWidth="1"/>
    <col min="3" max="3" width="13.625" style="54" customWidth="1"/>
    <col min="4" max="4" width="8.5" style="54" customWidth="1"/>
    <col min="5" max="6" width="9" style="54" customWidth="1"/>
    <col min="7" max="23" width="5.625" style="55" customWidth="1"/>
    <col min="24" max="24" width="32.625" style="56" customWidth="1"/>
    <col min="25" max="25" width="41" style="57" customWidth="1"/>
    <col min="26" max="30" width="9" style="54" customWidth="1"/>
    <col min="31" max="31" width="37.5" style="49" customWidth="1"/>
    <col min="32" max="32" width="11.625" style="304" customWidth="1"/>
    <col min="33" max="33" width="9.125" style="55" customWidth="1"/>
    <col min="34" max="34" width="21.625" style="54" customWidth="1"/>
    <col min="35" max="35" width="9" style="54"/>
    <col min="36" max="36" width="14" style="58" customWidth="1"/>
    <col min="37" max="37" width="17.625" style="54" customWidth="1"/>
    <col min="38" max="38" width="10.125" style="54" customWidth="1"/>
    <col min="39" max="50" width="9" style="54"/>
  </cols>
  <sheetData>
    <row r="1" spans="1:46" s="49" customFormat="1" ht="14.25" customHeight="1">
      <c r="A1" s="3315" t="s">
        <v>229</v>
      </c>
      <c r="B1" s="3315"/>
      <c r="C1" s="3315"/>
      <c r="D1" s="3315"/>
      <c r="E1" s="3315"/>
      <c r="F1" s="3315"/>
      <c r="G1" s="3315"/>
      <c r="H1" s="3315"/>
      <c r="I1" s="3315"/>
      <c r="J1" s="3315"/>
      <c r="K1" s="3315"/>
      <c r="L1" s="3315"/>
      <c r="M1" s="3315"/>
      <c r="N1" s="3315"/>
      <c r="O1" s="3315"/>
      <c r="P1" s="3315"/>
      <c r="Q1" s="3315"/>
      <c r="R1" s="3315"/>
      <c r="S1" s="3315"/>
      <c r="T1" s="3315"/>
      <c r="U1" s="3315"/>
      <c r="V1" s="3315"/>
      <c r="W1" s="3315"/>
      <c r="X1" s="3315"/>
      <c r="Y1" s="3315"/>
      <c r="Z1" s="3315"/>
      <c r="AA1" s="3315"/>
      <c r="AB1" s="3315"/>
      <c r="AC1" s="3316"/>
      <c r="AD1" s="3317"/>
      <c r="AE1" s="3316"/>
      <c r="AF1" s="3315"/>
      <c r="AG1" s="3315"/>
      <c r="AH1" s="3315"/>
      <c r="AI1" s="3315"/>
      <c r="AJ1" s="3315"/>
      <c r="AK1" s="3315"/>
      <c r="AL1" s="3315"/>
      <c r="AM1" s="3315"/>
      <c r="AN1" s="3315"/>
      <c r="AO1" s="3315"/>
      <c r="AP1" s="3315"/>
      <c r="AQ1" s="59"/>
    </row>
    <row r="2" spans="1:46" ht="15" customHeight="1">
      <c r="A2" s="3331" t="s">
        <v>230</v>
      </c>
      <c r="B2" s="3332"/>
      <c r="C2" s="3332"/>
      <c r="D2" s="3332"/>
      <c r="E2" s="3332"/>
      <c r="F2" s="3332"/>
      <c r="G2" s="3336" t="s">
        <v>231</v>
      </c>
      <c r="H2" s="3292"/>
      <c r="I2" s="3292"/>
      <c r="J2" s="3292"/>
      <c r="K2" s="60"/>
      <c r="L2" s="60"/>
      <c r="M2" s="60"/>
      <c r="N2" s="60"/>
      <c r="O2" s="60"/>
      <c r="P2" s="60"/>
      <c r="Q2" s="60"/>
      <c r="R2" s="60"/>
      <c r="S2" s="60"/>
      <c r="T2" s="60"/>
      <c r="U2" s="60"/>
      <c r="V2" s="60"/>
      <c r="W2" s="60"/>
      <c r="X2" s="3318" t="s">
        <v>232</v>
      </c>
      <c r="Y2" s="3292"/>
      <c r="Z2" s="3292"/>
      <c r="AA2" s="3292"/>
      <c r="AB2" s="3292"/>
      <c r="AC2" s="3292"/>
      <c r="AD2" s="3292"/>
      <c r="AE2" s="3292"/>
      <c r="AF2" s="3292"/>
      <c r="AG2" s="3292"/>
      <c r="AH2" s="3292"/>
      <c r="AI2" s="3292"/>
      <c r="AJ2" s="3302"/>
    </row>
    <row r="3" spans="1:46" ht="15.75" customHeight="1">
      <c r="A3" s="3346" t="s">
        <v>233</v>
      </c>
      <c r="B3" s="3329" t="s">
        <v>234</v>
      </c>
      <c r="C3" s="3351" t="s">
        <v>2245</v>
      </c>
      <c r="D3" s="3345" t="s">
        <v>236</v>
      </c>
      <c r="E3" s="3339" t="s">
        <v>237</v>
      </c>
      <c r="F3" s="3304" t="s">
        <v>238</v>
      </c>
      <c r="G3" s="3302" t="s">
        <v>239</v>
      </c>
      <c r="H3" s="3302"/>
      <c r="I3" s="3302"/>
      <c r="J3" s="3302"/>
      <c r="K3" s="3302"/>
      <c r="L3" s="3302"/>
      <c r="M3" s="3302"/>
      <c r="N3" s="740"/>
      <c r="O3" s="740"/>
      <c r="P3" s="740"/>
      <c r="Q3" s="740"/>
      <c r="R3" s="740"/>
      <c r="S3" s="740"/>
      <c r="T3" s="740"/>
      <c r="U3" s="740"/>
      <c r="V3" s="740"/>
      <c r="W3" s="740"/>
      <c r="X3" s="3342" t="s">
        <v>240</v>
      </c>
      <c r="Y3" s="3334" t="s">
        <v>241</v>
      </c>
      <c r="Z3" s="3349" t="s">
        <v>242</v>
      </c>
      <c r="AA3" s="3350" t="s">
        <v>243</v>
      </c>
      <c r="AB3" s="3337" t="s">
        <v>244</v>
      </c>
      <c r="AC3" s="3347" t="s">
        <v>245</v>
      </c>
      <c r="AD3" s="3333" t="s">
        <v>246</v>
      </c>
      <c r="AE3" s="3330" t="s">
        <v>247</v>
      </c>
      <c r="AF3" s="3340" t="s">
        <v>248</v>
      </c>
      <c r="AG3" s="3338" t="s">
        <v>249</v>
      </c>
      <c r="AH3" s="3348" t="s">
        <v>250</v>
      </c>
      <c r="AI3" s="3344" t="s">
        <v>251</v>
      </c>
      <c r="AJ3" s="3302" t="s">
        <v>252</v>
      </c>
    </row>
    <row r="4" spans="1:46" ht="82.5" customHeight="1">
      <c r="A4" s="3290"/>
      <c r="B4" s="3286"/>
      <c r="C4" s="3286"/>
      <c r="D4" s="3286"/>
      <c r="E4" s="3286"/>
      <c r="F4" s="3305"/>
      <c r="G4" s="61" t="s">
        <v>91</v>
      </c>
      <c r="H4" s="61" t="s">
        <v>111</v>
      </c>
      <c r="I4" s="61" t="s">
        <v>92</v>
      </c>
      <c r="J4" s="61" t="s">
        <v>93</v>
      </c>
      <c r="K4" s="64" t="s">
        <v>104</v>
      </c>
      <c r="L4" s="64" t="s">
        <v>255</v>
      </c>
      <c r="M4" s="64" t="s">
        <v>94</v>
      </c>
      <c r="N4" s="64" t="s">
        <v>102</v>
      </c>
      <c r="O4" s="64" t="s">
        <v>99</v>
      </c>
      <c r="P4" s="64" t="s">
        <v>97</v>
      </c>
      <c r="Q4" s="64" t="s">
        <v>96</v>
      </c>
      <c r="R4" s="64" t="s">
        <v>106</v>
      </c>
      <c r="S4" s="64" t="s">
        <v>107</v>
      </c>
      <c r="T4" s="64"/>
      <c r="U4" s="64"/>
      <c r="V4" s="64"/>
      <c r="W4" s="64"/>
      <c r="X4" s="3343"/>
      <c r="Y4" s="3335"/>
      <c r="Z4" s="3286"/>
      <c r="AA4" s="3286"/>
      <c r="AB4" s="3286"/>
      <c r="AC4" s="3286"/>
      <c r="AD4" s="3286"/>
      <c r="AE4" s="3286"/>
      <c r="AF4" s="3341"/>
      <c r="AG4" s="3286"/>
      <c r="AH4" s="3286"/>
      <c r="AI4" s="3326"/>
      <c r="AJ4" s="3302"/>
    </row>
    <row r="5" spans="1:46" s="50" customFormat="1" ht="14.25" customHeight="1">
      <c r="A5" s="742">
        <v>1</v>
      </c>
      <c r="B5" s="743" t="s">
        <v>2246</v>
      </c>
      <c r="C5" s="743" t="s">
        <v>2247</v>
      </c>
      <c r="D5" s="743" t="s">
        <v>488</v>
      </c>
      <c r="E5" s="743">
        <v>8</v>
      </c>
      <c r="F5" s="743" t="s">
        <v>260</v>
      </c>
      <c r="G5" s="744" t="s">
        <v>325</v>
      </c>
      <c r="H5" s="742" t="s">
        <v>261</v>
      </c>
      <c r="I5" s="745"/>
      <c r="J5" s="744"/>
      <c r="K5" s="744"/>
      <c r="L5" s="744"/>
      <c r="M5" s="744"/>
      <c r="N5" s="744"/>
      <c r="O5" s="744"/>
      <c r="P5" s="744"/>
      <c r="Q5" s="744"/>
      <c r="R5" s="744"/>
      <c r="S5" s="744"/>
      <c r="T5" s="744"/>
      <c r="U5" s="744"/>
      <c r="V5" s="744"/>
      <c r="W5" s="744"/>
      <c r="X5" s="743" t="s">
        <v>2248</v>
      </c>
      <c r="Y5" s="746"/>
      <c r="Z5" s="745"/>
      <c r="AA5" s="745"/>
      <c r="AB5" s="745"/>
      <c r="AC5" s="745"/>
      <c r="AD5" s="745"/>
      <c r="AE5" s="743" t="s">
        <v>2248</v>
      </c>
      <c r="AF5" s="747"/>
      <c r="AG5" s="744"/>
      <c r="AH5" s="745"/>
      <c r="AI5" s="748"/>
      <c r="AJ5" s="745"/>
    </row>
    <row r="6" spans="1:46" s="51" customFormat="1" ht="14.25" customHeight="1" outlineLevel="1">
      <c r="A6" s="62"/>
      <c r="B6" s="50"/>
      <c r="C6" s="50"/>
      <c r="D6" s="50"/>
      <c r="E6" s="50"/>
      <c r="F6" s="50"/>
      <c r="G6" s="55" t="s">
        <v>325</v>
      </c>
      <c r="H6" s="63" t="s">
        <v>261</v>
      </c>
      <c r="J6" s="55"/>
      <c r="K6" s="55"/>
      <c r="L6" s="55"/>
      <c r="M6" s="55"/>
      <c r="N6" s="55"/>
      <c r="O6" s="55"/>
      <c r="P6" s="55"/>
      <c r="Q6" s="55"/>
      <c r="R6" s="55"/>
      <c r="S6" s="55"/>
      <c r="T6" s="55"/>
      <c r="U6" s="55"/>
      <c r="V6" s="55"/>
      <c r="W6" s="55"/>
      <c r="X6" s="749" t="s">
        <v>2249</v>
      </c>
      <c r="Y6" s="750" t="s">
        <v>2249</v>
      </c>
      <c r="Z6" s="65"/>
      <c r="AA6" s="65"/>
      <c r="AB6" s="751">
        <v>0</v>
      </c>
      <c r="AC6" s="751">
        <v>1</v>
      </c>
      <c r="AD6" s="68"/>
      <c r="AE6" s="752" t="s">
        <v>2250</v>
      </c>
      <c r="AF6" s="753">
        <v>1</v>
      </c>
      <c r="AG6" s="751">
        <v>0</v>
      </c>
      <c r="AH6" s="71" t="s">
        <v>444</v>
      </c>
      <c r="AI6" s="72" t="s">
        <v>444</v>
      </c>
      <c r="AJ6" s="749"/>
    </row>
    <row r="7" spans="1:46" s="51" customFormat="1" ht="14.25" customHeight="1" outlineLevel="1">
      <c r="A7" s="62"/>
      <c r="B7" s="50"/>
      <c r="C7" s="50"/>
      <c r="D7" s="50"/>
      <c r="E7" s="50"/>
      <c r="F7" s="50"/>
      <c r="G7" s="55" t="s">
        <v>325</v>
      </c>
      <c r="H7" s="63" t="s">
        <v>261</v>
      </c>
      <c r="J7" s="55"/>
      <c r="K7" s="55"/>
      <c r="L7" s="55"/>
      <c r="M7" s="55"/>
      <c r="N7" s="55"/>
      <c r="O7" s="55"/>
      <c r="P7" s="55"/>
      <c r="Q7" s="55"/>
      <c r="R7" s="55"/>
      <c r="S7" s="55"/>
      <c r="T7" s="55"/>
      <c r="U7" s="55"/>
      <c r="V7" s="55"/>
      <c r="W7" s="55"/>
      <c r="X7" s="749" t="s">
        <v>2251</v>
      </c>
      <c r="Y7" s="750" t="s">
        <v>2251</v>
      </c>
      <c r="Z7" s="754"/>
      <c r="AA7" s="754"/>
      <c r="AB7" s="751">
        <v>1</v>
      </c>
      <c r="AC7" s="751">
        <v>1</v>
      </c>
      <c r="AD7" s="755"/>
      <c r="AE7" s="752" t="s">
        <v>2252</v>
      </c>
      <c r="AF7" s="753">
        <v>1</v>
      </c>
      <c r="AG7" s="751">
        <v>0</v>
      </c>
      <c r="AH7" s="756" t="s">
        <v>444</v>
      </c>
      <c r="AI7" s="757" t="s">
        <v>444</v>
      </c>
      <c r="AJ7" s="749"/>
    </row>
    <row r="8" spans="1:46" s="51" customFormat="1" ht="14.25" customHeight="1" outlineLevel="1">
      <c r="A8" s="62"/>
      <c r="B8" s="50"/>
      <c r="C8" s="50"/>
      <c r="D8" s="50"/>
      <c r="E8" s="50"/>
      <c r="F8" s="50"/>
      <c r="G8" s="55" t="s">
        <v>325</v>
      </c>
      <c r="H8" s="63" t="s">
        <v>261</v>
      </c>
      <c r="J8" s="55"/>
      <c r="K8" s="55"/>
      <c r="L8" s="55"/>
      <c r="M8" s="55"/>
      <c r="N8" s="55"/>
      <c r="O8" s="55"/>
      <c r="P8" s="55"/>
      <c r="Q8" s="55"/>
      <c r="R8" s="55"/>
      <c r="S8" s="55"/>
      <c r="T8" s="55"/>
      <c r="U8" s="55"/>
      <c r="V8" s="55"/>
      <c r="W8" s="55"/>
      <c r="X8" s="749" t="s">
        <v>2253</v>
      </c>
      <c r="Y8" s="750" t="s">
        <v>2253</v>
      </c>
      <c r="Z8" s="758"/>
      <c r="AA8" s="758"/>
      <c r="AB8" s="751">
        <v>8</v>
      </c>
      <c r="AC8" s="751">
        <v>16</v>
      </c>
      <c r="AD8" s="759"/>
      <c r="AE8" s="752"/>
      <c r="AF8" s="753">
        <v>0.1</v>
      </c>
      <c r="AG8" s="751">
        <v>-3200</v>
      </c>
      <c r="AH8" s="760" t="s">
        <v>2254</v>
      </c>
      <c r="AI8" s="761"/>
      <c r="AJ8" s="749" t="s">
        <v>2255</v>
      </c>
    </row>
    <row r="9" spans="1:46" s="51" customFormat="1" ht="14.25" customHeight="1" outlineLevel="1">
      <c r="A9" s="62"/>
      <c r="B9" s="50"/>
      <c r="C9" s="50"/>
      <c r="D9" s="50"/>
      <c r="E9" s="50"/>
      <c r="F9" s="50"/>
      <c r="G9" s="55" t="s">
        <v>325</v>
      </c>
      <c r="H9" s="63" t="s">
        <v>261</v>
      </c>
      <c r="J9" s="55"/>
      <c r="K9" s="55"/>
      <c r="L9" s="55"/>
      <c r="M9" s="55"/>
      <c r="N9" s="55"/>
      <c r="O9" s="55"/>
      <c r="P9" s="55"/>
      <c r="Q9" s="55"/>
      <c r="R9" s="55"/>
      <c r="S9" s="55"/>
      <c r="T9" s="55"/>
      <c r="U9" s="55"/>
      <c r="V9" s="55"/>
      <c r="W9" s="55"/>
      <c r="X9" s="749" t="s">
        <v>2256</v>
      </c>
      <c r="Y9" s="750" t="s">
        <v>2256</v>
      </c>
      <c r="Z9" s="758"/>
      <c r="AA9" s="758"/>
      <c r="AB9" s="751">
        <v>24</v>
      </c>
      <c r="AC9" s="751">
        <v>16</v>
      </c>
      <c r="AD9" s="759"/>
      <c r="AE9" s="752"/>
      <c r="AF9" s="753">
        <v>0.1</v>
      </c>
      <c r="AG9" s="751">
        <v>-3200</v>
      </c>
      <c r="AH9" s="760" t="s">
        <v>2257</v>
      </c>
      <c r="AI9" s="761"/>
      <c r="AJ9" s="749" t="s">
        <v>2255</v>
      </c>
    </row>
    <row r="10" spans="1:46" s="51" customFormat="1" ht="80.099999999999994" customHeight="1" outlineLevel="1">
      <c r="A10" s="62"/>
      <c r="B10" s="50"/>
      <c r="C10" s="50"/>
      <c r="D10" s="50"/>
      <c r="E10" s="50"/>
      <c r="F10" s="50"/>
      <c r="G10" s="55" t="s">
        <v>325</v>
      </c>
      <c r="H10" s="63" t="s">
        <v>261</v>
      </c>
      <c r="J10" s="55"/>
      <c r="K10" s="55"/>
      <c r="L10" s="55"/>
      <c r="M10" s="55"/>
      <c r="N10" s="55"/>
      <c r="O10" s="55"/>
      <c r="P10" s="55"/>
      <c r="Q10" s="55"/>
      <c r="R10" s="55"/>
      <c r="S10" s="55"/>
      <c r="T10" s="55"/>
      <c r="U10" s="55"/>
      <c r="V10" s="55"/>
      <c r="W10" s="55"/>
      <c r="X10" s="749" t="s">
        <v>2258</v>
      </c>
      <c r="Y10" s="750" t="s">
        <v>2258</v>
      </c>
      <c r="Z10" s="758"/>
      <c r="AA10" s="758"/>
      <c r="AB10" s="751">
        <v>48</v>
      </c>
      <c r="AC10" s="751">
        <v>8</v>
      </c>
      <c r="AD10" s="759"/>
      <c r="AE10" s="752"/>
      <c r="AF10" s="753">
        <v>1</v>
      </c>
      <c r="AG10" s="751">
        <v>0</v>
      </c>
      <c r="AH10" s="756" t="s">
        <v>444</v>
      </c>
      <c r="AI10" s="757" t="s">
        <v>444</v>
      </c>
      <c r="AJ10" s="749"/>
    </row>
    <row r="11" spans="1:46" s="51" customFormat="1" ht="14.25" customHeight="1" outlineLevel="1">
      <c r="A11" s="62"/>
      <c r="B11" s="50"/>
      <c r="C11" s="50"/>
      <c r="D11" s="50"/>
      <c r="E11" s="50"/>
      <c r="F11" s="50"/>
      <c r="G11" s="55" t="s">
        <v>325</v>
      </c>
      <c r="H11" s="63" t="s">
        <v>261</v>
      </c>
      <c r="J11" s="55"/>
      <c r="K11" s="55"/>
      <c r="L11" s="55"/>
      <c r="M11" s="55"/>
      <c r="N11" s="55"/>
      <c r="O11" s="55"/>
      <c r="P11" s="55"/>
      <c r="Q11" s="55"/>
      <c r="R11" s="55"/>
      <c r="S11" s="55"/>
      <c r="T11" s="55"/>
      <c r="U11" s="55"/>
      <c r="V11" s="55"/>
      <c r="W11" s="55"/>
      <c r="X11" s="749" t="s">
        <v>2259</v>
      </c>
      <c r="Y11" s="750" t="s">
        <v>2259</v>
      </c>
      <c r="Z11" s="762"/>
      <c r="AA11" s="762"/>
      <c r="AB11" s="751">
        <v>56</v>
      </c>
      <c r="AC11" s="751">
        <v>8</v>
      </c>
      <c r="AD11" s="759"/>
      <c r="AE11" s="752"/>
      <c r="AF11" s="753">
        <v>1</v>
      </c>
      <c r="AG11" s="751">
        <v>0</v>
      </c>
      <c r="AH11" s="763"/>
      <c r="AI11" s="761"/>
      <c r="AJ11" s="749"/>
    </row>
    <row r="12" spans="1:46" s="50" customFormat="1" ht="14.25" customHeight="1">
      <c r="A12" s="742">
        <v>1</v>
      </c>
      <c r="B12" s="743" t="s">
        <v>2260</v>
      </c>
      <c r="C12" s="743" t="s">
        <v>2261</v>
      </c>
      <c r="D12" s="743" t="s">
        <v>488</v>
      </c>
      <c r="E12" s="743">
        <v>8</v>
      </c>
      <c r="F12" s="743" t="s">
        <v>260</v>
      </c>
      <c r="G12" s="744" t="s">
        <v>325</v>
      </c>
      <c r="H12" s="742" t="s">
        <v>261</v>
      </c>
      <c r="I12" s="745"/>
      <c r="J12" s="744"/>
      <c r="K12" s="744"/>
      <c r="L12" s="744"/>
      <c r="M12" s="744"/>
      <c r="N12" s="744"/>
      <c r="O12" s="744"/>
      <c r="P12" s="744"/>
      <c r="Q12" s="744"/>
      <c r="R12" s="744"/>
      <c r="S12" s="744"/>
      <c r="T12" s="744"/>
      <c r="U12" s="744"/>
      <c r="V12" s="744"/>
      <c r="W12" s="744"/>
      <c r="X12" s="743" t="s">
        <v>2248</v>
      </c>
      <c r="Y12" s="746"/>
      <c r="Z12" s="745"/>
      <c r="AA12" s="745"/>
      <c r="AB12" s="745"/>
      <c r="AC12" s="745"/>
      <c r="AD12" s="745"/>
      <c r="AE12" s="743" t="s">
        <v>2248</v>
      </c>
      <c r="AF12" s="747"/>
      <c r="AG12" s="744"/>
      <c r="AH12" s="745"/>
      <c r="AI12" s="748"/>
      <c r="AJ12" s="745"/>
    </row>
    <row r="13" spans="1:46" s="51" customFormat="1" ht="14.25" customHeight="1" outlineLevel="1">
      <c r="A13" s="62"/>
      <c r="B13" s="50"/>
      <c r="C13" s="50"/>
      <c r="D13" s="50"/>
      <c r="E13" s="50"/>
      <c r="F13" s="50"/>
      <c r="G13" s="55" t="s">
        <v>325</v>
      </c>
      <c r="H13" s="63" t="s">
        <v>261</v>
      </c>
      <c r="J13" s="55"/>
      <c r="K13" s="55"/>
      <c r="L13" s="55"/>
      <c r="M13" s="55"/>
      <c r="N13" s="55"/>
      <c r="O13" s="55"/>
      <c r="P13" s="55"/>
      <c r="Q13" s="55"/>
      <c r="R13" s="55"/>
      <c r="S13" s="55"/>
      <c r="T13" s="55"/>
      <c r="U13" s="55"/>
      <c r="V13" s="55"/>
      <c r="W13" s="55"/>
      <c r="X13" s="749" t="s">
        <v>2262</v>
      </c>
      <c r="Y13" s="750" t="s">
        <v>2262</v>
      </c>
      <c r="Z13" s="65"/>
      <c r="AA13" s="65"/>
      <c r="AB13" s="751">
        <v>0</v>
      </c>
      <c r="AC13" s="751">
        <v>16</v>
      </c>
      <c r="AD13" s="68" t="s">
        <v>2263</v>
      </c>
      <c r="AE13" s="752" t="s">
        <v>2264</v>
      </c>
      <c r="AF13" s="753">
        <v>1</v>
      </c>
      <c r="AG13" s="751">
        <v>0</v>
      </c>
      <c r="AH13" s="71"/>
      <c r="AI13" s="764">
        <v>0</v>
      </c>
      <c r="AJ13" s="749" t="s">
        <v>2265</v>
      </c>
    </row>
    <row r="14" spans="1:46" s="51" customFormat="1" ht="28.5" customHeight="1" outlineLevel="1">
      <c r="A14" s="62"/>
      <c r="B14" s="50"/>
      <c r="C14" s="50"/>
      <c r="D14" s="50"/>
      <c r="E14" s="50"/>
      <c r="F14" s="50"/>
      <c r="G14" s="55" t="s">
        <v>325</v>
      </c>
      <c r="H14" s="63" t="s">
        <v>261</v>
      </c>
      <c r="J14" s="55"/>
      <c r="K14" s="55"/>
      <c r="L14" s="55"/>
      <c r="M14" s="55"/>
      <c r="N14" s="55"/>
      <c r="O14" s="55"/>
      <c r="P14" s="55"/>
      <c r="Q14" s="55"/>
      <c r="R14" s="55"/>
      <c r="S14" s="55"/>
      <c r="T14" s="55"/>
      <c r="U14" s="55"/>
      <c r="V14" s="55"/>
      <c r="W14" s="55"/>
      <c r="X14" s="749" t="s">
        <v>2266</v>
      </c>
      <c r="Y14" s="749" t="s">
        <v>2266</v>
      </c>
      <c r="Z14" s="754"/>
      <c r="AA14" s="754"/>
      <c r="AB14" s="751">
        <v>16</v>
      </c>
      <c r="AC14" s="751">
        <v>16</v>
      </c>
      <c r="AD14" s="755"/>
      <c r="AE14" s="752" t="s">
        <v>2267</v>
      </c>
      <c r="AF14" s="753">
        <v>1</v>
      </c>
      <c r="AG14" s="751">
        <v>0</v>
      </c>
      <c r="AH14" s="756"/>
      <c r="AI14" s="764">
        <v>360</v>
      </c>
      <c r="AJ14" s="749" t="s">
        <v>2268</v>
      </c>
      <c r="AT14" s="51" t="s">
        <v>2262</v>
      </c>
    </row>
    <row r="15" spans="1:46" s="51" customFormat="1" ht="28.5" customHeight="1" outlineLevel="1">
      <c r="A15" s="62"/>
      <c r="B15" s="50"/>
      <c r="C15" s="50"/>
      <c r="D15" s="50"/>
      <c r="E15" s="50"/>
      <c r="F15" s="50"/>
      <c r="G15" s="55" t="s">
        <v>325</v>
      </c>
      <c r="H15" s="63" t="s">
        <v>261</v>
      </c>
      <c r="J15" s="55"/>
      <c r="K15" s="55"/>
      <c r="L15" s="55"/>
      <c r="M15" s="55"/>
      <c r="N15" s="55"/>
      <c r="O15" s="55"/>
      <c r="P15" s="55"/>
      <c r="Q15" s="55"/>
      <c r="R15" s="55"/>
      <c r="S15" s="55"/>
      <c r="T15" s="55"/>
      <c r="U15" s="55"/>
      <c r="V15" s="55"/>
      <c r="W15" s="55"/>
      <c r="X15" s="749" t="s">
        <v>2269</v>
      </c>
      <c r="Y15" s="749" t="s">
        <v>2269</v>
      </c>
      <c r="Z15" s="758"/>
      <c r="AA15" s="758"/>
      <c r="AB15" s="751">
        <v>32</v>
      </c>
      <c r="AC15" s="751">
        <v>8</v>
      </c>
      <c r="AD15" s="759"/>
      <c r="AE15" s="2395" t="s">
        <v>2270</v>
      </c>
      <c r="AF15" s="753">
        <v>0.4</v>
      </c>
      <c r="AG15" s="751">
        <v>0</v>
      </c>
      <c r="AH15" s="760"/>
      <c r="AI15" s="764">
        <v>0</v>
      </c>
      <c r="AJ15" s="749"/>
      <c r="AT15" s="51" t="s">
        <v>2262</v>
      </c>
    </row>
    <row r="16" spans="1:46" s="51" customFormat="1" ht="14.25" customHeight="1" outlineLevel="1">
      <c r="A16" s="62"/>
      <c r="B16" s="50"/>
      <c r="C16" s="50"/>
      <c r="D16" s="50"/>
      <c r="E16" s="50"/>
      <c r="F16" s="50"/>
      <c r="G16" s="55" t="s">
        <v>325</v>
      </c>
      <c r="H16" s="63" t="s">
        <v>261</v>
      </c>
      <c r="J16" s="55"/>
      <c r="K16" s="55"/>
      <c r="L16" s="55"/>
      <c r="M16" s="55"/>
      <c r="N16" s="55"/>
      <c r="O16" s="55"/>
      <c r="P16" s="55"/>
      <c r="Q16" s="55"/>
      <c r="R16" s="55"/>
      <c r="S16" s="55"/>
      <c r="T16" s="55"/>
      <c r="U16" s="55"/>
      <c r="V16" s="55"/>
      <c r="W16" s="55"/>
      <c r="X16" s="749" t="s">
        <v>2271</v>
      </c>
      <c r="Y16" s="749" t="s">
        <v>2271</v>
      </c>
      <c r="Z16" s="758"/>
      <c r="AA16" s="758"/>
      <c r="AB16" s="751">
        <v>40</v>
      </c>
      <c r="AC16" s="751">
        <v>8</v>
      </c>
      <c r="AD16" s="759"/>
      <c r="AE16" s="752"/>
      <c r="AF16" s="753"/>
      <c r="AG16" s="751">
        <v>0</v>
      </c>
      <c r="AH16" s="760"/>
      <c r="AI16" s="764">
        <v>0</v>
      </c>
      <c r="AJ16" s="749"/>
      <c r="AT16" s="51" t="s">
        <v>2262</v>
      </c>
    </row>
    <row r="17" spans="1:50" s="51" customFormat="1" ht="80.099999999999994" customHeight="1" outlineLevel="1">
      <c r="A17" s="62"/>
      <c r="B17" s="50"/>
      <c r="C17" s="50"/>
      <c r="D17" s="50"/>
      <c r="E17" s="50"/>
      <c r="F17" s="50"/>
      <c r="G17" s="55" t="s">
        <v>325</v>
      </c>
      <c r="H17" s="63" t="s">
        <v>261</v>
      </c>
      <c r="J17" s="55"/>
      <c r="K17" s="55"/>
      <c r="L17" s="55"/>
      <c r="M17" s="55"/>
      <c r="N17" s="55"/>
      <c r="O17" s="55"/>
      <c r="P17" s="55"/>
      <c r="Q17" s="55"/>
      <c r="R17" s="55"/>
      <c r="S17" s="55"/>
      <c r="T17" s="55"/>
      <c r="U17" s="55"/>
      <c r="V17" s="55"/>
      <c r="W17" s="55"/>
      <c r="X17" s="749" t="s">
        <v>2272</v>
      </c>
      <c r="Y17" s="749" t="s">
        <v>2272</v>
      </c>
      <c r="Z17" s="758"/>
      <c r="AA17" s="758"/>
      <c r="AB17" s="751">
        <v>48</v>
      </c>
      <c r="AC17" s="751">
        <v>2</v>
      </c>
      <c r="AD17" s="759"/>
      <c r="AE17" s="752"/>
      <c r="AF17" s="753">
        <v>1</v>
      </c>
      <c r="AG17" s="751">
        <v>0</v>
      </c>
      <c r="AH17" s="756"/>
      <c r="AI17" s="764">
        <v>0</v>
      </c>
      <c r="AJ17" s="749"/>
    </row>
    <row r="18" spans="1:50" s="50" customFormat="1" ht="14.25" customHeight="1">
      <c r="A18" s="742">
        <v>1</v>
      </c>
      <c r="B18" s="743" t="s">
        <v>2273</v>
      </c>
      <c r="C18" s="743" t="s">
        <v>2274</v>
      </c>
      <c r="D18" s="743" t="s">
        <v>488</v>
      </c>
      <c r="E18" s="743">
        <v>8</v>
      </c>
      <c r="F18" s="743" t="s">
        <v>260</v>
      </c>
      <c r="G18" s="744" t="s">
        <v>325</v>
      </c>
      <c r="H18" s="742" t="s">
        <v>261</v>
      </c>
      <c r="I18" s="745"/>
      <c r="J18" s="744"/>
      <c r="K18" s="744"/>
      <c r="L18" s="744"/>
      <c r="M18" s="744"/>
      <c r="N18" s="744"/>
      <c r="O18" s="744"/>
      <c r="P18" s="744"/>
      <c r="Q18" s="744"/>
      <c r="R18" s="744"/>
      <c r="S18" s="744"/>
      <c r="T18" s="744"/>
      <c r="U18" s="744"/>
      <c r="V18" s="744"/>
      <c r="W18" s="744"/>
      <c r="X18" s="743" t="s">
        <v>2275</v>
      </c>
      <c r="Y18" s="746"/>
      <c r="Z18" s="745"/>
      <c r="AA18" s="745"/>
      <c r="AB18" s="745"/>
      <c r="AC18" s="745"/>
      <c r="AD18" s="745"/>
      <c r="AE18" s="743" t="s">
        <v>2275</v>
      </c>
      <c r="AF18" s="747"/>
      <c r="AG18" s="744"/>
      <c r="AH18" s="745"/>
      <c r="AI18" s="748"/>
      <c r="AJ18" s="745"/>
    </row>
    <row r="19" spans="1:50" s="51" customFormat="1" ht="14.25" customHeight="1" outlineLevel="1">
      <c r="A19" s="62"/>
      <c r="B19" s="50"/>
      <c r="C19" s="50"/>
      <c r="D19" s="50"/>
      <c r="E19" s="50"/>
      <c r="F19" s="50"/>
      <c r="G19" s="55" t="s">
        <v>325</v>
      </c>
      <c r="H19" s="63" t="s">
        <v>261</v>
      </c>
      <c r="J19" s="55"/>
      <c r="K19" s="55"/>
      <c r="L19" s="55"/>
      <c r="M19" s="55"/>
      <c r="N19" s="55"/>
      <c r="O19" s="55"/>
      <c r="P19" s="55"/>
      <c r="Q19" s="55"/>
      <c r="R19" s="55"/>
      <c r="S19" s="55"/>
      <c r="T19" s="55"/>
      <c r="U19" s="55"/>
      <c r="V19" s="55"/>
      <c r="W19" s="55"/>
      <c r="X19" s="228" t="s">
        <v>2276</v>
      </c>
      <c r="Y19" s="228" t="s">
        <v>2276</v>
      </c>
      <c r="Z19" s="65"/>
      <c r="AA19" s="65"/>
      <c r="AB19" s="751">
        <v>0</v>
      </c>
      <c r="AC19" s="751">
        <v>16</v>
      </c>
      <c r="AD19" s="68"/>
      <c r="AE19" s="752"/>
      <c r="AF19" s="753">
        <v>0.1</v>
      </c>
      <c r="AG19" s="751">
        <v>-3200</v>
      </c>
      <c r="AH19" s="71"/>
      <c r="AI19" s="764"/>
      <c r="AJ19" s="749" t="s">
        <v>2255</v>
      </c>
    </row>
    <row r="20" spans="1:50" s="51" customFormat="1" ht="14.25" customHeight="1" outlineLevel="1">
      <c r="A20" s="62"/>
      <c r="B20" s="50"/>
      <c r="C20" s="50"/>
      <c r="D20" s="50"/>
      <c r="E20" s="50"/>
      <c r="F20" s="50"/>
      <c r="G20" s="55" t="s">
        <v>325</v>
      </c>
      <c r="H20" s="63" t="s">
        <v>261</v>
      </c>
      <c r="J20" s="55"/>
      <c r="K20" s="55"/>
      <c r="L20" s="55"/>
      <c r="M20" s="55"/>
      <c r="N20" s="55"/>
      <c r="O20" s="55"/>
      <c r="P20" s="55"/>
      <c r="Q20" s="55"/>
      <c r="R20" s="55"/>
      <c r="S20" s="55"/>
      <c r="T20" s="55"/>
      <c r="U20" s="55"/>
      <c r="V20" s="55"/>
      <c r="W20" s="55"/>
      <c r="X20" s="228" t="s">
        <v>2277</v>
      </c>
      <c r="Y20" s="228" t="s">
        <v>2277</v>
      </c>
      <c r="Z20" s="754"/>
      <c r="AA20" s="754"/>
      <c r="AB20" s="751">
        <v>16</v>
      </c>
      <c r="AC20" s="751">
        <v>16</v>
      </c>
      <c r="AD20" s="755"/>
      <c r="AE20" s="752"/>
      <c r="AF20" s="753">
        <v>0.1</v>
      </c>
      <c r="AG20" s="751">
        <v>-3200</v>
      </c>
      <c r="AH20" s="756"/>
      <c r="AI20" s="764"/>
      <c r="AJ20" s="749" t="s">
        <v>2255</v>
      </c>
    </row>
    <row r="21" spans="1:50" s="51" customFormat="1" ht="14.25" customHeight="1" outlineLevel="1">
      <c r="A21" s="62"/>
      <c r="B21" s="50"/>
      <c r="C21" s="50"/>
      <c r="D21" s="50"/>
      <c r="E21" s="50"/>
      <c r="F21" s="50"/>
      <c r="G21" s="55" t="s">
        <v>325</v>
      </c>
      <c r="H21" s="63" t="s">
        <v>261</v>
      </c>
      <c r="J21" s="55"/>
      <c r="K21" s="55"/>
      <c r="L21" s="55"/>
      <c r="M21" s="55"/>
      <c r="N21" s="55"/>
      <c r="O21" s="55"/>
      <c r="P21" s="55"/>
      <c r="Q21" s="55"/>
      <c r="R21" s="55"/>
      <c r="S21" s="55"/>
      <c r="T21" s="55"/>
      <c r="U21" s="55"/>
      <c r="V21" s="55"/>
      <c r="W21" s="55"/>
      <c r="X21" s="228" t="s">
        <v>2278</v>
      </c>
      <c r="Y21" s="228" t="s">
        <v>2278</v>
      </c>
      <c r="Z21" s="758"/>
      <c r="AA21" s="758"/>
      <c r="AB21" s="751">
        <v>32</v>
      </c>
      <c r="AC21" s="751">
        <v>16</v>
      </c>
      <c r="AD21" s="759"/>
      <c r="AE21" s="752"/>
      <c r="AF21" s="753">
        <v>0.1</v>
      </c>
      <c r="AG21" s="751">
        <v>-3200</v>
      </c>
      <c r="AH21" s="760"/>
      <c r="AI21" s="764"/>
      <c r="AJ21" s="749" t="s">
        <v>2255</v>
      </c>
    </row>
    <row r="22" spans="1:50" s="51" customFormat="1" ht="14.25" customHeight="1" outlineLevel="1">
      <c r="A22" s="62"/>
      <c r="B22" s="50"/>
      <c r="C22" s="50"/>
      <c r="D22" s="50"/>
      <c r="E22" s="50"/>
      <c r="F22" s="50"/>
      <c r="G22" s="55" t="s">
        <v>325</v>
      </c>
      <c r="H22" s="63" t="s">
        <v>261</v>
      </c>
      <c r="J22" s="55"/>
      <c r="K22" s="55"/>
      <c r="L22" s="55"/>
      <c r="M22" s="55"/>
      <c r="N22" s="55"/>
      <c r="O22" s="55"/>
      <c r="P22" s="55"/>
      <c r="Q22" s="55"/>
      <c r="R22" s="55"/>
      <c r="S22" s="55"/>
      <c r="T22" s="55"/>
      <c r="U22" s="55"/>
      <c r="V22" s="55"/>
      <c r="W22" s="55"/>
      <c r="X22" s="228" t="s">
        <v>2279</v>
      </c>
      <c r="Y22" s="228" t="s">
        <v>2279</v>
      </c>
      <c r="Z22" s="758"/>
      <c r="AA22" s="758"/>
      <c r="AB22" s="751">
        <v>48</v>
      </c>
      <c r="AC22" s="751">
        <v>16</v>
      </c>
      <c r="AD22" s="759"/>
      <c r="AE22" s="752"/>
      <c r="AF22" s="753">
        <v>0.1</v>
      </c>
      <c r="AG22" s="751">
        <v>-3200</v>
      </c>
      <c r="AH22" s="760"/>
      <c r="AI22" s="764"/>
      <c r="AJ22" s="749" t="s">
        <v>2255</v>
      </c>
    </row>
    <row r="23" spans="1:50" s="50" customFormat="1" ht="14.25" customHeight="1">
      <c r="A23" s="742">
        <v>1</v>
      </c>
      <c r="B23" s="743" t="s">
        <v>2273</v>
      </c>
      <c r="C23" s="743" t="s">
        <v>2280</v>
      </c>
      <c r="D23" s="743" t="s">
        <v>488</v>
      </c>
      <c r="E23" s="743">
        <v>8</v>
      </c>
      <c r="F23" s="743" t="s">
        <v>260</v>
      </c>
      <c r="G23" s="744" t="s">
        <v>325</v>
      </c>
      <c r="H23" s="742" t="s">
        <v>261</v>
      </c>
      <c r="I23" s="745"/>
      <c r="J23" s="744"/>
      <c r="K23" s="744"/>
      <c r="L23" s="744"/>
      <c r="M23" s="744"/>
      <c r="N23" s="744"/>
      <c r="O23" s="744"/>
      <c r="P23" s="744"/>
      <c r="Q23" s="744"/>
      <c r="R23" s="744"/>
      <c r="S23" s="744"/>
      <c r="T23" s="744"/>
      <c r="U23" s="744"/>
      <c r="V23" s="744"/>
      <c r="W23" s="744"/>
      <c r="X23" s="743" t="s">
        <v>2275</v>
      </c>
      <c r="Y23" s="746"/>
      <c r="Z23" s="745"/>
      <c r="AA23" s="745"/>
      <c r="AB23" s="745"/>
      <c r="AC23" s="745"/>
      <c r="AD23" s="745"/>
      <c r="AE23" s="743" t="s">
        <v>2275</v>
      </c>
      <c r="AF23" s="747"/>
      <c r="AG23" s="744"/>
      <c r="AH23" s="745"/>
      <c r="AI23" s="748"/>
      <c r="AJ23" s="745"/>
    </row>
    <row r="24" spans="1:50" s="51" customFormat="1" ht="14.25" customHeight="1" outlineLevel="1">
      <c r="A24" s="62"/>
      <c r="B24" s="50"/>
      <c r="C24" s="50"/>
      <c r="D24" s="50"/>
      <c r="E24" s="50"/>
      <c r="F24" s="50"/>
      <c r="G24" s="55" t="s">
        <v>325</v>
      </c>
      <c r="H24" s="63" t="s">
        <v>261</v>
      </c>
      <c r="J24" s="55"/>
      <c r="K24" s="55"/>
      <c r="L24" s="55"/>
      <c r="M24" s="55"/>
      <c r="N24" s="55"/>
      <c r="O24" s="55"/>
      <c r="P24" s="55"/>
      <c r="Q24" s="55"/>
      <c r="R24" s="55"/>
      <c r="S24" s="55"/>
      <c r="T24" s="55"/>
      <c r="U24" s="55"/>
      <c r="V24" s="55"/>
      <c r="W24" s="55"/>
      <c r="X24" s="749" t="s">
        <v>2281</v>
      </c>
      <c r="Y24" s="750" t="s">
        <v>2281</v>
      </c>
      <c r="Z24" s="65"/>
      <c r="AA24" s="65"/>
      <c r="AB24" s="751">
        <v>0</v>
      </c>
      <c r="AC24" s="751">
        <v>1</v>
      </c>
      <c r="AD24" s="68"/>
      <c r="AE24" s="752" t="s">
        <v>2282</v>
      </c>
      <c r="AF24" s="753">
        <v>1</v>
      </c>
      <c r="AG24" s="751"/>
      <c r="AH24" s="71"/>
      <c r="AI24" s="764"/>
      <c r="AJ24" s="749"/>
    </row>
    <row r="25" spans="1:50" s="51" customFormat="1" ht="28.5" customHeight="1" outlineLevel="1">
      <c r="A25" s="62"/>
      <c r="B25" s="50"/>
      <c r="C25" s="50"/>
      <c r="D25" s="50"/>
      <c r="E25" s="50"/>
      <c r="F25" s="50"/>
      <c r="G25" s="55" t="s">
        <v>325</v>
      </c>
      <c r="H25" s="63" t="s">
        <v>261</v>
      </c>
      <c r="J25" s="55"/>
      <c r="K25" s="55"/>
      <c r="L25" s="55"/>
      <c r="M25" s="55"/>
      <c r="N25" s="55"/>
      <c r="O25" s="55"/>
      <c r="P25" s="55"/>
      <c r="Q25" s="55"/>
      <c r="R25" s="55"/>
      <c r="S25" s="55"/>
      <c r="T25" s="55"/>
      <c r="U25" s="55"/>
      <c r="V25" s="55"/>
      <c r="W25" s="55"/>
      <c r="X25" s="749" t="s">
        <v>2283</v>
      </c>
      <c r="Y25" s="750" t="s">
        <v>2283</v>
      </c>
      <c r="Z25" s="754"/>
      <c r="AA25" s="754"/>
      <c r="AB25" s="751">
        <v>1</v>
      </c>
      <c r="AC25" s="751">
        <v>1</v>
      </c>
      <c r="AD25" s="755"/>
      <c r="AE25" s="752" t="s">
        <v>2284</v>
      </c>
      <c r="AF25" s="753">
        <v>1</v>
      </c>
      <c r="AG25" s="751"/>
      <c r="AH25" s="756"/>
      <c r="AI25" s="764"/>
      <c r="AJ25" s="749"/>
    </row>
    <row r="26" spans="1:50" s="51" customFormat="1" ht="14.25" customHeight="1" outlineLevel="1">
      <c r="A26" s="62"/>
      <c r="B26" s="50"/>
      <c r="C26" s="50"/>
      <c r="D26" s="50"/>
      <c r="E26" s="50"/>
      <c r="F26" s="50"/>
      <c r="G26" s="55" t="s">
        <v>325</v>
      </c>
      <c r="H26" s="63" t="s">
        <v>261</v>
      </c>
      <c r="J26" s="55"/>
      <c r="K26" s="55"/>
      <c r="L26" s="55"/>
      <c r="M26" s="55"/>
      <c r="N26" s="55"/>
      <c r="O26" s="55"/>
      <c r="P26" s="55"/>
      <c r="Q26" s="55"/>
      <c r="R26" s="55"/>
      <c r="S26" s="55"/>
      <c r="T26" s="55"/>
      <c r="U26" s="55"/>
      <c r="V26" s="55"/>
      <c r="W26" s="55"/>
      <c r="X26" s="749" t="s">
        <v>2285</v>
      </c>
      <c r="Y26" s="750" t="s">
        <v>2285</v>
      </c>
      <c r="Z26" s="758"/>
      <c r="AA26" s="758"/>
      <c r="AB26" s="751">
        <v>48</v>
      </c>
      <c r="AC26" s="751">
        <v>8</v>
      </c>
      <c r="AD26" s="759"/>
      <c r="AE26" s="752"/>
      <c r="AF26" s="753">
        <v>1</v>
      </c>
      <c r="AG26" s="751"/>
      <c r="AH26" s="760"/>
      <c r="AI26" s="764"/>
      <c r="AJ26" s="749"/>
    </row>
    <row r="27" spans="1:50" s="51" customFormat="1" ht="14.25" customHeight="1" outlineLevel="1">
      <c r="A27" s="62"/>
      <c r="B27" s="50"/>
      <c r="C27" s="50"/>
      <c r="D27" s="50"/>
      <c r="E27" s="50"/>
      <c r="F27" s="50"/>
      <c r="G27" s="55" t="s">
        <v>325</v>
      </c>
      <c r="H27" s="63" t="s">
        <v>261</v>
      </c>
      <c r="J27" s="55"/>
      <c r="K27" s="55"/>
      <c r="L27" s="55"/>
      <c r="M27" s="55"/>
      <c r="N27" s="55"/>
      <c r="O27" s="55"/>
      <c r="P27" s="55"/>
      <c r="Q27" s="55"/>
      <c r="R27" s="55"/>
      <c r="S27" s="55"/>
      <c r="T27" s="55"/>
      <c r="U27" s="55"/>
      <c r="V27" s="55"/>
      <c r="W27" s="55"/>
      <c r="X27" s="749" t="s">
        <v>2286</v>
      </c>
      <c r="Y27" s="750" t="s">
        <v>2286</v>
      </c>
      <c r="Z27" s="758"/>
      <c r="AA27" s="758"/>
      <c r="AB27" s="751">
        <v>56</v>
      </c>
      <c r="AC27" s="751">
        <v>8</v>
      </c>
      <c r="AD27" s="759"/>
      <c r="AE27" s="752"/>
      <c r="AF27" s="753">
        <v>1</v>
      </c>
      <c r="AG27" s="751"/>
      <c r="AH27" s="760"/>
      <c r="AI27" s="764"/>
      <c r="AJ27" s="749"/>
    </row>
    <row r="28" spans="1:50" s="50" customFormat="1" ht="14.25" customHeight="1">
      <c r="A28" s="765">
        <v>1</v>
      </c>
      <c r="B28" s="766" t="s">
        <v>2287</v>
      </c>
      <c r="C28" s="766" t="s">
        <v>2288</v>
      </c>
      <c r="D28" s="766" t="s">
        <v>488</v>
      </c>
      <c r="E28" s="766">
        <v>8</v>
      </c>
      <c r="F28" s="766" t="s">
        <v>260</v>
      </c>
      <c r="G28" s="765" t="s">
        <v>261</v>
      </c>
      <c r="H28" s="765"/>
      <c r="I28" s="767" t="s">
        <v>325</v>
      </c>
      <c r="J28" s="767"/>
      <c r="K28" s="767"/>
      <c r="L28" s="767"/>
      <c r="M28" s="767"/>
      <c r="N28" s="767"/>
      <c r="O28" s="767"/>
      <c r="P28" s="767"/>
      <c r="Q28" s="767"/>
      <c r="R28" s="767"/>
      <c r="S28" s="767"/>
      <c r="T28" s="767"/>
      <c r="U28" s="767"/>
      <c r="V28" s="767"/>
      <c r="W28" s="767"/>
      <c r="X28" s="766" t="s">
        <v>2289</v>
      </c>
      <c r="Y28" s="768"/>
      <c r="Z28" s="769"/>
      <c r="AA28" s="769"/>
      <c r="AB28" s="769"/>
      <c r="AC28" s="769"/>
      <c r="AD28" s="769"/>
      <c r="AE28" s="766" t="s">
        <v>2289</v>
      </c>
      <c r="AF28" s="770"/>
      <c r="AG28" s="767"/>
      <c r="AH28" s="769"/>
      <c r="AI28" s="771"/>
      <c r="AJ28" s="769"/>
      <c r="AK28" s="293"/>
      <c r="AL28" s="293"/>
      <c r="AM28" s="293"/>
      <c r="AN28" s="293"/>
      <c r="AO28" s="293"/>
      <c r="AP28" s="293"/>
      <c r="AQ28" s="293"/>
      <c r="AR28" s="293"/>
      <c r="AS28" s="293"/>
      <c r="AT28" s="293"/>
      <c r="AU28" s="293"/>
      <c r="AV28" s="293"/>
      <c r="AW28" s="293"/>
      <c r="AX28" s="293"/>
    </row>
    <row r="29" spans="1:50" s="51" customFormat="1" ht="28.5" customHeight="1" outlineLevel="1">
      <c r="A29" s="292"/>
      <c r="B29" s="293"/>
      <c r="C29" s="293"/>
      <c r="D29" s="293"/>
      <c r="E29" s="293"/>
      <c r="F29" s="293"/>
      <c r="G29" s="291" t="s">
        <v>261</v>
      </c>
      <c r="H29" s="291"/>
      <c r="I29" s="290" t="s">
        <v>325</v>
      </c>
      <c r="J29" s="290"/>
      <c r="K29" s="290"/>
      <c r="L29" s="290"/>
      <c r="M29" s="290"/>
      <c r="N29" s="290"/>
      <c r="O29" s="290"/>
      <c r="P29" s="290"/>
      <c r="Q29" s="290"/>
      <c r="R29" s="290"/>
      <c r="S29" s="290"/>
      <c r="T29" s="290"/>
      <c r="U29" s="290"/>
      <c r="V29" s="290"/>
      <c r="W29" s="290"/>
      <c r="X29" s="2396" t="s">
        <v>2290</v>
      </c>
      <c r="Y29" s="750" t="s">
        <v>2291</v>
      </c>
      <c r="Z29" s="289"/>
      <c r="AA29" s="289"/>
      <c r="AB29" s="288">
        <v>0</v>
      </c>
      <c r="AC29" s="288">
        <v>1</v>
      </c>
      <c r="AD29" s="287"/>
      <c r="AE29" s="2397" t="s">
        <v>2292</v>
      </c>
      <c r="AF29" s="276">
        <v>1</v>
      </c>
      <c r="AG29" s="287">
        <v>0</v>
      </c>
      <c r="AH29" s="285" t="s">
        <v>444</v>
      </c>
      <c r="AI29" s="284" t="s">
        <v>444</v>
      </c>
      <c r="AJ29" s="772" t="s">
        <v>444</v>
      </c>
      <c r="AK29" s="283"/>
      <c r="AL29" s="283"/>
      <c r="AM29" s="283"/>
      <c r="AN29" s="283"/>
      <c r="AO29" s="283"/>
      <c r="AP29" s="283"/>
      <c r="AQ29" s="283"/>
      <c r="AR29" s="283"/>
      <c r="AS29" s="283"/>
      <c r="AT29" s="283"/>
      <c r="AU29" s="283"/>
      <c r="AV29" s="283"/>
      <c r="AW29" s="283"/>
      <c r="AX29" s="283"/>
    </row>
    <row r="30" spans="1:50" s="51" customFormat="1" ht="110.1" customHeight="1" outlineLevel="1">
      <c r="A30" s="292"/>
      <c r="B30" s="293"/>
      <c r="C30" s="293"/>
      <c r="D30" s="293"/>
      <c r="E30" s="293"/>
      <c r="F30" s="293"/>
      <c r="G30" s="291" t="s">
        <v>261</v>
      </c>
      <c r="H30" s="291"/>
      <c r="I30" s="290" t="s">
        <v>325</v>
      </c>
      <c r="J30" s="290"/>
      <c r="K30" s="290"/>
      <c r="L30" s="290"/>
      <c r="M30" s="290"/>
      <c r="N30" s="290"/>
      <c r="O30" s="290"/>
      <c r="P30" s="290"/>
      <c r="Q30" s="290"/>
      <c r="R30" s="290"/>
      <c r="S30" s="290"/>
      <c r="T30" s="290"/>
      <c r="U30" s="290"/>
      <c r="V30" s="290"/>
      <c r="W30" s="290"/>
      <c r="X30" s="773" t="s">
        <v>2293</v>
      </c>
      <c r="Y30" s="750" t="s">
        <v>2294</v>
      </c>
      <c r="Z30" s="774"/>
      <c r="AA30" s="774"/>
      <c r="AB30" s="775">
        <v>1</v>
      </c>
      <c r="AC30" s="775">
        <v>3</v>
      </c>
      <c r="AD30" s="775"/>
      <c r="AE30" s="2398" t="s">
        <v>2295</v>
      </c>
      <c r="AF30" s="777">
        <v>1</v>
      </c>
      <c r="AG30" s="775">
        <v>0</v>
      </c>
      <c r="AH30" s="737" t="s">
        <v>444</v>
      </c>
      <c r="AI30" s="778" t="s">
        <v>444</v>
      </c>
      <c r="AJ30" s="772" t="s">
        <v>444</v>
      </c>
      <c r="AK30" s="283"/>
      <c r="AL30" s="283"/>
      <c r="AM30" s="283"/>
      <c r="AN30" s="283"/>
      <c r="AO30" s="283"/>
      <c r="AP30" s="283"/>
      <c r="AQ30" s="283"/>
      <c r="AR30" s="283"/>
      <c r="AS30" s="283"/>
      <c r="AT30" s="283"/>
      <c r="AU30" s="283"/>
      <c r="AV30" s="283"/>
      <c r="AW30" s="283"/>
      <c r="AX30" s="283"/>
    </row>
    <row r="31" spans="1:50" s="51" customFormat="1" ht="42.75" customHeight="1" outlineLevel="1">
      <c r="A31" s="1265"/>
      <c r="B31" s="1265"/>
      <c r="C31" s="1265"/>
      <c r="D31" s="1265"/>
      <c r="E31" s="1265"/>
      <c r="F31" s="1265"/>
      <c r="G31" s="1266" t="s">
        <v>261</v>
      </c>
      <c r="H31" s="1266"/>
      <c r="I31" s="1266" t="s">
        <v>325</v>
      </c>
      <c r="J31" s="1266"/>
      <c r="K31" s="1266"/>
      <c r="L31" s="1266"/>
      <c r="M31" s="1266"/>
      <c r="N31" s="1266"/>
      <c r="O31" s="1266"/>
      <c r="P31" s="1266"/>
      <c r="Q31" s="1266"/>
      <c r="R31" s="1266"/>
      <c r="S31" s="1266"/>
      <c r="T31" s="1266"/>
      <c r="U31" s="1266"/>
      <c r="V31" s="1266"/>
      <c r="W31" s="1266"/>
      <c r="X31" s="1267" t="s">
        <v>2296</v>
      </c>
      <c r="Y31" s="1268" t="s">
        <v>2297</v>
      </c>
      <c r="Z31" s="897"/>
      <c r="AA31" s="897"/>
      <c r="AB31" s="1387">
        <v>4</v>
      </c>
      <c r="AC31" s="1387">
        <v>1</v>
      </c>
      <c r="AD31" s="1387"/>
      <c r="AE31" s="2399" t="s">
        <v>2298</v>
      </c>
      <c r="AF31" s="1422"/>
      <c r="AG31" s="1387"/>
      <c r="AH31" s="1269"/>
      <c r="AI31" s="1423"/>
      <c r="AJ31" s="1367"/>
      <c r="AK31" s="1425"/>
      <c r="AL31" s="1425"/>
      <c r="AM31" s="1425"/>
      <c r="AN31" s="1425"/>
      <c r="AO31" s="1425"/>
      <c r="AP31" s="1425"/>
      <c r="AQ31" s="1425"/>
      <c r="AR31" s="1425"/>
      <c r="AS31" s="1425"/>
      <c r="AT31" s="1425"/>
      <c r="AU31" s="283"/>
      <c r="AV31" s="283"/>
      <c r="AW31" s="283"/>
      <c r="AX31" s="283"/>
    </row>
    <row r="32" spans="1:50" s="51" customFormat="1" ht="42.75" customHeight="1" outlineLevel="1">
      <c r="A32" s="292"/>
      <c r="B32" s="293"/>
      <c r="C32" s="293"/>
      <c r="D32" s="293"/>
      <c r="E32" s="293"/>
      <c r="F32" s="293"/>
      <c r="G32" s="291" t="s">
        <v>261</v>
      </c>
      <c r="H32" s="291"/>
      <c r="I32" s="290" t="s">
        <v>325</v>
      </c>
      <c r="J32" s="290"/>
      <c r="K32" s="290"/>
      <c r="L32" s="290"/>
      <c r="M32" s="290"/>
      <c r="N32" s="290"/>
      <c r="O32" s="290"/>
      <c r="P32" s="290"/>
      <c r="Q32" s="290"/>
      <c r="R32" s="290"/>
      <c r="S32" s="290"/>
      <c r="T32" s="290"/>
      <c r="U32" s="290"/>
      <c r="V32" s="290"/>
      <c r="W32" s="290"/>
      <c r="X32" s="2400" t="s">
        <v>2299</v>
      </c>
      <c r="Y32" s="750" t="s">
        <v>2300</v>
      </c>
      <c r="Z32" s="779"/>
      <c r="AA32" s="779"/>
      <c r="AB32" s="775">
        <v>8</v>
      </c>
      <c r="AC32" s="775">
        <v>16</v>
      </c>
      <c r="AD32" s="780"/>
      <c r="AE32" s="781" t="s">
        <v>2301</v>
      </c>
      <c r="AF32" s="777">
        <v>1</v>
      </c>
      <c r="AG32" s="780">
        <v>-32000</v>
      </c>
      <c r="AH32" s="782" t="s">
        <v>2254</v>
      </c>
      <c r="AI32" s="783"/>
      <c r="AJ32" s="784" t="s">
        <v>2302</v>
      </c>
      <c r="AK32" s="283"/>
      <c r="AL32" s="283"/>
      <c r="AM32" s="283"/>
      <c r="AN32" s="283"/>
      <c r="AO32" s="283"/>
      <c r="AP32" s="283"/>
      <c r="AQ32" s="283"/>
      <c r="AR32" s="283"/>
      <c r="AS32" s="283"/>
      <c r="AT32" s="283"/>
      <c r="AU32" s="283"/>
      <c r="AV32" s="283"/>
      <c r="AW32" s="283"/>
      <c r="AX32" s="283"/>
    </row>
    <row r="33" spans="1:50" s="51" customFormat="1" ht="57" customHeight="1" outlineLevel="1">
      <c r="A33" s="292"/>
      <c r="B33" s="293"/>
      <c r="C33" s="293"/>
      <c r="D33" s="293"/>
      <c r="E33" s="293"/>
      <c r="F33" s="293"/>
      <c r="G33" s="291" t="s">
        <v>261</v>
      </c>
      <c r="H33" s="291"/>
      <c r="I33" s="290" t="s">
        <v>325</v>
      </c>
      <c r="J33" s="290"/>
      <c r="K33" s="290"/>
      <c r="L33" s="290"/>
      <c r="M33" s="290"/>
      <c r="N33" s="290"/>
      <c r="O33" s="290"/>
      <c r="P33" s="290"/>
      <c r="Q33" s="290"/>
      <c r="R33" s="290"/>
      <c r="S33" s="290"/>
      <c r="T33" s="290"/>
      <c r="U33" s="290"/>
      <c r="V33" s="290"/>
      <c r="W33" s="290"/>
      <c r="X33" s="2401" t="s">
        <v>2303</v>
      </c>
      <c r="Y33" s="750" t="s">
        <v>2304</v>
      </c>
      <c r="Z33" s="779"/>
      <c r="AA33" s="779"/>
      <c r="AB33" s="775">
        <v>24</v>
      </c>
      <c r="AC33" s="775">
        <v>16</v>
      </c>
      <c r="AD33" s="780"/>
      <c r="AE33" s="781" t="s">
        <v>2305</v>
      </c>
      <c r="AF33" s="777">
        <v>0.1</v>
      </c>
      <c r="AG33" s="780">
        <v>-3200</v>
      </c>
      <c r="AH33" s="782"/>
      <c r="AI33" s="783"/>
      <c r="AJ33" s="784" t="s">
        <v>2306</v>
      </c>
      <c r="AK33" s="283"/>
      <c r="AL33" s="283"/>
      <c r="AM33" s="283"/>
      <c r="AN33" s="283"/>
      <c r="AO33" s="283"/>
      <c r="AP33" s="283"/>
      <c r="AQ33" s="283"/>
      <c r="AR33" s="283"/>
      <c r="AS33" s="283"/>
      <c r="AT33" s="283"/>
      <c r="AU33" s="283"/>
      <c r="AV33" s="283"/>
      <c r="AW33" s="283"/>
      <c r="AX33" s="283"/>
    </row>
    <row r="34" spans="1:50" s="259" customFormat="1" ht="80.099999999999994" customHeight="1" outlineLevel="1">
      <c r="A34" s="485"/>
      <c r="B34" s="485"/>
      <c r="C34" s="485"/>
      <c r="D34" s="485"/>
      <c r="E34" s="485"/>
      <c r="F34" s="485"/>
      <c r="G34" s="486" t="s">
        <v>261</v>
      </c>
      <c r="H34" s="486"/>
      <c r="I34" s="486" t="s">
        <v>325</v>
      </c>
      <c r="J34" s="486"/>
      <c r="K34" s="486"/>
      <c r="L34" s="486"/>
      <c r="M34" s="486"/>
      <c r="N34" s="486"/>
      <c r="O34" s="486"/>
      <c r="P34" s="486"/>
      <c r="Q34" s="486"/>
      <c r="R34" s="486"/>
      <c r="S34" s="486"/>
      <c r="T34" s="486"/>
      <c r="U34" s="486"/>
      <c r="V34" s="486"/>
      <c r="W34" s="486"/>
      <c r="X34" s="1377" t="s">
        <v>2307</v>
      </c>
      <c r="Y34" s="837" t="s">
        <v>2308</v>
      </c>
      <c r="Z34" s="1427"/>
      <c r="AA34" s="1427"/>
      <c r="AB34" s="1379">
        <v>40</v>
      </c>
      <c r="AC34" s="1379">
        <v>3</v>
      </c>
      <c r="AD34" s="1386"/>
      <c r="AE34" s="1430" t="s">
        <v>2309</v>
      </c>
      <c r="AF34" s="842" t="s">
        <v>444</v>
      </c>
      <c r="AG34" s="843" t="s">
        <v>444</v>
      </c>
      <c r="AH34" s="843" t="s">
        <v>444</v>
      </c>
      <c r="AI34" s="1380" t="s">
        <v>444</v>
      </c>
      <c r="AJ34" s="843" t="s">
        <v>444</v>
      </c>
    </row>
    <row r="35" spans="1:50" s="51" customFormat="1" ht="28.5" customHeight="1" outlineLevel="1">
      <c r="A35" s="292"/>
      <c r="B35" s="293"/>
      <c r="C35" s="293"/>
      <c r="D35" s="293"/>
      <c r="E35" s="293"/>
      <c r="F35" s="293"/>
      <c r="G35" s="291" t="s">
        <v>261</v>
      </c>
      <c r="H35" s="291"/>
      <c r="I35" s="290" t="s">
        <v>325</v>
      </c>
      <c r="J35" s="290"/>
      <c r="K35" s="290"/>
      <c r="L35" s="290"/>
      <c r="M35" s="290"/>
      <c r="N35" s="290"/>
      <c r="O35" s="290"/>
      <c r="P35" s="290"/>
      <c r="Q35" s="290"/>
      <c r="R35" s="290"/>
      <c r="S35" s="290"/>
      <c r="T35" s="290"/>
      <c r="U35" s="290"/>
      <c r="V35" s="290"/>
      <c r="W35" s="290"/>
      <c r="X35" s="773" t="s">
        <v>2310</v>
      </c>
      <c r="Y35" s="750" t="s">
        <v>2311</v>
      </c>
      <c r="Z35" s="786"/>
      <c r="AA35" s="786"/>
      <c r="AB35" s="775">
        <v>52</v>
      </c>
      <c r="AC35" s="775">
        <v>1</v>
      </c>
      <c r="AD35" s="780"/>
      <c r="AE35" s="776" t="s">
        <v>2312</v>
      </c>
      <c r="AF35" s="777">
        <v>1</v>
      </c>
      <c r="AG35" s="787">
        <v>0</v>
      </c>
      <c r="AH35" s="784"/>
      <c r="AI35" s="783"/>
      <c r="AJ35" s="784"/>
      <c r="AK35" s="283"/>
      <c r="AL35" s="283"/>
      <c r="AM35" s="283"/>
      <c r="AN35" s="283"/>
      <c r="AO35" s="283"/>
      <c r="AP35" s="283"/>
      <c r="AQ35" s="283"/>
      <c r="AR35" s="283"/>
      <c r="AS35" s="283"/>
      <c r="AT35" s="283"/>
      <c r="AU35" s="283"/>
      <c r="AV35" s="283"/>
      <c r="AW35" s="283"/>
      <c r="AX35" s="283"/>
    </row>
    <row r="36" spans="1:50" s="51" customFormat="1" ht="28.5" customHeight="1" outlineLevel="1">
      <c r="A36" s="292"/>
      <c r="B36" s="293"/>
      <c r="C36" s="293"/>
      <c r="D36" s="293"/>
      <c r="E36" s="293"/>
      <c r="F36" s="293"/>
      <c r="G36" s="291" t="s">
        <v>261</v>
      </c>
      <c r="H36" s="291"/>
      <c r="I36" s="290" t="s">
        <v>325</v>
      </c>
      <c r="J36" s="290"/>
      <c r="K36" s="290"/>
      <c r="L36" s="290"/>
      <c r="M36" s="290"/>
      <c r="N36" s="290"/>
      <c r="O36" s="290"/>
      <c r="P36" s="290"/>
      <c r="Q36" s="290"/>
      <c r="R36" s="290"/>
      <c r="S36" s="290"/>
      <c r="T36" s="290"/>
      <c r="U36" s="290"/>
      <c r="V36" s="290"/>
      <c r="W36" s="290"/>
      <c r="X36" s="773" t="s">
        <v>2313</v>
      </c>
      <c r="Y36" s="750" t="s">
        <v>2314</v>
      </c>
      <c r="Z36" s="786"/>
      <c r="AA36" s="786"/>
      <c r="AB36" s="775">
        <v>53</v>
      </c>
      <c r="AC36" s="775">
        <v>3</v>
      </c>
      <c r="AD36" s="780"/>
      <c r="AE36" s="776" t="s">
        <v>2315</v>
      </c>
      <c r="AF36" s="777">
        <v>1</v>
      </c>
      <c r="AG36" s="787">
        <v>0</v>
      </c>
      <c r="AH36" s="784"/>
      <c r="AI36" s="783"/>
      <c r="AJ36" s="784"/>
      <c r="AK36" s="283"/>
      <c r="AL36" s="283"/>
      <c r="AM36" s="283"/>
      <c r="AN36" s="283"/>
      <c r="AO36" s="283"/>
      <c r="AP36" s="283"/>
      <c r="AQ36" s="283"/>
      <c r="AR36" s="283"/>
      <c r="AS36" s="283"/>
      <c r="AT36" s="283"/>
      <c r="AU36" s="283"/>
      <c r="AV36" s="283"/>
      <c r="AW36" s="283"/>
      <c r="AX36" s="283"/>
    </row>
    <row r="37" spans="1:50" s="51" customFormat="1" ht="222" customHeight="1" outlineLevel="1">
      <c r="A37" s="292"/>
      <c r="B37" s="293"/>
      <c r="C37" s="293"/>
      <c r="D37" s="293"/>
      <c r="E37" s="293"/>
      <c r="F37" s="293"/>
      <c r="G37" s="291" t="s">
        <v>261</v>
      </c>
      <c r="H37" s="291"/>
      <c r="I37" s="290" t="s">
        <v>325</v>
      </c>
      <c r="J37" s="290"/>
      <c r="K37" s="290"/>
      <c r="L37" s="290"/>
      <c r="M37" s="290"/>
      <c r="N37" s="290"/>
      <c r="O37" s="290"/>
      <c r="P37" s="290"/>
      <c r="Q37" s="290"/>
      <c r="R37" s="290"/>
      <c r="S37" s="290"/>
      <c r="T37" s="290"/>
      <c r="U37" s="290"/>
      <c r="V37" s="290"/>
      <c r="W37" s="290"/>
      <c r="X37" s="773" t="s">
        <v>2316</v>
      </c>
      <c r="Y37" s="750" t="s">
        <v>2317</v>
      </c>
      <c r="Z37" s="779"/>
      <c r="AA37" s="779"/>
      <c r="AB37" s="775">
        <v>56</v>
      </c>
      <c r="AC37" s="775">
        <v>8</v>
      </c>
      <c r="AD37" s="787"/>
      <c r="AE37" s="2402" t="s">
        <v>2318</v>
      </c>
      <c r="AF37" s="777">
        <v>1</v>
      </c>
      <c r="AG37" s="780">
        <v>0</v>
      </c>
      <c r="AH37" s="784"/>
      <c r="AI37" s="783"/>
      <c r="AJ37" s="784"/>
      <c r="AK37" s="283"/>
      <c r="AL37" s="283"/>
      <c r="AM37" s="283"/>
      <c r="AN37" s="283"/>
      <c r="AO37" s="283"/>
      <c r="AP37" s="283"/>
      <c r="AQ37" s="283"/>
      <c r="AR37" s="283"/>
      <c r="AS37" s="283"/>
      <c r="AT37" s="283"/>
      <c r="AU37" s="283"/>
      <c r="AV37" s="283"/>
      <c r="AW37" s="283"/>
      <c r="AX37" s="283"/>
    </row>
    <row r="38" spans="1:50" s="50" customFormat="1" ht="14.25" customHeight="1">
      <c r="A38" s="765">
        <v>2</v>
      </c>
      <c r="B38" s="736" t="s">
        <v>2319</v>
      </c>
      <c r="C38" s="766" t="s">
        <v>2320</v>
      </c>
      <c r="D38" s="766" t="s">
        <v>488</v>
      </c>
      <c r="E38" s="766">
        <v>8</v>
      </c>
      <c r="F38" s="766" t="s">
        <v>260</v>
      </c>
      <c r="G38" s="765" t="s">
        <v>261</v>
      </c>
      <c r="H38" s="765"/>
      <c r="I38" s="767" t="s">
        <v>325</v>
      </c>
      <c r="J38" s="767"/>
      <c r="K38" s="767"/>
      <c r="L38" s="767"/>
      <c r="M38" s="767"/>
      <c r="N38" s="767"/>
      <c r="O38" s="767"/>
      <c r="P38" s="767"/>
      <c r="Q38" s="767"/>
      <c r="R38" s="767"/>
      <c r="S38" s="767"/>
      <c r="T38" s="767"/>
      <c r="U38" s="767"/>
      <c r="V38" s="767"/>
      <c r="W38" s="767"/>
      <c r="X38" s="766" t="s">
        <v>2321</v>
      </c>
      <c r="Y38" s="768"/>
      <c r="Z38" s="769"/>
      <c r="AA38" s="769"/>
      <c r="AB38" s="769"/>
      <c r="AC38" s="769"/>
      <c r="AD38" s="769"/>
      <c r="AE38" s="766" t="s">
        <v>2321</v>
      </c>
      <c r="AF38" s="770"/>
      <c r="AG38" s="767"/>
      <c r="AH38" s="769"/>
      <c r="AI38" s="771"/>
      <c r="AJ38" s="769"/>
      <c r="AK38" s="293"/>
      <c r="AL38" s="293"/>
      <c r="AM38" s="293"/>
      <c r="AN38" s="293"/>
      <c r="AO38" s="293"/>
      <c r="AP38" s="293"/>
      <c r="AQ38" s="293"/>
      <c r="AR38" s="293"/>
      <c r="AS38" s="293"/>
      <c r="AT38" s="293"/>
      <c r="AU38" s="293"/>
      <c r="AV38" s="293"/>
      <c r="AW38" s="293"/>
      <c r="AX38" s="293"/>
    </row>
    <row r="39" spans="1:50" s="51" customFormat="1" ht="14.25" customHeight="1" outlineLevel="1">
      <c r="A39" s="292"/>
      <c r="B39" s="293"/>
      <c r="C39" s="293"/>
      <c r="D39" s="293"/>
      <c r="E39" s="293"/>
      <c r="F39" s="293"/>
      <c r="G39" s="291" t="s">
        <v>261</v>
      </c>
      <c r="H39" s="291"/>
      <c r="I39" s="290" t="s">
        <v>325</v>
      </c>
      <c r="J39" s="290"/>
      <c r="K39" s="290"/>
      <c r="L39" s="290"/>
      <c r="M39" s="290"/>
      <c r="N39" s="290"/>
      <c r="O39" s="290"/>
      <c r="P39" s="290"/>
      <c r="Q39" s="290"/>
      <c r="R39" s="290"/>
      <c r="S39" s="290"/>
      <c r="T39" s="290"/>
      <c r="U39" s="290"/>
      <c r="V39" s="290"/>
      <c r="W39" s="290"/>
      <c r="X39" s="773" t="s">
        <v>2322</v>
      </c>
      <c r="Y39" s="750" t="s">
        <v>2322</v>
      </c>
      <c r="Z39" s="559"/>
      <c r="AA39" s="282"/>
      <c r="AB39" s="287">
        <v>0</v>
      </c>
      <c r="AC39" s="287">
        <v>16</v>
      </c>
      <c r="AD39" s="787"/>
      <c r="AE39" s="788"/>
      <c r="AF39" s="276">
        <v>0.1</v>
      </c>
      <c r="AG39" s="287">
        <v>0</v>
      </c>
      <c r="AH39" s="560"/>
      <c r="AI39" s="561"/>
      <c r="AJ39" s="749" t="s">
        <v>98</v>
      </c>
      <c r="AK39" s="281">
        <v>20241006</v>
      </c>
      <c r="AL39" s="283"/>
      <c r="AM39" s="283"/>
      <c r="AN39" s="283"/>
      <c r="AO39" s="283"/>
      <c r="AP39" s="283"/>
      <c r="AQ39" s="283"/>
      <c r="AR39" s="283"/>
      <c r="AS39" s="283"/>
      <c r="AT39" s="283"/>
      <c r="AU39" s="283"/>
      <c r="AV39" s="283"/>
      <c r="AW39" s="283"/>
      <c r="AX39" s="283"/>
    </row>
    <row r="40" spans="1:50" s="51" customFormat="1" ht="14.25" customHeight="1" outlineLevel="1">
      <c r="A40" s="292"/>
      <c r="B40" s="293"/>
      <c r="C40" s="293"/>
      <c r="D40" s="293"/>
      <c r="E40" s="293"/>
      <c r="F40" s="293"/>
      <c r="G40" s="291" t="s">
        <v>261</v>
      </c>
      <c r="H40" s="291"/>
      <c r="I40" s="290" t="s">
        <v>325</v>
      </c>
      <c r="J40" s="290"/>
      <c r="K40" s="290"/>
      <c r="L40" s="290"/>
      <c r="M40" s="290"/>
      <c r="N40" s="290"/>
      <c r="O40" s="290"/>
      <c r="P40" s="290"/>
      <c r="Q40" s="290"/>
      <c r="R40" s="290"/>
      <c r="S40" s="290"/>
      <c r="T40" s="290"/>
      <c r="U40" s="290"/>
      <c r="V40" s="290"/>
      <c r="W40" s="290"/>
      <c r="X40" s="773" t="s">
        <v>2323</v>
      </c>
      <c r="Y40" s="750" t="s">
        <v>2323</v>
      </c>
      <c r="Z40" s="559"/>
      <c r="AA40" s="282"/>
      <c r="AB40" s="287">
        <v>16</v>
      </c>
      <c r="AC40" s="287">
        <v>16</v>
      </c>
      <c r="AD40" s="787"/>
      <c r="AE40" s="788"/>
      <c r="AF40" s="276">
        <v>0.1</v>
      </c>
      <c r="AG40" s="287">
        <v>0</v>
      </c>
      <c r="AH40" s="560"/>
      <c r="AI40" s="561"/>
      <c r="AJ40" s="749" t="s">
        <v>98</v>
      </c>
      <c r="AK40" s="281">
        <v>20241006</v>
      </c>
      <c r="AL40" s="283"/>
      <c r="AM40" s="283"/>
      <c r="AN40" s="283"/>
      <c r="AO40" s="283"/>
      <c r="AP40" s="283"/>
      <c r="AQ40" s="283"/>
      <c r="AR40" s="283"/>
      <c r="AS40" s="283"/>
      <c r="AT40" s="283"/>
      <c r="AU40" s="283"/>
      <c r="AV40" s="283"/>
      <c r="AW40" s="283"/>
      <c r="AX40" s="283"/>
    </row>
    <row r="41" spans="1:50" s="51" customFormat="1" ht="14.25" customHeight="1" outlineLevel="1">
      <c r="A41" s="292"/>
      <c r="B41" s="293"/>
      <c r="C41" s="293"/>
      <c r="D41" s="293"/>
      <c r="E41" s="293"/>
      <c r="F41" s="293"/>
      <c r="G41" s="291" t="s">
        <v>261</v>
      </c>
      <c r="H41" s="291"/>
      <c r="I41" s="290" t="s">
        <v>325</v>
      </c>
      <c r="J41" s="290"/>
      <c r="K41" s="290"/>
      <c r="L41" s="290"/>
      <c r="M41" s="290"/>
      <c r="N41" s="290"/>
      <c r="O41" s="290"/>
      <c r="P41" s="290"/>
      <c r="Q41" s="290"/>
      <c r="R41" s="290"/>
      <c r="S41" s="290"/>
      <c r="T41" s="290"/>
      <c r="U41" s="290"/>
      <c r="V41" s="290"/>
      <c r="W41" s="290"/>
      <c r="X41" s="773" t="s">
        <v>2324</v>
      </c>
      <c r="Y41" s="750" t="s">
        <v>2325</v>
      </c>
      <c r="Z41" s="559"/>
      <c r="AA41" s="282"/>
      <c r="AB41" s="287">
        <v>53</v>
      </c>
      <c r="AC41" s="287">
        <v>3</v>
      </c>
      <c r="AD41" s="787"/>
      <c r="AE41" s="788"/>
      <c r="AF41" s="276">
        <v>1</v>
      </c>
      <c r="AG41" s="287">
        <v>0</v>
      </c>
      <c r="AH41" s="560"/>
      <c r="AI41" s="561"/>
      <c r="AJ41" s="789"/>
      <c r="AK41" s="281">
        <v>20241006</v>
      </c>
      <c r="AL41" s="283"/>
      <c r="AM41" s="283"/>
      <c r="AN41" s="283"/>
      <c r="AO41" s="283"/>
      <c r="AP41" s="283"/>
      <c r="AQ41" s="283"/>
      <c r="AR41" s="283"/>
      <c r="AS41" s="283"/>
      <c r="AT41" s="283"/>
      <c r="AU41" s="283"/>
      <c r="AV41" s="283"/>
      <c r="AW41" s="283"/>
      <c r="AX41" s="283"/>
    </row>
    <row r="42" spans="1:50" s="51" customFormat="1" ht="14.25" customHeight="1" outlineLevel="1">
      <c r="A42" s="292"/>
      <c r="B42" s="293"/>
      <c r="C42" s="293"/>
      <c r="D42" s="293"/>
      <c r="E42" s="293"/>
      <c r="F42" s="293"/>
      <c r="G42" s="291" t="s">
        <v>261</v>
      </c>
      <c r="H42" s="291"/>
      <c r="I42" s="290" t="s">
        <v>325</v>
      </c>
      <c r="J42" s="290"/>
      <c r="K42" s="290"/>
      <c r="L42" s="290"/>
      <c r="M42" s="290"/>
      <c r="N42" s="290"/>
      <c r="O42" s="290"/>
      <c r="P42" s="290"/>
      <c r="Q42" s="290"/>
      <c r="R42" s="290"/>
      <c r="S42" s="290"/>
      <c r="T42" s="290"/>
      <c r="U42" s="290"/>
      <c r="V42" s="290"/>
      <c r="W42" s="290"/>
      <c r="X42" s="773" t="s">
        <v>2326</v>
      </c>
      <c r="Y42" s="750" t="s">
        <v>2326</v>
      </c>
      <c r="Z42" s="559"/>
      <c r="AA42" s="282"/>
      <c r="AB42" s="287">
        <v>56</v>
      </c>
      <c r="AC42" s="287">
        <v>8</v>
      </c>
      <c r="AD42" s="787"/>
      <c r="AE42" s="788"/>
      <c r="AF42" s="276">
        <v>1</v>
      </c>
      <c r="AG42" s="287">
        <v>0</v>
      </c>
      <c r="AH42" s="560"/>
      <c r="AI42" s="561"/>
      <c r="AJ42" s="789"/>
      <c r="AK42" s="281">
        <v>20241006</v>
      </c>
      <c r="AL42" s="283"/>
      <c r="AM42" s="283"/>
      <c r="AN42" s="283"/>
      <c r="AO42" s="283"/>
      <c r="AP42" s="283"/>
      <c r="AQ42" s="283"/>
      <c r="AR42" s="283"/>
      <c r="AS42" s="283"/>
      <c r="AT42" s="283"/>
      <c r="AU42" s="283"/>
      <c r="AV42" s="283"/>
      <c r="AW42" s="283"/>
      <c r="AX42" s="283"/>
    </row>
    <row r="43" spans="1:50" s="50" customFormat="1" ht="14.25" customHeight="1">
      <c r="A43" s="765">
        <v>3</v>
      </c>
      <c r="B43" s="736" t="s">
        <v>2327</v>
      </c>
      <c r="C43" s="766" t="s">
        <v>2328</v>
      </c>
      <c r="D43" s="766" t="s">
        <v>488</v>
      </c>
      <c r="E43" s="766">
        <v>8</v>
      </c>
      <c r="F43" s="766" t="s">
        <v>260</v>
      </c>
      <c r="G43" s="765" t="s">
        <v>325</v>
      </c>
      <c r="H43" s="765"/>
      <c r="I43" s="767" t="s">
        <v>261</v>
      </c>
      <c r="J43" s="767"/>
      <c r="K43" s="767" t="s">
        <v>325</v>
      </c>
      <c r="L43" s="767"/>
      <c r="M43" s="767"/>
      <c r="N43" s="767"/>
      <c r="O43" s="767"/>
      <c r="P43" s="767"/>
      <c r="Q43" s="767"/>
      <c r="R43" s="767"/>
      <c r="S43" s="767"/>
      <c r="T43" s="767"/>
      <c r="U43" s="767"/>
      <c r="V43" s="767"/>
      <c r="W43" s="767"/>
      <c r="X43" s="766" t="s">
        <v>2329</v>
      </c>
      <c r="Y43" s="768"/>
      <c r="Z43" s="769"/>
      <c r="AA43" s="769"/>
      <c r="AB43" s="769"/>
      <c r="AC43" s="769"/>
      <c r="AD43" s="769"/>
      <c r="AE43" s="766" t="s">
        <v>2329</v>
      </c>
      <c r="AF43" s="770"/>
      <c r="AG43" s="767"/>
      <c r="AH43" s="769"/>
      <c r="AI43" s="771"/>
      <c r="AJ43" s="769"/>
      <c r="AK43" s="293"/>
      <c r="AL43" s="293"/>
      <c r="AM43" s="293"/>
      <c r="AN43" s="293"/>
      <c r="AO43" s="293"/>
      <c r="AP43" s="293"/>
      <c r="AQ43" s="293"/>
      <c r="AR43" s="293"/>
      <c r="AS43" s="293"/>
      <c r="AT43" s="293"/>
      <c r="AU43" s="293"/>
      <c r="AV43" s="293"/>
      <c r="AW43" s="293"/>
      <c r="AX43" s="293"/>
    </row>
    <row r="44" spans="1:50" s="51" customFormat="1" ht="42.75" customHeight="1" outlineLevel="1">
      <c r="A44" s="280"/>
      <c r="B44" s="293"/>
      <c r="C44" s="293"/>
      <c r="D44" s="293"/>
      <c r="E44" s="293"/>
      <c r="F44" s="293"/>
      <c r="G44" s="291" t="s">
        <v>325</v>
      </c>
      <c r="H44" s="291"/>
      <c r="I44" s="290" t="s">
        <v>261</v>
      </c>
      <c r="J44" s="290"/>
      <c r="K44" s="290" t="s">
        <v>325</v>
      </c>
      <c r="L44" s="290"/>
      <c r="M44" s="290"/>
      <c r="N44" s="290"/>
      <c r="O44" s="290"/>
      <c r="P44" s="290"/>
      <c r="Q44" s="290"/>
      <c r="R44" s="290"/>
      <c r="S44" s="290"/>
      <c r="T44" s="290"/>
      <c r="U44" s="290"/>
      <c r="V44" s="290"/>
      <c r="W44" s="290"/>
      <c r="X44" s="2403" t="s">
        <v>2330</v>
      </c>
      <c r="Y44" s="750" t="s">
        <v>2331</v>
      </c>
      <c r="Z44" s="289">
        <v>0</v>
      </c>
      <c r="AA44" s="289"/>
      <c r="AB44" s="287">
        <v>0</v>
      </c>
      <c r="AC44" s="287">
        <v>16</v>
      </c>
      <c r="AD44" s="287"/>
      <c r="AE44" s="286" t="s">
        <v>2332</v>
      </c>
      <c r="AF44" s="276">
        <v>1</v>
      </c>
      <c r="AG44" s="287">
        <v>-32000</v>
      </c>
      <c r="AH44" s="279" t="s">
        <v>2254</v>
      </c>
      <c r="AI44" s="278"/>
      <c r="AJ44" s="784" t="s">
        <v>2302</v>
      </c>
      <c r="AK44" s="283" t="s">
        <v>2333</v>
      </c>
      <c r="AL44" s="283"/>
      <c r="AM44" s="283"/>
      <c r="AN44" s="283"/>
      <c r="AO44" s="283"/>
      <c r="AP44" s="283"/>
      <c r="AQ44" s="283"/>
      <c r="AR44" s="283"/>
      <c r="AS44" s="283"/>
      <c r="AT44" s="283"/>
      <c r="AU44" s="283"/>
      <c r="AV44" s="283"/>
      <c r="AW44" s="283"/>
      <c r="AX44" s="283"/>
    </row>
    <row r="45" spans="1:50" s="51" customFormat="1" ht="42.75" customHeight="1" outlineLevel="1">
      <c r="A45" s="280"/>
      <c r="B45" s="293"/>
      <c r="C45" s="293"/>
      <c r="D45" s="293"/>
      <c r="E45" s="293"/>
      <c r="F45" s="293"/>
      <c r="G45" s="291" t="s">
        <v>325</v>
      </c>
      <c r="H45" s="291"/>
      <c r="I45" s="290" t="s">
        <v>261</v>
      </c>
      <c r="J45" s="290"/>
      <c r="K45" s="290" t="s">
        <v>325</v>
      </c>
      <c r="L45" s="290"/>
      <c r="M45" s="290"/>
      <c r="N45" s="290"/>
      <c r="O45" s="290"/>
      <c r="P45" s="290"/>
      <c r="Q45" s="290"/>
      <c r="R45" s="290"/>
      <c r="S45" s="290"/>
      <c r="T45" s="290"/>
      <c r="U45" s="290"/>
      <c r="V45" s="290"/>
      <c r="W45" s="290"/>
      <c r="X45" s="2404" t="s">
        <v>2334</v>
      </c>
      <c r="Y45" s="750" t="s">
        <v>2335</v>
      </c>
      <c r="Z45" s="786">
        <v>2</v>
      </c>
      <c r="AA45" s="786"/>
      <c r="AB45" s="787">
        <v>16</v>
      </c>
      <c r="AC45" s="787">
        <v>16</v>
      </c>
      <c r="AD45" s="787"/>
      <c r="AE45" s="776" t="s">
        <v>2332</v>
      </c>
      <c r="AF45" s="777">
        <v>0.1</v>
      </c>
      <c r="AG45" s="787">
        <v>-3200</v>
      </c>
      <c r="AH45" s="782"/>
      <c r="AI45" s="783"/>
      <c r="AJ45" s="784" t="s">
        <v>2306</v>
      </c>
      <c r="AK45" s="283"/>
      <c r="AL45" s="283"/>
      <c r="AM45" s="283"/>
      <c r="AN45" s="283"/>
      <c r="AO45" s="283"/>
      <c r="AP45" s="283"/>
      <c r="AQ45" s="283"/>
      <c r="AR45" s="283"/>
      <c r="AS45" s="283"/>
      <c r="AT45" s="283"/>
      <c r="AU45" s="283"/>
      <c r="AV45" s="283"/>
      <c r="AW45" s="283"/>
      <c r="AX45" s="283"/>
    </row>
    <row r="46" spans="1:50" s="51" customFormat="1" ht="28.5" customHeight="1" outlineLevel="1">
      <c r="A46" s="280"/>
      <c r="B46" s="293"/>
      <c r="C46" s="293"/>
      <c r="D46" s="293"/>
      <c r="E46" s="293"/>
      <c r="F46" s="293"/>
      <c r="G46" s="291" t="s">
        <v>325</v>
      </c>
      <c r="H46" s="291"/>
      <c r="I46" s="290" t="s">
        <v>261</v>
      </c>
      <c r="J46" s="290"/>
      <c r="K46" s="290"/>
      <c r="L46" s="290"/>
      <c r="M46" s="290"/>
      <c r="N46" s="290"/>
      <c r="O46" s="290"/>
      <c r="P46" s="290"/>
      <c r="Q46" s="290"/>
      <c r="R46" s="290"/>
      <c r="S46" s="290"/>
      <c r="T46" s="290"/>
      <c r="U46" s="290"/>
      <c r="V46" s="290"/>
      <c r="W46" s="290"/>
      <c r="X46" s="2405" t="s">
        <v>2336</v>
      </c>
      <c r="Y46" s="750" t="s">
        <v>2337</v>
      </c>
      <c r="Z46" s="786">
        <v>4</v>
      </c>
      <c r="AA46" s="786"/>
      <c r="AB46" s="787">
        <v>32</v>
      </c>
      <c r="AC46" s="787">
        <v>1</v>
      </c>
      <c r="AD46" s="787"/>
      <c r="AE46" s="2406" t="s">
        <v>2338</v>
      </c>
      <c r="AF46" s="777">
        <v>1</v>
      </c>
      <c r="AG46" s="737" t="s">
        <v>444</v>
      </c>
      <c r="AH46" s="737" t="s">
        <v>444</v>
      </c>
      <c r="AI46" s="778" t="s">
        <v>444</v>
      </c>
      <c r="AJ46" s="772" t="s">
        <v>444</v>
      </c>
      <c r="AK46" s="283"/>
      <c r="AL46" s="283"/>
      <c r="AM46" s="283"/>
      <c r="AN46" s="283"/>
      <c r="AO46" s="283"/>
      <c r="AP46" s="283"/>
      <c r="AQ46" s="283"/>
      <c r="AR46" s="283"/>
      <c r="AS46" s="283"/>
      <c r="AT46" s="283"/>
      <c r="AU46" s="283"/>
      <c r="AV46" s="283"/>
      <c r="AW46" s="283"/>
      <c r="AX46" s="283"/>
    </row>
    <row r="47" spans="1:50" s="51" customFormat="1" ht="102" customHeight="1" outlineLevel="1">
      <c r="A47" s="280"/>
      <c r="B47" s="293"/>
      <c r="C47" s="293"/>
      <c r="D47" s="293"/>
      <c r="E47" s="293"/>
      <c r="F47" s="293"/>
      <c r="G47" s="291" t="s">
        <v>325</v>
      </c>
      <c r="H47" s="291"/>
      <c r="I47" s="290" t="s">
        <v>261</v>
      </c>
      <c r="J47" s="290"/>
      <c r="K47" s="290"/>
      <c r="L47" s="290"/>
      <c r="M47" s="290"/>
      <c r="N47" s="290"/>
      <c r="O47" s="290"/>
      <c r="P47" s="290"/>
      <c r="Q47" s="290"/>
      <c r="R47" s="290"/>
      <c r="S47" s="290"/>
      <c r="T47" s="290"/>
      <c r="U47" s="290"/>
      <c r="V47" s="290"/>
      <c r="W47" s="290"/>
      <c r="X47" s="2407" t="s">
        <v>2339</v>
      </c>
      <c r="Y47" s="750" t="s">
        <v>2340</v>
      </c>
      <c r="Z47" s="774">
        <v>6</v>
      </c>
      <c r="AA47" s="774"/>
      <c r="AB47" s="775">
        <v>48</v>
      </c>
      <c r="AC47" s="775">
        <v>3</v>
      </c>
      <c r="AD47" s="775"/>
      <c r="AE47" s="2408" t="s">
        <v>2295</v>
      </c>
      <c r="AF47" s="777">
        <v>1</v>
      </c>
      <c r="AG47" s="775">
        <v>0</v>
      </c>
      <c r="AH47" s="737" t="s">
        <v>444</v>
      </c>
      <c r="AI47" s="778" t="s">
        <v>444</v>
      </c>
      <c r="AJ47" s="772" t="s">
        <v>444</v>
      </c>
      <c r="AK47" s="283"/>
      <c r="AL47" s="283"/>
      <c r="AM47" s="283"/>
      <c r="AN47" s="283"/>
      <c r="AO47" s="283"/>
      <c r="AP47" s="283"/>
      <c r="AQ47" s="283"/>
      <c r="AR47" s="283"/>
      <c r="AS47" s="283"/>
      <c r="AT47" s="283"/>
      <c r="AU47" s="283"/>
      <c r="AV47" s="283"/>
      <c r="AW47" s="283"/>
      <c r="AX47" s="283"/>
    </row>
    <row r="48" spans="1:50" s="51" customFormat="1" ht="99" customHeight="1" outlineLevel="1">
      <c r="A48" s="280"/>
      <c r="B48" s="293"/>
      <c r="C48" s="293"/>
      <c r="D48" s="293"/>
      <c r="E48" s="293"/>
      <c r="F48" s="293"/>
      <c r="G48" s="291" t="s">
        <v>325</v>
      </c>
      <c r="H48" s="291"/>
      <c r="I48" s="290" t="s">
        <v>261</v>
      </c>
      <c r="J48" s="290"/>
      <c r="K48" s="290"/>
      <c r="L48" s="290"/>
      <c r="M48" s="290"/>
      <c r="N48" s="290"/>
      <c r="O48" s="290"/>
      <c r="P48" s="290"/>
      <c r="Q48" s="290"/>
      <c r="R48" s="290"/>
      <c r="S48" s="290"/>
      <c r="T48" s="290"/>
      <c r="U48" s="290"/>
      <c r="V48" s="290"/>
      <c r="W48" s="290"/>
      <c r="X48" s="2409" t="s">
        <v>2341</v>
      </c>
      <c r="Y48" s="750" t="s">
        <v>2342</v>
      </c>
      <c r="Z48" s="774">
        <v>6</v>
      </c>
      <c r="AA48" s="774"/>
      <c r="AB48" s="775">
        <v>51</v>
      </c>
      <c r="AC48" s="775">
        <v>2</v>
      </c>
      <c r="AD48" s="775"/>
      <c r="AE48" s="2410" t="s">
        <v>2343</v>
      </c>
      <c r="AF48" s="777">
        <v>1</v>
      </c>
      <c r="AG48" s="775">
        <v>0</v>
      </c>
      <c r="AH48" s="737" t="s">
        <v>444</v>
      </c>
      <c r="AI48" s="778" t="s">
        <v>444</v>
      </c>
      <c r="AJ48" s="772" t="s">
        <v>444</v>
      </c>
      <c r="AK48" s="283"/>
      <c r="AL48" s="283"/>
      <c r="AM48" s="283"/>
      <c r="AN48" s="283"/>
      <c r="AO48" s="283"/>
      <c r="AP48" s="283"/>
      <c r="AQ48" s="283"/>
      <c r="AR48" s="283"/>
      <c r="AS48" s="283"/>
      <c r="AT48" s="283"/>
      <c r="AU48" s="283"/>
      <c r="AV48" s="283"/>
      <c r="AW48" s="283"/>
      <c r="AX48" s="283"/>
    </row>
    <row r="49" spans="1:50" s="51" customFormat="1" ht="42.75" customHeight="1" outlineLevel="1">
      <c r="A49" s="280"/>
      <c r="B49" s="293"/>
      <c r="C49" s="293"/>
      <c r="D49" s="293"/>
      <c r="E49" s="293"/>
      <c r="F49" s="293"/>
      <c r="G49" s="291" t="s">
        <v>325</v>
      </c>
      <c r="H49" s="291"/>
      <c r="I49" s="290" t="s">
        <v>261</v>
      </c>
      <c r="J49" s="290"/>
      <c r="K49" s="290" t="s">
        <v>325</v>
      </c>
      <c r="L49" s="290"/>
      <c r="M49" s="290"/>
      <c r="N49" s="290"/>
      <c r="O49" s="290"/>
      <c r="P49" s="290"/>
      <c r="Q49" s="290"/>
      <c r="R49" s="290"/>
      <c r="S49" s="290"/>
      <c r="T49" s="290"/>
      <c r="U49" s="290"/>
      <c r="V49" s="290"/>
      <c r="W49" s="290"/>
      <c r="X49" s="2411" t="s">
        <v>2344</v>
      </c>
      <c r="Y49" s="750" t="s">
        <v>2345</v>
      </c>
      <c r="Z49" s="786">
        <v>6</v>
      </c>
      <c r="AA49" s="786"/>
      <c r="AB49" s="787">
        <v>53</v>
      </c>
      <c r="AC49" s="787">
        <v>3</v>
      </c>
      <c r="AD49" s="787"/>
      <c r="AE49" s="776" t="s">
        <v>2315</v>
      </c>
      <c r="AF49" s="777">
        <v>1</v>
      </c>
      <c r="AG49" s="787">
        <v>0</v>
      </c>
      <c r="AH49" s="737" t="s">
        <v>444</v>
      </c>
      <c r="AI49" s="778" t="s">
        <v>444</v>
      </c>
      <c r="AJ49" s="772" t="s">
        <v>444</v>
      </c>
      <c r="AK49" s="283"/>
      <c r="AL49" s="283"/>
      <c r="AM49" s="283"/>
      <c r="AN49" s="283"/>
      <c r="AO49" s="283"/>
      <c r="AP49" s="283"/>
      <c r="AQ49" s="283"/>
      <c r="AR49" s="283"/>
      <c r="AS49" s="283"/>
      <c r="AT49" s="283"/>
      <c r="AU49" s="283"/>
      <c r="AV49" s="283"/>
      <c r="AW49" s="283"/>
      <c r="AX49" s="283"/>
    </row>
    <row r="50" spans="1:50" s="51" customFormat="1" ht="142.5" customHeight="1" outlineLevel="1">
      <c r="A50" s="280"/>
      <c r="B50" s="293"/>
      <c r="C50" s="293"/>
      <c r="D50" s="293"/>
      <c r="E50" s="293"/>
      <c r="F50" s="293"/>
      <c r="G50" s="291" t="s">
        <v>325</v>
      </c>
      <c r="H50" s="291"/>
      <c r="I50" s="290" t="s">
        <v>261</v>
      </c>
      <c r="J50" s="290"/>
      <c r="K50" s="290" t="s">
        <v>325</v>
      </c>
      <c r="L50" s="290"/>
      <c r="M50" s="290"/>
      <c r="N50" s="290"/>
      <c r="O50" s="290"/>
      <c r="P50" s="290"/>
      <c r="Q50" s="290"/>
      <c r="R50" s="290"/>
      <c r="S50" s="290"/>
      <c r="T50" s="290"/>
      <c r="U50" s="290"/>
      <c r="V50" s="290"/>
      <c r="W50" s="290"/>
      <c r="X50" s="2412" t="s">
        <v>2346</v>
      </c>
      <c r="Y50" s="750" t="s">
        <v>2347</v>
      </c>
      <c r="Z50" s="779">
        <v>7</v>
      </c>
      <c r="AA50" s="779"/>
      <c r="AB50" s="780">
        <v>56</v>
      </c>
      <c r="AC50" s="780">
        <v>8</v>
      </c>
      <c r="AD50" s="780"/>
      <c r="AE50" s="2413" t="s">
        <v>2318</v>
      </c>
      <c r="AF50" s="777">
        <v>1</v>
      </c>
      <c r="AG50" s="780">
        <v>0</v>
      </c>
      <c r="AH50" s="737" t="s">
        <v>444</v>
      </c>
      <c r="AI50" s="778" t="s">
        <v>444</v>
      </c>
      <c r="AJ50" s="772" t="s">
        <v>444</v>
      </c>
      <c r="AK50" s="283" t="s">
        <v>2348</v>
      </c>
      <c r="AL50" s="283"/>
      <c r="AM50" s="283"/>
      <c r="AN50" s="283"/>
      <c r="AO50" s="283"/>
      <c r="AP50" s="283"/>
      <c r="AQ50" s="283"/>
      <c r="AR50" s="283"/>
      <c r="AS50" s="283"/>
      <c r="AT50" s="283"/>
      <c r="AU50" s="283"/>
      <c r="AV50" s="283"/>
      <c r="AW50" s="283"/>
      <c r="AX50" s="283"/>
    </row>
    <row r="51" spans="1:50" s="50" customFormat="1" ht="14.25" customHeight="1">
      <c r="A51" s="765">
        <v>4</v>
      </c>
      <c r="B51" s="736" t="s">
        <v>2349</v>
      </c>
      <c r="C51" s="766" t="s">
        <v>2350</v>
      </c>
      <c r="D51" s="766" t="s">
        <v>259</v>
      </c>
      <c r="E51" s="766">
        <v>8</v>
      </c>
      <c r="F51" s="766" t="s">
        <v>260</v>
      </c>
      <c r="G51" s="765" t="s">
        <v>325</v>
      </c>
      <c r="H51" s="765"/>
      <c r="I51" s="767" t="s">
        <v>261</v>
      </c>
      <c r="J51" s="767"/>
      <c r="K51" s="767"/>
      <c r="L51" s="767"/>
      <c r="M51" s="767"/>
      <c r="N51" s="767"/>
      <c r="O51" s="767"/>
      <c r="P51" s="767"/>
      <c r="Q51" s="767"/>
      <c r="R51" s="767"/>
      <c r="S51" s="767"/>
      <c r="T51" s="767"/>
      <c r="U51" s="767"/>
      <c r="V51" s="767"/>
      <c r="W51" s="767"/>
      <c r="X51" s="766" t="s">
        <v>2351</v>
      </c>
      <c r="Y51" s="768"/>
      <c r="Z51" s="769"/>
      <c r="AA51" s="769"/>
      <c r="AB51" s="769"/>
      <c r="AC51" s="769"/>
      <c r="AD51" s="769"/>
      <c r="AE51" s="766" t="s">
        <v>2351</v>
      </c>
      <c r="AF51" s="770"/>
      <c r="AG51" s="767"/>
      <c r="AH51" s="769"/>
      <c r="AI51" s="771"/>
      <c r="AJ51" s="769"/>
      <c r="AK51" s="293"/>
      <c r="AL51" s="293"/>
      <c r="AM51" s="293"/>
      <c r="AN51" s="293"/>
      <c r="AO51" s="293"/>
      <c r="AP51" s="293"/>
      <c r="AQ51" s="293"/>
      <c r="AR51" s="293"/>
      <c r="AS51" s="293"/>
      <c r="AT51" s="293" t="s">
        <v>2352</v>
      </c>
      <c r="AU51" s="293"/>
      <c r="AV51" s="293"/>
      <c r="AW51" s="293"/>
      <c r="AX51" s="293"/>
    </row>
    <row r="52" spans="1:50" s="51" customFormat="1" ht="42.75" customHeight="1" outlineLevel="1">
      <c r="A52" s="280"/>
      <c r="B52" s="293"/>
      <c r="C52" s="293"/>
      <c r="D52" s="293"/>
      <c r="E52" s="293"/>
      <c r="F52" s="293"/>
      <c r="G52" s="291" t="s">
        <v>325</v>
      </c>
      <c r="H52" s="291"/>
      <c r="I52" s="290" t="s">
        <v>261</v>
      </c>
      <c r="J52" s="290"/>
      <c r="K52" s="290"/>
      <c r="L52" s="290"/>
      <c r="M52" s="290"/>
      <c r="N52" s="290"/>
      <c r="O52" s="290"/>
      <c r="P52" s="290"/>
      <c r="Q52" s="290"/>
      <c r="R52" s="290"/>
      <c r="S52" s="290"/>
      <c r="T52" s="290"/>
      <c r="U52" s="290"/>
      <c r="V52" s="290"/>
      <c r="W52" s="290"/>
      <c r="X52" s="2414" t="s">
        <v>2353</v>
      </c>
      <c r="Y52" s="750" t="s">
        <v>2352</v>
      </c>
      <c r="Z52" s="287">
        <v>0</v>
      </c>
      <c r="AA52" s="287"/>
      <c r="AB52" s="287">
        <v>0</v>
      </c>
      <c r="AC52" s="287">
        <v>16</v>
      </c>
      <c r="AD52" s="287"/>
      <c r="AE52" s="277" t="s">
        <v>2332</v>
      </c>
      <c r="AF52" s="276">
        <v>0.05</v>
      </c>
      <c r="AG52" s="287">
        <v>0</v>
      </c>
      <c r="AH52" s="287" t="s">
        <v>2354</v>
      </c>
      <c r="AI52" s="275">
        <v>0</v>
      </c>
      <c r="AJ52" s="789" t="s">
        <v>1007</v>
      </c>
      <c r="AK52" s="283"/>
      <c r="AL52" s="283"/>
      <c r="AM52" s="283"/>
      <c r="AN52" s="283"/>
      <c r="AO52" s="283"/>
      <c r="AP52" s="283"/>
      <c r="AQ52" s="283"/>
      <c r="AR52" s="283"/>
      <c r="AS52" s="283"/>
      <c r="AT52" s="283" t="s">
        <v>2352</v>
      </c>
      <c r="AU52" s="283"/>
      <c r="AV52" s="283"/>
      <c r="AW52" s="283"/>
      <c r="AX52" s="283"/>
    </row>
    <row r="53" spans="1:50" s="51" customFormat="1" ht="42.75" customHeight="1" outlineLevel="1">
      <c r="A53" s="280"/>
      <c r="B53" s="293"/>
      <c r="C53" s="293"/>
      <c r="D53" s="293"/>
      <c r="E53" s="293"/>
      <c r="F53" s="293"/>
      <c r="G53" s="291" t="s">
        <v>325</v>
      </c>
      <c r="H53" s="291"/>
      <c r="I53" s="290" t="s">
        <v>261</v>
      </c>
      <c r="J53" s="290"/>
      <c r="K53" s="290"/>
      <c r="L53" s="290"/>
      <c r="M53" s="290"/>
      <c r="N53" s="290"/>
      <c r="O53" s="290"/>
      <c r="P53" s="290"/>
      <c r="Q53" s="290"/>
      <c r="R53" s="290"/>
      <c r="S53" s="290"/>
      <c r="T53" s="290"/>
      <c r="U53" s="290"/>
      <c r="V53" s="290"/>
      <c r="W53" s="290"/>
      <c r="X53" s="2415" t="s">
        <v>2355</v>
      </c>
      <c r="Y53" s="750" t="s">
        <v>2356</v>
      </c>
      <c r="Z53" s="787">
        <v>2</v>
      </c>
      <c r="AA53" s="787"/>
      <c r="AB53" s="787">
        <v>16</v>
      </c>
      <c r="AC53" s="787">
        <v>16</v>
      </c>
      <c r="AD53" s="787"/>
      <c r="AE53" s="790" t="s">
        <v>2357</v>
      </c>
      <c r="AF53" s="777">
        <v>0.05</v>
      </c>
      <c r="AG53" s="787">
        <v>-1600</v>
      </c>
      <c r="AH53" s="791" t="s">
        <v>2358</v>
      </c>
      <c r="AI53" s="792">
        <v>0</v>
      </c>
      <c r="AJ53" s="789" t="s">
        <v>98</v>
      </c>
      <c r="AK53" s="283"/>
      <c r="AL53" s="283"/>
      <c r="AM53" s="283"/>
      <c r="AN53" s="283"/>
      <c r="AO53" s="283"/>
      <c r="AP53" s="283"/>
      <c r="AQ53" s="283"/>
      <c r="AR53" s="283"/>
      <c r="AS53" s="283"/>
      <c r="AT53" s="283" t="s">
        <v>2352</v>
      </c>
      <c r="AU53" s="283"/>
      <c r="AV53" s="283"/>
      <c r="AW53" s="283"/>
      <c r="AX53" s="283"/>
    </row>
    <row r="54" spans="1:50" s="51" customFormat="1" ht="42.75" customHeight="1" outlineLevel="1">
      <c r="A54" s="280"/>
      <c r="B54" s="293"/>
      <c r="C54" s="293"/>
      <c r="D54" s="293"/>
      <c r="E54" s="293"/>
      <c r="F54" s="293"/>
      <c r="G54" s="291" t="s">
        <v>325</v>
      </c>
      <c r="H54" s="291"/>
      <c r="I54" s="290" t="s">
        <v>261</v>
      </c>
      <c r="J54" s="290"/>
      <c r="K54" s="290"/>
      <c r="L54" s="290"/>
      <c r="M54" s="290"/>
      <c r="N54" s="290"/>
      <c r="O54" s="290"/>
      <c r="P54" s="290"/>
      <c r="Q54" s="290"/>
      <c r="R54" s="290"/>
      <c r="S54" s="290"/>
      <c r="T54" s="290"/>
      <c r="U54" s="290"/>
      <c r="V54" s="290"/>
      <c r="W54" s="290"/>
      <c r="X54" s="2416" t="s">
        <v>2359</v>
      </c>
      <c r="Y54" s="750" t="s">
        <v>2360</v>
      </c>
      <c r="Z54" s="787">
        <v>4</v>
      </c>
      <c r="AA54" s="787"/>
      <c r="AB54" s="787">
        <v>32</v>
      </c>
      <c r="AC54" s="787">
        <v>16</v>
      </c>
      <c r="AD54" s="787"/>
      <c r="AE54" s="790" t="s">
        <v>2332</v>
      </c>
      <c r="AF54" s="777">
        <v>0.1</v>
      </c>
      <c r="AG54" s="787">
        <v>0</v>
      </c>
      <c r="AH54" s="787" t="s">
        <v>2361</v>
      </c>
      <c r="AI54" s="792">
        <v>0</v>
      </c>
      <c r="AJ54" s="789" t="s">
        <v>98</v>
      </c>
      <c r="AK54" s="283"/>
      <c r="AL54" s="283"/>
      <c r="AM54" s="283"/>
      <c r="AN54" s="283"/>
      <c r="AO54" s="283"/>
      <c r="AP54" s="283"/>
      <c r="AQ54" s="283"/>
      <c r="AR54" s="283"/>
      <c r="AS54" s="283"/>
      <c r="AT54" s="283" t="s">
        <v>2352</v>
      </c>
      <c r="AU54" s="283"/>
      <c r="AV54" s="283"/>
      <c r="AW54" s="283"/>
      <c r="AX54" s="283"/>
    </row>
    <row r="55" spans="1:50" s="51" customFormat="1" ht="42.75" customHeight="1" outlineLevel="1">
      <c r="A55" s="280"/>
      <c r="B55" s="293"/>
      <c r="C55" s="293"/>
      <c r="D55" s="293"/>
      <c r="E55" s="293"/>
      <c r="F55" s="293"/>
      <c r="G55" s="291"/>
      <c r="H55" s="291"/>
      <c r="I55" s="290"/>
      <c r="J55" s="290"/>
      <c r="K55" s="290"/>
      <c r="L55" s="290"/>
      <c r="M55" s="290"/>
      <c r="N55" s="290"/>
      <c r="O55" s="290"/>
      <c r="P55" s="290"/>
      <c r="Q55" s="290"/>
      <c r="R55" s="290"/>
      <c r="S55" s="290"/>
      <c r="T55" s="290"/>
      <c r="U55" s="290"/>
      <c r="V55" s="290"/>
      <c r="W55" s="290"/>
      <c r="X55" s="2417" t="s">
        <v>2362</v>
      </c>
      <c r="Y55" s="750" t="s">
        <v>2363</v>
      </c>
      <c r="Z55" s="787">
        <v>6</v>
      </c>
      <c r="AA55" s="787"/>
      <c r="AB55" s="787">
        <v>48</v>
      </c>
      <c r="AC55" s="787">
        <v>16</v>
      </c>
      <c r="AD55" s="787"/>
      <c r="AE55" s="790" t="s">
        <v>2364</v>
      </c>
      <c r="AF55" s="777">
        <v>0.1</v>
      </c>
      <c r="AG55" s="787">
        <v>0</v>
      </c>
      <c r="AH55" s="787" t="s">
        <v>2365</v>
      </c>
      <c r="AI55" s="792">
        <v>0</v>
      </c>
      <c r="AJ55" s="789" t="s">
        <v>1007</v>
      </c>
      <c r="AK55" s="283"/>
      <c r="AL55" s="283"/>
      <c r="AM55" s="283"/>
      <c r="AN55" s="283"/>
      <c r="AO55" s="283"/>
      <c r="AP55" s="283"/>
      <c r="AQ55" s="283"/>
      <c r="AR55" s="283"/>
      <c r="AS55" s="283"/>
      <c r="AT55" s="283"/>
      <c r="AU55" s="283"/>
      <c r="AV55" s="283"/>
      <c r="AW55" s="283"/>
      <c r="AX55" s="283"/>
    </row>
    <row r="56" spans="1:50" s="51" customFormat="1" ht="42.75" customHeight="1" outlineLevel="1">
      <c r="A56" s="280"/>
      <c r="B56" s="293"/>
      <c r="C56" s="293"/>
      <c r="D56" s="293"/>
      <c r="E56" s="293"/>
      <c r="F56" s="293"/>
      <c r="G56" s="291" t="s">
        <v>325</v>
      </c>
      <c r="H56" s="291"/>
      <c r="I56" s="290" t="s">
        <v>261</v>
      </c>
      <c r="J56" s="290"/>
      <c r="K56" s="290"/>
      <c r="L56" s="290"/>
      <c r="M56" s="290"/>
      <c r="N56" s="290"/>
      <c r="O56" s="290"/>
      <c r="P56" s="290"/>
      <c r="Q56" s="290"/>
      <c r="R56" s="290"/>
      <c r="S56" s="290"/>
      <c r="T56" s="290"/>
      <c r="U56" s="290"/>
      <c r="V56" s="290"/>
      <c r="W56" s="290"/>
      <c r="X56" s="2418" t="s">
        <v>2366</v>
      </c>
      <c r="Y56" s="837" t="s">
        <v>2367</v>
      </c>
      <c r="Z56" s="1381">
        <v>6</v>
      </c>
      <c r="AA56" s="1381"/>
      <c r="AB56" s="1381">
        <v>53</v>
      </c>
      <c r="AC56" s="1381">
        <v>3</v>
      </c>
      <c r="AD56" s="1381"/>
      <c r="AE56" s="1382" t="s">
        <v>2315</v>
      </c>
      <c r="AF56" s="1383">
        <v>1</v>
      </c>
      <c r="AG56" s="1381">
        <v>0</v>
      </c>
      <c r="AH56" s="1381" t="s">
        <v>2368</v>
      </c>
      <c r="AI56" s="1384">
        <v>0</v>
      </c>
      <c r="AJ56" s="1385"/>
      <c r="AK56" s="283"/>
      <c r="AL56" s="283"/>
      <c r="AM56" s="283"/>
      <c r="AN56" s="283"/>
      <c r="AO56" s="283"/>
      <c r="AP56" s="283"/>
      <c r="AQ56" s="283"/>
      <c r="AR56" s="283"/>
      <c r="AS56" s="283"/>
      <c r="AT56" s="283" t="s">
        <v>2352</v>
      </c>
      <c r="AU56" s="283"/>
      <c r="AV56" s="283"/>
      <c r="AW56" s="283"/>
      <c r="AX56" s="283"/>
    </row>
    <row r="57" spans="1:50" s="51" customFormat="1" ht="142.5" customHeight="1" outlineLevel="1">
      <c r="A57" s="280"/>
      <c r="B57" s="293"/>
      <c r="C57" s="293"/>
      <c r="D57" s="293"/>
      <c r="E57" s="293"/>
      <c r="F57" s="293"/>
      <c r="G57" s="291" t="s">
        <v>325</v>
      </c>
      <c r="H57" s="291"/>
      <c r="I57" s="290" t="s">
        <v>261</v>
      </c>
      <c r="J57" s="290"/>
      <c r="K57" s="290"/>
      <c r="L57" s="290"/>
      <c r="M57" s="290"/>
      <c r="N57" s="290"/>
      <c r="O57" s="290"/>
      <c r="P57" s="290"/>
      <c r="Q57" s="290"/>
      <c r="R57" s="290"/>
      <c r="S57" s="290"/>
      <c r="T57" s="290"/>
      <c r="U57" s="290"/>
      <c r="V57" s="290"/>
      <c r="W57" s="290"/>
      <c r="X57" s="2419" t="s">
        <v>2369</v>
      </c>
      <c r="Y57" s="837" t="s">
        <v>2370</v>
      </c>
      <c r="Z57" s="1386">
        <v>7</v>
      </c>
      <c r="AA57" s="1386"/>
      <c r="AB57" s="1386">
        <v>56</v>
      </c>
      <c r="AC57" s="1386">
        <v>8</v>
      </c>
      <c r="AD57" s="1386"/>
      <c r="AE57" s="2420" t="s">
        <v>2318</v>
      </c>
      <c r="AF57" s="1383">
        <v>1</v>
      </c>
      <c r="AG57" s="1386">
        <v>0</v>
      </c>
      <c r="AH57" s="1386" t="s">
        <v>2371</v>
      </c>
      <c r="AI57" s="1384">
        <v>0</v>
      </c>
      <c r="AJ57" s="1385"/>
      <c r="AK57" s="283" t="s">
        <v>2348</v>
      </c>
      <c r="AL57" s="283"/>
      <c r="AM57" s="283"/>
      <c r="AN57" s="283"/>
      <c r="AO57" s="283"/>
      <c r="AP57" s="283"/>
      <c r="AQ57" s="283"/>
      <c r="AR57" s="283"/>
      <c r="AS57" s="283"/>
      <c r="AT57" s="283"/>
      <c r="AU57" s="283"/>
      <c r="AV57" s="283"/>
      <c r="AW57" s="283"/>
      <c r="AX57" s="283"/>
    </row>
    <row r="58" spans="1:50" s="50" customFormat="1" ht="14.25" customHeight="1">
      <c r="A58" s="765">
        <v>5</v>
      </c>
      <c r="B58" s="736" t="s">
        <v>2372</v>
      </c>
      <c r="C58" s="766" t="s">
        <v>2373</v>
      </c>
      <c r="D58" s="766" t="s">
        <v>488</v>
      </c>
      <c r="E58" s="766">
        <v>8</v>
      </c>
      <c r="F58" s="766" t="s">
        <v>260</v>
      </c>
      <c r="G58" s="765" t="s">
        <v>325</v>
      </c>
      <c r="H58" s="765"/>
      <c r="I58" s="767" t="s">
        <v>261</v>
      </c>
      <c r="J58" s="767"/>
      <c r="K58" s="767"/>
      <c r="L58" s="767"/>
      <c r="M58" s="767"/>
      <c r="N58" s="767"/>
      <c r="O58" s="767"/>
      <c r="P58" s="767"/>
      <c r="Q58" s="767"/>
      <c r="R58" s="767"/>
      <c r="S58" s="767"/>
      <c r="T58" s="767"/>
      <c r="U58" s="767"/>
      <c r="V58" s="767"/>
      <c r="W58" s="767"/>
      <c r="X58" s="766" t="s">
        <v>2374</v>
      </c>
      <c r="Y58" s="768"/>
      <c r="Z58" s="769"/>
      <c r="AA58" s="769"/>
      <c r="AB58" s="769"/>
      <c r="AC58" s="769"/>
      <c r="AD58" s="769"/>
      <c r="AE58" s="766" t="s">
        <v>2374</v>
      </c>
      <c r="AF58" s="770"/>
      <c r="AG58" s="767"/>
      <c r="AH58" s="769"/>
      <c r="AI58" s="771"/>
      <c r="AJ58" s="769"/>
      <c r="AK58" s="293"/>
      <c r="AL58" s="293"/>
      <c r="AM58" s="293"/>
      <c r="AN58" s="293"/>
      <c r="AO58" s="293"/>
      <c r="AP58" s="293"/>
      <c r="AQ58" s="293"/>
      <c r="AR58" s="293"/>
      <c r="AS58" s="293"/>
      <c r="AT58" s="293"/>
      <c r="AU58" s="293"/>
      <c r="AV58" s="293"/>
      <c r="AW58" s="293"/>
      <c r="AX58" s="293"/>
    </row>
    <row r="59" spans="1:50" s="51" customFormat="1" ht="42.75" customHeight="1" outlineLevel="1">
      <c r="A59" s="280"/>
      <c r="B59" s="293"/>
      <c r="C59" s="293"/>
      <c r="D59" s="293"/>
      <c r="E59" s="293"/>
      <c r="F59" s="293"/>
      <c r="G59" s="291" t="s">
        <v>325</v>
      </c>
      <c r="H59" s="291"/>
      <c r="I59" s="290" t="s">
        <v>261</v>
      </c>
      <c r="J59" s="290"/>
      <c r="K59" s="290"/>
      <c r="L59" s="290"/>
      <c r="M59" s="290"/>
      <c r="N59" s="290"/>
      <c r="O59" s="290"/>
      <c r="P59" s="290"/>
      <c r="Q59" s="290"/>
      <c r="R59" s="290"/>
      <c r="S59" s="290"/>
      <c r="T59" s="290"/>
      <c r="U59" s="290"/>
      <c r="V59" s="290"/>
      <c r="W59" s="290"/>
      <c r="X59" s="2421" t="s">
        <v>2375</v>
      </c>
      <c r="Y59" s="750" t="s">
        <v>2376</v>
      </c>
      <c r="Z59" s="288">
        <v>0</v>
      </c>
      <c r="AA59" s="288"/>
      <c r="AB59" s="288">
        <v>0</v>
      </c>
      <c r="AC59" s="288">
        <v>16</v>
      </c>
      <c r="AD59" s="288"/>
      <c r="AE59" s="285" t="s">
        <v>2332</v>
      </c>
      <c r="AF59" s="276">
        <v>0.1</v>
      </c>
      <c r="AG59" s="288">
        <v>0</v>
      </c>
      <c r="AH59" s="288">
        <v>0</v>
      </c>
      <c r="AI59" s="274"/>
      <c r="AJ59" s="789" t="s">
        <v>2377</v>
      </c>
      <c r="AK59" s="283"/>
      <c r="AL59" s="283"/>
      <c r="AM59" s="283"/>
      <c r="AN59" s="283"/>
      <c r="AO59" s="283"/>
      <c r="AP59" s="283"/>
      <c r="AQ59" s="283"/>
      <c r="AR59" s="283"/>
      <c r="AS59" s="283"/>
      <c r="AT59" s="283"/>
      <c r="AU59" s="283"/>
      <c r="AV59" s="283"/>
      <c r="AW59" s="283"/>
      <c r="AX59" s="283"/>
    </row>
    <row r="60" spans="1:50" s="1388" customFormat="1" ht="42.75" customHeight="1" outlineLevel="1">
      <c r="A60" s="1389"/>
      <c r="B60" s="1390"/>
      <c r="C60" s="1390"/>
      <c r="D60" s="1390"/>
      <c r="E60" s="1390"/>
      <c r="F60" s="1390"/>
      <c r="G60" s="1391" t="s">
        <v>325</v>
      </c>
      <c r="H60" s="1391"/>
      <c r="I60" s="1391" t="s">
        <v>261</v>
      </c>
      <c r="J60" s="1391"/>
      <c r="K60" s="1391"/>
      <c r="L60" s="1391"/>
      <c r="M60" s="1391"/>
      <c r="N60" s="1391"/>
      <c r="O60" s="1391"/>
      <c r="P60" s="1391"/>
      <c r="Q60" s="1391"/>
      <c r="R60" s="1391"/>
      <c r="S60" s="1391"/>
      <c r="T60" s="1391"/>
      <c r="U60" s="1391"/>
      <c r="V60" s="1391"/>
      <c r="W60" s="1391"/>
      <c r="X60" s="2422" t="s">
        <v>2378</v>
      </c>
      <c r="Y60" s="1392" t="s">
        <v>2379</v>
      </c>
      <c r="Z60" s="1393">
        <v>2</v>
      </c>
      <c r="AA60" s="1393"/>
      <c r="AB60" s="1393">
        <v>16</v>
      </c>
      <c r="AC60" s="1393">
        <v>16</v>
      </c>
      <c r="AD60" s="1393"/>
      <c r="AE60" s="1394"/>
      <c r="AF60" s="1395">
        <v>0.01</v>
      </c>
      <c r="AG60" s="1393">
        <v>0</v>
      </c>
      <c r="AH60" s="1393">
        <v>0</v>
      </c>
      <c r="AI60" s="1396"/>
      <c r="AJ60" s="1421" t="s">
        <v>904</v>
      </c>
    </row>
    <row r="61" spans="1:50" s="259" customFormat="1" ht="42.75" customHeight="1" outlineLevel="1">
      <c r="A61" s="217"/>
      <c r="B61" s="485"/>
      <c r="C61" s="485"/>
      <c r="D61" s="485"/>
      <c r="E61" s="485"/>
      <c r="F61" s="485"/>
      <c r="G61" s="486" t="s">
        <v>325</v>
      </c>
      <c r="H61" s="486"/>
      <c r="I61" s="486" t="s">
        <v>261</v>
      </c>
      <c r="J61" s="486"/>
      <c r="K61" s="486"/>
      <c r="L61" s="486"/>
      <c r="M61" s="486"/>
      <c r="N61" s="486"/>
      <c r="O61" s="486"/>
      <c r="P61" s="486"/>
      <c r="Q61" s="486"/>
      <c r="R61" s="486"/>
      <c r="S61" s="486"/>
      <c r="T61" s="486"/>
      <c r="U61" s="486"/>
      <c r="V61" s="486"/>
      <c r="W61" s="486"/>
      <c r="X61" s="2423" t="s">
        <v>2380</v>
      </c>
      <c r="Y61" s="837" t="s">
        <v>2381</v>
      </c>
      <c r="Z61" s="1379">
        <v>2</v>
      </c>
      <c r="AA61" s="1379"/>
      <c r="AB61" s="1379">
        <v>16</v>
      </c>
      <c r="AC61" s="1379">
        <v>16</v>
      </c>
      <c r="AD61" s="1379"/>
      <c r="AE61" s="843" t="s">
        <v>2332</v>
      </c>
      <c r="AF61" s="1383">
        <v>0.1</v>
      </c>
      <c r="AG61" s="1379">
        <v>0</v>
      </c>
      <c r="AH61" s="1379">
        <v>0</v>
      </c>
      <c r="AI61" s="1380"/>
      <c r="AJ61" s="1385" t="s">
        <v>2377</v>
      </c>
    </row>
    <row r="62" spans="1:50" s="50" customFormat="1" ht="28.5" customHeight="1" outlineLevel="1">
      <c r="A62" s="280"/>
      <c r="B62" s="293"/>
      <c r="C62" s="293"/>
      <c r="D62" s="293"/>
      <c r="E62" s="293"/>
      <c r="F62" s="293"/>
      <c r="G62" s="291" t="s">
        <v>325</v>
      </c>
      <c r="H62" s="291"/>
      <c r="I62" s="290" t="s">
        <v>261</v>
      </c>
      <c r="J62" s="290"/>
      <c r="K62" s="290"/>
      <c r="L62" s="290"/>
      <c r="M62" s="290"/>
      <c r="N62" s="290"/>
      <c r="O62" s="290"/>
      <c r="P62" s="290"/>
      <c r="Q62" s="290"/>
      <c r="R62" s="290"/>
      <c r="S62" s="290"/>
      <c r="T62" s="290"/>
      <c r="U62" s="290"/>
      <c r="V62" s="290"/>
      <c r="W62" s="290"/>
      <c r="X62" s="2424" t="s">
        <v>2382</v>
      </c>
      <c r="Y62" s="750" t="s">
        <v>2383</v>
      </c>
      <c r="Z62" s="775">
        <v>4</v>
      </c>
      <c r="AA62" s="775"/>
      <c r="AB62" s="775">
        <v>32</v>
      </c>
      <c r="AC62" s="775">
        <v>16</v>
      </c>
      <c r="AD62" s="775"/>
      <c r="AE62" s="737" t="s">
        <v>2384</v>
      </c>
      <c r="AF62" s="777"/>
      <c r="AG62" s="775"/>
      <c r="AH62" s="775"/>
      <c r="AI62" s="793"/>
      <c r="AJ62" s="789"/>
      <c r="AK62" s="293">
        <v>20230613</v>
      </c>
      <c r="AL62" s="293"/>
      <c r="AM62" s="293"/>
      <c r="AN62" s="293"/>
      <c r="AO62" s="293"/>
      <c r="AP62" s="293"/>
      <c r="AQ62" s="293"/>
      <c r="AR62" s="293"/>
      <c r="AS62" s="293"/>
      <c r="AT62" s="293"/>
      <c r="AU62" s="293"/>
      <c r="AV62" s="293"/>
      <c r="AW62" s="293"/>
      <c r="AX62" s="293"/>
    </row>
    <row r="63" spans="1:50" s="259" customFormat="1" ht="42.75" customHeight="1" outlineLevel="1">
      <c r="A63" s="217"/>
      <c r="B63" s="485"/>
      <c r="C63" s="485"/>
      <c r="D63" s="485"/>
      <c r="E63" s="485"/>
      <c r="F63" s="485"/>
      <c r="G63" s="486" t="s">
        <v>325</v>
      </c>
      <c r="H63" s="486"/>
      <c r="I63" s="486" t="s">
        <v>261</v>
      </c>
      <c r="J63" s="486"/>
      <c r="K63" s="486"/>
      <c r="L63" s="486"/>
      <c r="M63" s="486"/>
      <c r="N63" s="486"/>
      <c r="O63" s="486"/>
      <c r="P63" s="486"/>
      <c r="Q63" s="486"/>
      <c r="R63" s="486"/>
      <c r="S63" s="486"/>
      <c r="T63" s="486"/>
      <c r="U63" s="486"/>
      <c r="V63" s="486"/>
      <c r="W63" s="486"/>
      <c r="X63" s="2425" t="s">
        <v>2385</v>
      </c>
      <c r="Y63" s="837" t="s">
        <v>2386</v>
      </c>
      <c r="Z63" s="1379">
        <v>6</v>
      </c>
      <c r="AA63" s="1379"/>
      <c r="AB63" s="1379">
        <v>53</v>
      </c>
      <c r="AC63" s="1379">
        <v>3</v>
      </c>
      <c r="AD63" s="1379"/>
      <c r="AE63" s="843" t="s">
        <v>2315</v>
      </c>
      <c r="AF63" s="1383">
        <v>1</v>
      </c>
      <c r="AG63" s="1379">
        <v>0</v>
      </c>
      <c r="AH63" s="1379">
        <v>0</v>
      </c>
      <c r="AI63" s="1380"/>
      <c r="AJ63" s="1385"/>
    </row>
    <row r="64" spans="1:50" s="259" customFormat="1" ht="142.5" customHeight="1" outlineLevel="1">
      <c r="A64" s="217"/>
      <c r="B64" s="485"/>
      <c r="C64" s="485"/>
      <c r="D64" s="485"/>
      <c r="E64" s="485"/>
      <c r="F64" s="485"/>
      <c r="G64" s="486" t="s">
        <v>325</v>
      </c>
      <c r="H64" s="486"/>
      <c r="I64" s="486" t="s">
        <v>261</v>
      </c>
      <c r="J64" s="486"/>
      <c r="K64" s="486"/>
      <c r="L64" s="486"/>
      <c r="M64" s="486"/>
      <c r="N64" s="486"/>
      <c r="O64" s="486"/>
      <c r="P64" s="486"/>
      <c r="Q64" s="486"/>
      <c r="R64" s="486"/>
      <c r="S64" s="486"/>
      <c r="T64" s="486"/>
      <c r="U64" s="486"/>
      <c r="V64" s="486"/>
      <c r="W64" s="486"/>
      <c r="X64" s="2426" t="s">
        <v>2387</v>
      </c>
      <c r="Y64" s="837" t="s">
        <v>2388</v>
      </c>
      <c r="Z64" s="1379">
        <v>7</v>
      </c>
      <c r="AA64" s="1379"/>
      <c r="AB64" s="1379">
        <v>56</v>
      </c>
      <c r="AC64" s="1379">
        <v>8</v>
      </c>
      <c r="AD64" s="1379"/>
      <c r="AE64" s="2427" t="s">
        <v>2318</v>
      </c>
      <c r="AF64" s="1383">
        <v>1</v>
      </c>
      <c r="AG64" s="1379">
        <v>0</v>
      </c>
      <c r="AH64" s="1379">
        <v>0</v>
      </c>
      <c r="AI64" s="1380"/>
      <c r="AJ64" s="1385"/>
      <c r="AK64" s="259" t="s">
        <v>2348</v>
      </c>
    </row>
    <row r="65" spans="1:50" s="51" customFormat="1" ht="14.25" customHeight="1">
      <c r="A65" s="794">
        <v>6</v>
      </c>
      <c r="B65" s="795" t="s">
        <v>2389</v>
      </c>
      <c r="C65" s="796" t="s">
        <v>2390</v>
      </c>
      <c r="D65" s="796" t="s">
        <v>259</v>
      </c>
      <c r="E65" s="796">
        <v>8</v>
      </c>
      <c r="F65" s="796" t="s">
        <v>260</v>
      </c>
      <c r="G65" s="796" t="s">
        <v>325</v>
      </c>
      <c r="H65" s="796" t="s">
        <v>398</v>
      </c>
      <c r="I65" s="797" t="s">
        <v>261</v>
      </c>
      <c r="J65" s="797" t="s">
        <v>398</v>
      </c>
      <c r="K65" s="797" t="s">
        <v>398</v>
      </c>
      <c r="L65" s="797" t="s">
        <v>398</v>
      </c>
      <c r="M65" s="797" t="s">
        <v>398</v>
      </c>
      <c r="N65" s="797"/>
      <c r="O65" s="797"/>
      <c r="P65" s="797"/>
      <c r="Q65" s="797"/>
      <c r="R65" s="797"/>
      <c r="S65" s="797"/>
      <c r="T65" s="797"/>
      <c r="U65" s="797"/>
      <c r="V65" s="797"/>
      <c r="W65" s="797"/>
      <c r="X65" s="796" t="s">
        <v>2391</v>
      </c>
      <c r="Y65" s="796" t="s">
        <v>398</v>
      </c>
      <c r="Z65" s="797" t="s">
        <v>398</v>
      </c>
      <c r="AA65" s="797" t="s">
        <v>398</v>
      </c>
      <c r="AB65" s="797" t="s">
        <v>398</v>
      </c>
      <c r="AC65" s="797" t="s">
        <v>398</v>
      </c>
      <c r="AD65" s="797" t="s">
        <v>398</v>
      </c>
      <c r="AE65" s="796" t="s">
        <v>2391</v>
      </c>
      <c r="AF65" s="798" t="s">
        <v>398</v>
      </c>
      <c r="AG65" s="797" t="s">
        <v>398</v>
      </c>
      <c r="AH65" s="797" t="s">
        <v>398</v>
      </c>
      <c r="AI65" s="799" t="s">
        <v>398</v>
      </c>
      <c r="AJ65" s="800" t="s">
        <v>398</v>
      </c>
      <c r="AK65" s="248" t="s">
        <v>398</v>
      </c>
      <c r="AL65" s="248" t="s">
        <v>398</v>
      </c>
      <c r="AM65" s="248" t="s">
        <v>398</v>
      </c>
      <c r="AN65" s="248" t="s">
        <v>398</v>
      </c>
      <c r="AO65" s="248" t="s">
        <v>398</v>
      </c>
      <c r="AP65" s="248" t="s">
        <v>398</v>
      </c>
      <c r="AQ65" s="283"/>
      <c r="AR65" s="283"/>
      <c r="AS65" s="283"/>
      <c r="AT65" s="283"/>
      <c r="AU65" s="283"/>
      <c r="AV65" s="283"/>
      <c r="AW65" s="283"/>
      <c r="AX65" s="283"/>
    </row>
    <row r="66" spans="1:50" s="51" customFormat="1" ht="28.5" customHeight="1" outlineLevel="1">
      <c r="A66" s="241"/>
      <c r="B66" s="240"/>
      <c r="C66" s="240"/>
      <c r="D66" s="240"/>
      <c r="E66" s="240"/>
      <c r="F66" s="240"/>
      <c r="G66" s="242" t="s">
        <v>325</v>
      </c>
      <c r="H66" s="242"/>
      <c r="I66" s="243" t="s">
        <v>261</v>
      </c>
      <c r="J66" s="243"/>
      <c r="K66" s="243"/>
      <c r="L66" s="243"/>
      <c r="M66" s="243"/>
      <c r="N66" s="243"/>
      <c r="O66" s="243"/>
      <c r="P66" s="243"/>
      <c r="Q66" s="243"/>
      <c r="R66" s="243"/>
      <c r="S66" s="243"/>
      <c r="T66" s="243"/>
      <c r="U66" s="243"/>
      <c r="V66" s="243"/>
      <c r="W66" s="243"/>
      <c r="X66" s="2428" t="s">
        <v>2392</v>
      </c>
      <c r="Y66" s="244" t="s">
        <v>2393</v>
      </c>
      <c r="Z66" s="248" t="s">
        <v>398</v>
      </c>
      <c r="AA66" s="252" t="s">
        <v>398</v>
      </c>
      <c r="AB66" s="245">
        <v>0</v>
      </c>
      <c r="AC66" s="245">
        <v>8</v>
      </c>
      <c r="AD66" s="245" t="s">
        <v>2394</v>
      </c>
      <c r="AE66" s="246" t="s">
        <v>398</v>
      </c>
      <c r="AF66" s="294">
        <v>1</v>
      </c>
      <c r="AG66" s="245">
        <v>-40</v>
      </c>
      <c r="AH66" s="245" t="s">
        <v>398</v>
      </c>
      <c r="AI66" s="251" t="s">
        <v>398</v>
      </c>
      <c r="AJ66" s="252" t="s">
        <v>508</v>
      </c>
      <c r="AK66" s="254" t="s">
        <v>2393</v>
      </c>
      <c r="AL66" s="248" t="s">
        <v>398</v>
      </c>
      <c r="AM66" s="248" t="s">
        <v>398</v>
      </c>
      <c r="AN66" s="248" t="s">
        <v>398</v>
      </c>
      <c r="AO66" s="248" t="s">
        <v>398</v>
      </c>
      <c r="AP66" s="248" t="s">
        <v>398</v>
      </c>
      <c r="AQ66" s="283"/>
      <c r="AR66" s="283"/>
      <c r="AS66" s="283"/>
      <c r="AT66" s="283"/>
      <c r="AU66" s="283"/>
      <c r="AV66" s="283"/>
      <c r="AW66" s="283"/>
      <c r="AX66" s="283"/>
    </row>
    <row r="67" spans="1:50" s="51" customFormat="1" ht="28.5" customHeight="1" outlineLevel="1">
      <c r="A67" s="241"/>
      <c r="B67" s="240"/>
      <c r="C67" s="240"/>
      <c r="D67" s="240"/>
      <c r="E67" s="240"/>
      <c r="F67" s="240"/>
      <c r="G67" s="242" t="s">
        <v>325</v>
      </c>
      <c r="H67" s="242"/>
      <c r="I67" s="243" t="s">
        <v>261</v>
      </c>
      <c r="J67" s="243"/>
      <c r="K67" s="243"/>
      <c r="L67" s="243"/>
      <c r="M67" s="243"/>
      <c r="N67" s="243"/>
      <c r="O67" s="243"/>
      <c r="P67" s="243"/>
      <c r="Q67" s="243"/>
      <c r="R67" s="243"/>
      <c r="S67" s="243"/>
      <c r="T67" s="243"/>
      <c r="U67" s="243"/>
      <c r="V67" s="243"/>
      <c r="W67" s="243"/>
      <c r="X67" s="2429" t="s">
        <v>2395</v>
      </c>
      <c r="Y67" s="244" t="s">
        <v>2396</v>
      </c>
      <c r="Z67" s="248" t="s">
        <v>398</v>
      </c>
      <c r="AA67" s="252" t="s">
        <v>398</v>
      </c>
      <c r="AB67" s="245">
        <v>8</v>
      </c>
      <c r="AC67" s="245">
        <v>8</v>
      </c>
      <c r="AD67" s="245" t="s">
        <v>2394</v>
      </c>
      <c r="AE67" s="246" t="s">
        <v>398</v>
      </c>
      <c r="AF67" s="294">
        <v>1</v>
      </c>
      <c r="AG67" s="245">
        <v>-40</v>
      </c>
      <c r="AH67" s="245" t="s">
        <v>398</v>
      </c>
      <c r="AI67" s="251" t="s">
        <v>398</v>
      </c>
      <c r="AJ67" s="252" t="s">
        <v>508</v>
      </c>
      <c r="AK67" s="254" t="s">
        <v>2396</v>
      </c>
      <c r="AL67" s="248" t="s">
        <v>398</v>
      </c>
      <c r="AM67" s="248" t="s">
        <v>398</v>
      </c>
      <c r="AN67" s="248" t="s">
        <v>398</v>
      </c>
      <c r="AO67" s="248" t="s">
        <v>398</v>
      </c>
      <c r="AP67" s="248" t="s">
        <v>398</v>
      </c>
      <c r="AQ67" s="283"/>
      <c r="AR67" s="283"/>
      <c r="AS67" s="283"/>
      <c r="AT67" s="283"/>
      <c r="AU67" s="283"/>
      <c r="AV67" s="283"/>
      <c r="AW67" s="283"/>
      <c r="AX67" s="283"/>
    </row>
    <row r="68" spans="1:50" s="51" customFormat="1" ht="42.75" customHeight="1" outlineLevel="1">
      <c r="A68" s="241"/>
      <c r="B68" s="240"/>
      <c r="C68" s="240"/>
      <c r="D68" s="240"/>
      <c r="E68" s="240"/>
      <c r="F68" s="240"/>
      <c r="G68" s="242" t="s">
        <v>325</v>
      </c>
      <c r="H68" s="242"/>
      <c r="I68" s="243" t="s">
        <v>261</v>
      </c>
      <c r="J68" s="243"/>
      <c r="K68" s="243"/>
      <c r="L68" s="243"/>
      <c r="M68" s="243"/>
      <c r="N68" s="243"/>
      <c r="O68" s="243"/>
      <c r="P68" s="243"/>
      <c r="Q68" s="243"/>
      <c r="R68" s="243"/>
      <c r="S68" s="243"/>
      <c r="T68" s="243"/>
      <c r="U68" s="243"/>
      <c r="V68" s="243"/>
      <c r="W68" s="243"/>
      <c r="X68" s="2430" t="s">
        <v>2397</v>
      </c>
      <c r="Y68" s="244" t="s">
        <v>2398</v>
      </c>
      <c r="Z68" s="248" t="s">
        <v>398</v>
      </c>
      <c r="AA68" s="252" t="s">
        <v>398</v>
      </c>
      <c r="AB68" s="245">
        <v>16</v>
      </c>
      <c r="AC68" s="245">
        <v>1</v>
      </c>
      <c r="AD68" s="245" t="s">
        <v>2394</v>
      </c>
      <c r="AE68" s="2431" t="s">
        <v>1533</v>
      </c>
      <c r="AF68" s="294">
        <v>1</v>
      </c>
      <c r="AG68" s="245">
        <v>0</v>
      </c>
      <c r="AH68" s="245" t="s">
        <v>398</v>
      </c>
      <c r="AI68" s="251" t="s">
        <v>398</v>
      </c>
      <c r="AJ68" s="252" t="s">
        <v>398</v>
      </c>
      <c r="AK68" s="254" t="s">
        <v>2399</v>
      </c>
      <c r="AL68" s="248" t="s">
        <v>398</v>
      </c>
      <c r="AM68" s="248" t="s">
        <v>398</v>
      </c>
      <c r="AN68" s="248" t="s">
        <v>398</v>
      </c>
      <c r="AO68" s="248" t="s">
        <v>398</v>
      </c>
      <c r="AP68" s="248" t="s">
        <v>398</v>
      </c>
      <c r="AQ68" s="283"/>
      <c r="AR68" s="283"/>
      <c r="AS68" s="283"/>
      <c r="AT68" s="283"/>
      <c r="AU68" s="283"/>
      <c r="AV68" s="283"/>
      <c r="AW68" s="283"/>
      <c r="AX68" s="283"/>
    </row>
    <row r="69" spans="1:50" s="51" customFormat="1" ht="42.75" customHeight="1" outlineLevel="1">
      <c r="A69" s="241"/>
      <c r="B69" s="240"/>
      <c r="C69" s="240"/>
      <c r="D69" s="240"/>
      <c r="E69" s="240"/>
      <c r="F69" s="240"/>
      <c r="G69" s="242" t="s">
        <v>325</v>
      </c>
      <c r="H69" s="242"/>
      <c r="I69" s="243" t="s">
        <v>261</v>
      </c>
      <c r="J69" s="243"/>
      <c r="K69" s="243"/>
      <c r="L69" s="243"/>
      <c r="M69" s="243"/>
      <c r="N69" s="243"/>
      <c r="O69" s="243"/>
      <c r="P69" s="243"/>
      <c r="Q69" s="243"/>
      <c r="R69" s="243"/>
      <c r="S69" s="243"/>
      <c r="T69" s="243"/>
      <c r="U69" s="243"/>
      <c r="V69" s="243"/>
      <c r="W69" s="243"/>
      <c r="X69" s="2432" t="s">
        <v>2400</v>
      </c>
      <c r="Y69" s="801" t="s">
        <v>2401</v>
      </c>
      <c r="Z69" s="248" t="s">
        <v>398</v>
      </c>
      <c r="AA69" s="252" t="s">
        <v>398</v>
      </c>
      <c r="AB69" s="245">
        <v>17</v>
      </c>
      <c r="AC69" s="245">
        <v>1</v>
      </c>
      <c r="AD69" s="245" t="s">
        <v>2394</v>
      </c>
      <c r="AE69" s="2433" t="s">
        <v>1533</v>
      </c>
      <c r="AF69" s="294">
        <v>1</v>
      </c>
      <c r="AG69" s="245">
        <v>0</v>
      </c>
      <c r="AH69" s="245" t="s">
        <v>398</v>
      </c>
      <c r="AI69" s="251" t="s">
        <v>398</v>
      </c>
      <c r="AJ69" s="252" t="s">
        <v>398</v>
      </c>
      <c r="AK69" s="254" t="s">
        <v>2402</v>
      </c>
      <c r="AL69" s="248" t="s">
        <v>398</v>
      </c>
      <c r="AM69" s="248" t="s">
        <v>398</v>
      </c>
      <c r="AN69" s="248" t="s">
        <v>398</v>
      </c>
      <c r="AO69" s="248" t="s">
        <v>398</v>
      </c>
      <c r="AP69" s="248" t="s">
        <v>398</v>
      </c>
      <c r="AQ69" s="283"/>
      <c r="AR69" s="283"/>
      <c r="AS69" s="283"/>
      <c r="AT69" s="283"/>
      <c r="AU69" s="283"/>
      <c r="AV69" s="283"/>
      <c r="AW69" s="283"/>
      <c r="AX69" s="283"/>
    </row>
    <row r="70" spans="1:50" s="51" customFormat="1" ht="45" customHeight="1" outlineLevel="1">
      <c r="A70" s="241"/>
      <c r="B70" s="240"/>
      <c r="C70" s="240"/>
      <c r="D70" s="240"/>
      <c r="E70" s="240"/>
      <c r="F70" s="240"/>
      <c r="G70" s="242" t="s">
        <v>325</v>
      </c>
      <c r="H70" s="242"/>
      <c r="I70" s="243" t="s">
        <v>261</v>
      </c>
      <c r="J70" s="243"/>
      <c r="K70" s="243"/>
      <c r="L70" s="243"/>
      <c r="M70" s="243"/>
      <c r="N70" s="243"/>
      <c r="O70" s="243"/>
      <c r="P70" s="243"/>
      <c r="Q70" s="243"/>
      <c r="R70" s="243"/>
      <c r="S70" s="243"/>
      <c r="T70" s="243"/>
      <c r="U70" s="243"/>
      <c r="V70" s="243"/>
      <c r="W70" s="243"/>
      <c r="X70" s="2434" t="s">
        <v>2403</v>
      </c>
      <c r="Y70" s="802" t="s">
        <v>2404</v>
      </c>
      <c r="Z70" s="248" t="s">
        <v>398</v>
      </c>
      <c r="AA70" s="252" t="s">
        <v>398</v>
      </c>
      <c r="AB70" s="245">
        <v>18</v>
      </c>
      <c r="AC70" s="245">
        <v>1</v>
      </c>
      <c r="AD70" s="245" t="s">
        <v>2394</v>
      </c>
      <c r="AE70" s="2435" t="s">
        <v>1533</v>
      </c>
      <c r="AF70" s="294">
        <v>1</v>
      </c>
      <c r="AG70" s="245">
        <v>0</v>
      </c>
      <c r="AH70" s="245" t="s">
        <v>398</v>
      </c>
      <c r="AI70" s="251" t="s">
        <v>398</v>
      </c>
      <c r="AJ70" s="252" t="s">
        <v>398</v>
      </c>
      <c r="AK70" s="255" t="s">
        <v>2405</v>
      </c>
      <c r="AL70" s="248" t="s">
        <v>398</v>
      </c>
      <c r="AM70" s="248" t="s">
        <v>398</v>
      </c>
      <c r="AN70" s="248" t="s">
        <v>398</v>
      </c>
      <c r="AO70" s="248" t="s">
        <v>398</v>
      </c>
      <c r="AP70" s="248" t="s">
        <v>398</v>
      </c>
      <c r="AQ70" s="283"/>
      <c r="AR70" s="283"/>
      <c r="AS70" s="283"/>
      <c r="AT70" s="283"/>
      <c r="AU70" s="283"/>
      <c r="AV70" s="283"/>
      <c r="AW70" s="283"/>
      <c r="AX70" s="283"/>
    </row>
    <row r="71" spans="1:50" s="51" customFormat="1" ht="42.75" customHeight="1" outlineLevel="1">
      <c r="A71" s="241"/>
      <c r="B71" s="240"/>
      <c r="C71" s="240"/>
      <c r="D71" s="240"/>
      <c r="E71" s="240"/>
      <c r="F71" s="240"/>
      <c r="G71" s="242" t="s">
        <v>325</v>
      </c>
      <c r="H71" s="242"/>
      <c r="I71" s="243" t="s">
        <v>261</v>
      </c>
      <c r="J71" s="243"/>
      <c r="K71" s="243"/>
      <c r="L71" s="243"/>
      <c r="M71" s="243"/>
      <c r="N71" s="243"/>
      <c r="O71" s="243"/>
      <c r="P71" s="243"/>
      <c r="Q71" s="243"/>
      <c r="R71" s="243"/>
      <c r="S71" s="243"/>
      <c r="T71" s="243"/>
      <c r="U71" s="243"/>
      <c r="V71" s="243"/>
      <c r="W71" s="243"/>
      <c r="X71" s="2436" t="s">
        <v>2406</v>
      </c>
      <c r="Y71" s="802" t="s">
        <v>2407</v>
      </c>
      <c r="Z71" s="248" t="s">
        <v>398</v>
      </c>
      <c r="AA71" s="252" t="s">
        <v>398</v>
      </c>
      <c r="AB71" s="245">
        <v>19</v>
      </c>
      <c r="AC71" s="245">
        <v>1</v>
      </c>
      <c r="AD71" s="245" t="s">
        <v>2394</v>
      </c>
      <c r="AE71" s="2437" t="s">
        <v>1533</v>
      </c>
      <c r="AF71" s="294">
        <v>1</v>
      </c>
      <c r="AG71" s="245">
        <v>0</v>
      </c>
      <c r="AH71" s="245" t="s">
        <v>398</v>
      </c>
      <c r="AI71" s="251" t="s">
        <v>398</v>
      </c>
      <c r="AJ71" s="252" t="s">
        <v>398</v>
      </c>
      <c r="AK71" s="254" t="s">
        <v>2408</v>
      </c>
      <c r="AL71" s="248" t="s">
        <v>398</v>
      </c>
      <c r="AM71" s="248" t="s">
        <v>398</v>
      </c>
      <c r="AN71" s="248" t="s">
        <v>398</v>
      </c>
      <c r="AO71" s="248" t="s">
        <v>398</v>
      </c>
      <c r="AP71" s="248" t="s">
        <v>398</v>
      </c>
      <c r="AQ71" s="283"/>
      <c r="AR71" s="283"/>
      <c r="AS71" s="283"/>
      <c r="AT71" s="283"/>
      <c r="AU71" s="283"/>
      <c r="AV71" s="283"/>
      <c r="AW71" s="283"/>
      <c r="AX71" s="283"/>
    </row>
    <row r="72" spans="1:50" s="51" customFormat="1" ht="42.75" customHeight="1" outlineLevel="1">
      <c r="A72" s="241"/>
      <c r="B72" s="240"/>
      <c r="C72" s="240"/>
      <c r="D72" s="240"/>
      <c r="E72" s="240"/>
      <c r="F72" s="240"/>
      <c r="G72" s="242" t="s">
        <v>325</v>
      </c>
      <c r="H72" s="242"/>
      <c r="I72" s="243" t="s">
        <v>261</v>
      </c>
      <c r="J72" s="243"/>
      <c r="K72" s="243"/>
      <c r="L72" s="243"/>
      <c r="M72" s="243"/>
      <c r="N72" s="243"/>
      <c r="O72" s="243"/>
      <c r="P72" s="243"/>
      <c r="Q72" s="243"/>
      <c r="R72" s="243"/>
      <c r="S72" s="243"/>
      <c r="T72" s="243"/>
      <c r="U72" s="243"/>
      <c r="V72" s="243"/>
      <c r="W72" s="243"/>
      <c r="X72" s="2438" t="s">
        <v>2409</v>
      </c>
      <c r="Y72" s="801" t="s">
        <v>2410</v>
      </c>
      <c r="Z72" s="248" t="s">
        <v>398</v>
      </c>
      <c r="AA72" s="252" t="s">
        <v>398</v>
      </c>
      <c r="AB72" s="245">
        <v>20</v>
      </c>
      <c r="AC72" s="245">
        <v>1</v>
      </c>
      <c r="AD72" s="245" t="s">
        <v>2394</v>
      </c>
      <c r="AE72" s="2439" t="s">
        <v>1533</v>
      </c>
      <c r="AF72" s="294">
        <v>1</v>
      </c>
      <c r="AG72" s="245">
        <v>0</v>
      </c>
      <c r="AH72" s="245" t="s">
        <v>398</v>
      </c>
      <c r="AI72" s="251" t="s">
        <v>398</v>
      </c>
      <c r="AJ72" s="252" t="s">
        <v>398</v>
      </c>
      <c r="AK72" s="254" t="s">
        <v>2411</v>
      </c>
      <c r="AL72" s="248" t="s">
        <v>398</v>
      </c>
      <c r="AM72" s="248" t="s">
        <v>398</v>
      </c>
      <c r="AN72" s="248" t="s">
        <v>398</v>
      </c>
      <c r="AO72" s="248" t="s">
        <v>398</v>
      </c>
      <c r="AP72" s="248" t="s">
        <v>398</v>
      </c>
      <c r="AQ72" s="283"/>
      <c r="AR72" s="283"/>
      <c r="AS72" s="283"/>
      <c r="AT72" s="283"/>
      <c r="AU72" s="283"/>
      <c r="AV72" s="283"/>
      <c r="AW72" s="283"/>
      <c r="AX72" s="283"/>
    </row>
    <row r="73" spans="1:50" s="51" customFormat="1" ht="42.75" customHeight="1" outlineLevel="1">
      <c r="A73" s="241"/>
      <c r="B73" s="240"/>
      <c r="C73" s="240"/>
      <c r="D73" s="240"/>
      <c r="E73" s="240"/>
      <c r="F73" s="240"/>
      <c r="G73" s="242" t="s">
        <v>325</v>
      </c>
      <c r="H73" s="242"/>
      <c r="I73" s="243" t="s">
        <v>261</v>
      </c>
      <c r="J73" s="243"/>
      <c r="K73" s="243"/>
      <c r="L73" s="243"/>
      <c r="M73" s="243"/>
      <c r="N73" s="243"/>
      <c r="O73" s="243"/>
      <c r="P73" s="243"/>
      <c r="Q73" s="243"/>
      <c r="R73" s="243"/>
      <c r="S73" s="243"/>
      <c r="T73" s="243"/>
      <c r="U73" s="243"/>
      <c r="V73" s="243"/>
      <c r="W73" s="243"/>
      <c r="X73" s="2440" t="s">
        <v>2412</v>
      </c>
      <c r="Y73" s="244" t="s">
        <v>2413</v>
      </c>
      <c r="Z73" s="248" t="s">
        <v>398</v>
      </c>
      <c r="AA73" s="252" t="s">
        <v>398</v>
      </c>
      <c r="AB73" s="245">
        <v>21</v>
      </c>
      <c r="AC73" s="245">
        <v>1</v>
      </c>
      <c r="AD73" s="245" t="s">
        <v>2394</v>
      </c>
      <c r="AE73" s="2441" t="s">
        <v>1533</v>
      </c>
      <c r="AF73" s="294">
        <v>1</v>
      </c>
      <c r="AG73" s="245">
        <v>0</v>
      </c>
      <c r="AH73" s="245" t="s">
        <v>398</v>
      </c>
      <c r="AI73" s="251" t="s">
        <v>398</v>
      </c>
      <c r="AJ73" s="252" t="s">
        <v>398</v>
      </c>
      <c r="AK73" s="254" t="s">
        <v>2414</v>
      </c>
      <c r="AL73" s="248" t="s">
        <v>398</v>
      </c>
      <c r="AM73" s="248" t="s">
        <v>398</v>
      </c>
      <c r="AN73" s="248" t="s">
        <v>398</v>
      </c>
      <c r="AO73" s="248" t="s">
        <v>398</v>
      </c>
      <c r="AP73" s="248" t="s">
        <v>398</v>
      </c>
      <c r="AQ73" s="283"/>
      <c r="AR73" s="283"/>
      <c r="AS73" s="283"/>
      <c r="AT73" s="283"/>
      <c r="AU73" s="283"/>
      <c r="AV73" s="283"/>
      <c r="AW73" s="283"/>
      <c r="AX73" s="283"/>
    </row>
    <row r="74" spans="1:50" s="51" customFormat="1" ht="42.75" customHeight="1" outlineLevel="1">
      <c r="A74" s="241"/>
      <c r="B74" s="240"/>
      <c r="C74" s="240"/>
      <c r="D74" s="240"/>
      <c r="E74" s="240"/>
      <c r="F74" s="240"/>
      <c r="G74" s="242" t="s">
        <v>325</v>
      </c>
      <c r="H74" s="242"/>
      <c r="I74" s="243" t="s">
        <v>261</v>
      </c>
      <c r="J74" s="243"/>
      <c r="K74" s="243"/>
      <c r="L74" s="243"/>
      <c r="M74" s="243"/>
      <c r="N74" s="243"/>
      <c r="O74" s="243"/>
      <c r="P74" s="243"/>
      <c r="Q74" s="243"/>
      <c r="R74" s="243"/>
      <c r="S74" s="243"/>
      <c r="T74" s="243"/>
      <c r="U74" s="243"/>
      <c r="V74" s="243"/>
      <c r="W74" s="243"/>
      <c r="X74" s="2442" t="s">
        <v>2415</v>
      </c>
      <c r="Y74" s="244" t="s">
        <v>2416</v>
      </c>
      <c r="Z74" s="248" t="s">
        <v>398</v>
      </c>
      <c r="AA74" s="252" t="s">
        <v>398</v>
      </c>
      <c r="AB74" s="245">
        <v>22</v>
      </c>
      <c r="AC74" s="245">
        <v>1</v>
      </c>
      <c r="AD74" s="245" t="s">
        <v>2394</v>
      </c>
      <c r="AE74" s="2443" t="s">
        <v>1533</v>
      </c>
      <c r="AF74" s="294">
        <v>1</v>
      </c>
      <c r="AG74" s="245">
        <v>0</v>
      </c>
      <c r="AH74" s="245" t="s">
        <v>398</v>
      </c>
      <c r="AI74" s="251" t="s">
        <v>398</v>
      </c>
      <c r="AJ74" s="252" t="s">
        <v>398</v>
      </c>
      <c r="AK74" s="254" t="s">
        <v>2417</v>
      </c>
      <c r="AL74" s="248" t="s">
        <v>398</v>
      </c>
      <c r="AM74" s="248" t="s">
        <v>398</v>
      </c>
      <c r="AN74" s="248" t="s">
        <v>398</v>
      </c>
      <c r="AO74" s="248" t="s">
        <v>398</v>
      </c>
      <c r="AP74" s="248" t="s">
        <v>398</v>
      </c>
      <c r="AQ74" s="283"/>
      <c r="AR74" s="283"/>
      <c r="AS74" s="283"/>
      <c r="AT74" s="283"/>
      <c r="AU74" s="283"/>
      <c r="AV74" s="283"/>
      <c r="AW74" s="283"/>
      <c r="AX74" s="283"/>
    </row>
    <row r="75" spans="1:50" s="51" customFormat="1" ht="42.75" customHeight="1" outlineLevel="1">
      <c r="A75" s="241"/>
      <c r="B75" s="240"/>
      <c r="C75" s="240"/>
      <c r="D75" s="240"/>
      <c r="E75" s="240"/>
      <c r="F75" s="240"/>
      <c r="G75" s="242" t="s">
        <v>325</v>
      </c>
      <c r="H75" s="242"/>
      <c r="I75" s="243" t="s">
        <v>261</v>
      </c>
      <c r="J75" s="243"/>
      <c r="K75" s="243"/>
      <c r="L75" s="243"/>
      <c r="M75" s="243"/>
      <c r="N75" s="243"/>
      <c r="O75" s="243"/>
      <c r="P75" s="243"/>
      <c r="Q75" s="243"/>
      <c r="R75" s="243"/>
      <c r="S75" s="243"/>
      <c r="T75" s="243"/>
      <c r="U75" s="243"/>
      <c r="V75" s="243"/>
      <c r="W75" s="243"/>
      <c r="X75" s="2444" t="s">
        <v>2418</v>
      </c>
      <c r="Y75" s="802" t="s">
        <v>2419</v>
      </c>
      <c r="Z75" s="248" t="s">
        <v>398</v>
      </c>
      <c r="AA75" s="252" t="s">
        <v>398</v>
      </c>
      <c r="AB75" s="245">
        <v>23</v>
      </c>
      <c r="AC75" s="245">
        <v>1</v>
      </c>
      <c r="AD75" s="245" t="s">
        <v>2394</v>
      </c>
      <c r="AE75" s="2445" t="s">
        <v>1533</v>
      </c>
      <c r="AF75" s="294">
        <v>1</v>
      </c>
      <c r="AG75" s="245">
        <v>0</v>
      </c>
      <c r="AH75" s="245" t="s">
        <v>398</v>
      </c>
      <c r="AI75" s="251" t="s">
        <v>398</v>
      </c>
      <c r="AJ75" s="252" t="s">
        <v>398</v>
      </c>
      <c r="AK75" s="254" t="s">
        <v>2420</v>
      </c>
      <c r="AL75" s="248" t="s">
        <v>398</v>
      </c>
      <c r="AM75" s="248" t="s">
        <v>398</v>
      </c>
      <c r="AN75" s="248" t="s">
        <v>398</v>
      </c>
      <c r="AO75" s="248" t="s">
        <v>398</v>
      </c>
      <c r="AP75" s="248" t="s">
        <v>398</v>
      </c>
      <c r="AQ75" s="283"/>
      <c r="AR75" s="283"/>
      <c r="AS75" s="283"/>
      <c r="AT75" s="283"/>
      <c r="AU75" s="283"/>
      <c r="AV75" s="283"/>
      <c r="AW75" s="283"/>
      <c r="AX75" s="283"/>
    </row>
    <row r="76" spans="1:50" s="51" customFormat="1" ht="42.75" customHeight="1" outlineLevel="1">
      <c r="A76" s="241"/>
      <c r="B76" s="240"/>
      <c r="C76" s="240"/>
      <c r="D76" s="240"/>
      <c r="E76" s="240"/>
      <c r="F76" s="240"/>
      <c r="G76" s="242" t="s">
        <v>325</v>
      </c>
      <c r="H76" s="242"/>
      <c r="I76" s="243" t="s">
        <v>261</v>
      </c>
      <c r="J76" s="243"/>
      <c r="K76" s="243"/>
      <c r="L76" s="243"/>
      <c r="M76" s="243"/>
      <c r="N76" s="243"/>
      <c r="O76" s="243"/>
      <c r="P76" s="243"/>
      <c r="Q76" s="243"/>
      <c r="R76" s="243"/>
      <c r="S76" s="243"/>
      <c r="T76" s="243"/>
      <c r="U76" s="243"/>
      <c r="V76" s="243"/>
      <c r="W76" s="243"/>
      <c r="X76" s="2446" t="s">
        <v>2421</v>
      </c>
      <c r="Y76" s="244" t="s">
        <v>2422</v>
      </c>
      <c r="Z76" s="248" t="s">
        <v>398</v>
      </c>
      <c r="AA76" s="252" t="s">
        <v>398</v>
      </c>
      <c r="AB76" s="245">
        <v>24</v>
      </c>
      <c r="AC76" s="245">
        <v>1</v>
      </c>
      <c r="AD76" s="245" t="s">
        <v>2394</v>
      </c>
      <c r="AE76" s="2447" t="s">
        <v>1533</v>
      </c>
      <c r="AF76" s="294">
        <v>1</v>
      </c>
      <c r="AG76" s="245">
        <v>0</v>
      </c>
      <c r="AH76" s="245" t="s">
        <v>398</v>
      </c>
      <c r="AI76" s="251" t="s">
        <v>398</v>
      </c>
      <c r="AJ76" s="252" t="s">
        <v>398</v>
      </c>
      <c r="AK76" s="254" t="s">
        <v>2423</v>
      </c>
      <c r="AL76" s="248" t="s">
        <v>398</v>
      </c>
      <c r="AM76" s="248" t="s">
        <v>398</v>
      </c>
      <c r="AN76" s="248" t="s">
        <v>398</v>
      </c>
      <c r="AO76" s="248" t="s">
        <v>398</v>
      </c>
      <c r="AP76" s="248" t="s">
        <v>398</v>
      </c>
      <c r="AQ76" s="283"/>
      <c r="AR76" s="283"/>
      <c r="AS76" s="283"/>
      <c r="AT76" s="283"/>
      <c r="AU76" s="283"/>
      <c r="AV76" s="283"/>
      <c r="AW76" s="283"/>
      <c r="AX76" s="283"/>
    </row>
    <row r="77" spans="1:50" s="51" customFormat="1" ht="28.5" customHeight="1" outlineLevel="1">
      <c r="A77" s="241"/>
      <c r="B77" s="240"/>
      <c r="C77" s="240"/>
      <c r="D77" s="240"/>
      <c r="E77" s="240"/>
      <c r="F77" s="240"/>
      <c r="G77" s="242" t="s">
        <v>325</v>
      </c>
      <c r="H77" s="242"/>
      <c r="I77" s="243" t="s">
        <v>261</v>
      </c>
      <c r="J77" s="243"/>
      <c r="K77" s="243"/>
      <c r="L77" s="243"/>
      <c r="M77" s="243"/>
      <c r="N77" s="243"/>
      <c r="O77" s="243"/>
      <c r="P77" s="243"/>
      <c r="Q77" s="243"/>
      <c r="R77" s="243"/>
      <c r="S77" s="243"/>
      <c r="T77" s="243"/>
      <c r="U77" s="243"/>
      <c r="V77" s="243"/>
      <c r="W77" s="243"/>
      <c r="X77" s="2448" t="s">
        <v>2424</v>
      </c>
      <c r="Y77" s="244" t="s">
        <v>2425</v>
      </c>
      <c r="Z77" s="248" t="s">
        <v>398</v>
      </c>
      <c r="AA77" s="252" t="s">
        <v>398</v>
      </c>
      <c r="AB77" s="245">
        <v>25</v>
      </c>
      <c r="AC77" s="245">
        <v>1</v>
      </c>
      <c r="AD77" s="245" t="s">
        <v>2394</v>
      </c>
      <c r="AE77" s="2449" t="s">
        <v>1533</v>
      </c>
      <c r="AF77" s="294">
        <v>1</v>
      </c>
      <c r="AG77" s="245">
        <v>0</v>
      </c>
      <c r="AH77" s="245" t="s">
        <v>398</v>
      </c>
      <c r="AI77" s="251" t="s">
        <v>398</v>
      </c>
      <c r="AJ77" s="252" t="s">
        <v>398</v>
      </c>
      <c r="AK77" s="254" t="s">
        <v>2426</v>
      </c>
      <c r="AL77" s="248" t="s">
        <v>398</v>
      </c>
      <c r="AM77" s="248" t="s">
        <v>398</v>
      </c>
      <c r="AN77" s="248" t="s">
        <v>398</v>
      </c>
      <c r="AO77" s="248" t="s">
        <v>398</v>
      </c>
      <c r="AP77" s="248" t="s">
        <v>398</v>
      </c>
      <c r="AQ77" s="283"/>
      <c r="AR77" s="283"/>
      <c r="AS77" s="283"/>
      <c r="AT77" s="283"/>
      <c r="AU77" s="283"/>
      <c r="AV77" s="283"/>
      <c r="AW77" s="283"/>
      <c r="AX77" s="283"/>
    </row>
    <row r="78" spans="1:50" s="51" customFormat="1" ht="29.25" customHeight="1" outlineLevel="1">
      <c r="A78" s="241"/>
      <c r="B78" s="240"/>
      <c r="C78" s="240"/>
      <c r="D78" s="240"/>
      <c r="E78" s="240"/>
      <c r="F78" s="240"/>
      <c r="G78" s="242" t="s">
        <v>325</v>
      </c>
      <c r="H78" s="242"/>
      <c r="I78" s="243" t="s">
        <v>261</v>
      </c>
      <c r="J78" s="243"/>
      <c r="K78" s="243"/>
      <c r="L78" s="243"/>
      <c r="M78" s="243"/>
      <c r="N78" s="243"/>
      <c r="O78" s="243"/>
      <c r="P78" s="243"/>
      <c r="Q78" s="243"/>
      <c r="R78" s="243"/>
      <c r="S78" s="243"/>
      <c r="T78" s="243"/>
      <c r="U78" s="243"/>
      <c r="V78" s="243"/>
      <c r="W78" s="243"/>
      <c r="X78" s="2450" t="s">
        <v>2427</v>
      </c>
      <c r="Y78" s="244" t="s">
        <v>2428</v>
      </c>
      <c r="Z78" s="248" t="s">
        <v>398</v>
      </c>
      <c r="AA78" s="252" t="s">
        <v>398</v>
      </c>
      <c r="AB78" s="245">
        <v>26</v>
      </c>
      <c r="AC78" s="245">
        <v>1</v>
      </c>
      <c r="AD78" s="245" t="s">
        <v>2394</v>
      </c>
      <c r="AE78" s="2451" t="s">
        <v>1533</v>
      </c>
      <c r="AF78" s="294">
        <v>1</v>
      </c>
      <c r="AG78" s="245">
        <v>0</v>
      </c>
      <c r="AH78" s="245" t="s">
        <v>398</v>
      </c>
      <c r="AI78" s="251" t="s">
        <v>398</v>
      </c>
      <c r="AJ78" s="252" t="s">
        <v>398</v>
      </c>
      <c r="AK78" s="255" t="s">
        <v>2429</v>
      </c>
      <c r="AL78" s="248" t="s">
        <v>398</v>
      </c>
      <c r="AM78" s="248" t="s">
        <v>398</v>
      </c>
      <c r="AN78" s="248" t="s">
        <v>398</v>
      </c>
      <c r="AO78" s="248" t="s">
        <v>398</v>
      </c>
      <c r="AP78" s="248" t="s">
        <v>398</v>
      </c>
      <c r="AQ78" s="283"/>
      <c r="AR78" s="283"/>
      <c r="AS78" s="283"/>
      <c r="AT78" s="283"/>
      <c r="AU78" s="283"/>
      <c r="AV78" s="283"/>
      <c r="AW78" s="283"/>
      <c r="AX78" s="283"/>
    </row>
    <row r="79" spans="1:50" s="51" customFormat="1" ht="42.75" customHeight="1" outlineLevel="1">
      <c r="A79" s="241"/>
      <c r="B79" s="240"/>
      <c r="C79" s="240"/>
      <c r="D79" s="240"/>
      <c r="E79" s="240"/>
      <c r="F79" s="240"/>
      <c r="G79" s="256" t="s">
        <v>325</v>
      </c>
      <c r="H79" s="242"/>
      <c r="I79" s="257" t="s">
        <v>261</v>
      </c>
      <c r="J79" s="243"/>
      <c r="K79" s="243"/>
      <c r="L79" s="243"/>
      <c r="M79" s="243"/>
      <c r="N79" s="243"/>
      <c r="O79" s="243"/>
      <c r="P79" s="243"/>
      <c r="Q79" s="243"/>
      <c r="R79" s="243"/>
      <c r="S79" s="243"/>
      <c r="T79" s="243"/>
      <c r="U79" s="243"/>
      <c r="V79" s="243"/>
      <c r="W79" s="243"/>
      <c r="X79" s="2452" t="s">
        <v>2430</v>
      </c>
      <c r="Y79" s="258" t="s">
        <v>2431</v>
      </c>
      <c r="Z79" s="259" t="s">
        <v>398</v>
      </c>
      <c r="AA79" s="260" t="s">
        <v>398</v>
      </c>
      <c r="AB79" s="261">
        <v>27</v>
      </c>
      <c r="AC79" s="261">
        <v>1</v>
      </c>
      <c r="AD79" s="261" t="s">
        <v>2394</v>
      </c>
      <c r="AE79" s="2453" t="s">
        <v>1533</v>
      </c>
      <c r="AF79" s="295">
        <v>1</v>
      </c>
      <c r="AG79" s="261">
        <v>0</v>
      </c>
      <c r="AH79" s="261" t="s">
        <v>398</v>
      </c>
      <c r="AI79" s="262" t="s">
        <v>398</v>
      </c>
      <c r="AJ79" s="260" t="s">
        <v>398</v>
      </c>
      <c r="AK79" s="263" t="s">
        <v>2432</v>
      </c>
      <c r="AL79" s="259" t="s">
        <v>398</v>
      </c>
      <c r="AM79" s="259" t="s">
        <v>398</v>
      </c>
      <c r="AN79" s="259" t="s">
        <v>398</v>
      </c>
      <c r="AO79" s="259" t="s">
        <v>398</v>
      </c>
      <c r="AP79" s="259" t="s">
        <v>398</v>
      </c>
      <c r="AQ79" s="283"/>
      <c r="AR79" s="283"/>
      <c r="AS79" s="283"/>
      <c r="AT79" s="283"/>
      <c r="AU79" s="283"/>
      <c r="AV79" s="283"/>
      <c r="AW79" s="283"/>
      <c r="AX79" s="283"/>
    </row>
    <row r="80" spans="1:50" s="51" customFormat="1" ht="28.5" customHeight="1" outlineLevel="1">
      <c r="A80" s="241"/>
      <c r="B80" s="240"/>
      <c r="C80" s="240"/>
      <c r="D80" s="240"/>
      <c r="E80" s="240"/>
      <c r="F80" s="240"/>
      <c r="G80" s="256" t="s">
        <v>325</v>
      </c>
      <c r="H80" s="242"/>
      <c r="I80" s="257" t="s">
        <v>261</v>
      </c>
      <c r="J80" s="243"/>
      <c r="K80" s="243"/>
      <c r="L80" s="243"/>
      <c r="M80" s="243"/>
      <c r="N80" s="243"/>
      <c r="O80" s="243"/>
      <c r="P80" s="243"/>
      <c r="Q80" s="243"/>
      <c r="R80" s="243"/>
      <c r="S80" s="243"/>
      <c r="T80" s="243"/>
      <c r="U80" s="243"/>
      <c r="V80" s="243"/>
      <c r="W80" s="243"/>
      <c r="X80" s="2454" t="s">
        <v>2433</v>
      </c>
      <c r="Y80" s="258" t="s">
        <v>2434</v>
      </c>
      <c r="Z80" s="259" t="s">
        <v>398</v>
      </c>
      <c r="AA80" s="260" t="s">
        <v>398</v>
      </c>
      <c r="AB80" s="261">
        <v>28</v>
      </c>
      <c r="AC80" s="261">
        <v>1</v>
      </c>
      <c r="AD80" s="261" t="s">
        <v>2394</v>
      </c>
      <c r="AE80" s="2455" t="s">
        <v>1533</v>
      </c>
      <c r="AF80" s="295">
        <v>1</v>
      </c>
      <c r="AG80" s="261">
        <v>0</v>
      </c>
      <c r="AH80" s="261" t="s">
        <v>398</v>
      </c>
      <c r="AI80" s="262" t="s">
        <v>398</v>
      </c>
      <c r="AJ80" s="260" t="s">
        <v>398</v>
      </c>
      <c r="AK80" s="263" t="s">
        <v>2435</v>
      </c>
      <c r="AL80" s="259" t="s">
        <v>398</v>
      </c>
      <c r="AM80" s="259" t="s">
        <v>398</v>
      </c>
      <c r="AN80" s="259" t="s">
        <v>398</v>
      </c>
      <c r="AO80" s="259" t="s">
        <v>398</v>
      </c>
      <c r="AP80" s="259" t="s">
        <v>398</v>
      </c>
      <c r="AQ80" s="283"/>
      <c r="AR80" s="283"/>
      <c r="AS80" s="283"/>
      <c r="AT80" s="283"/>
      <c r="AU80" s="283"/>
      <c r="AV80" s="283"/>
      <c r="AW80" s="283"/>
      <c r="AX80" s="283"/>
    </row>
    <row r="81" spans="1:50" s="51" customFormat="1" ht="28.5" customHeight="1" outlineLevel="1">
      <c r="A81" s="241"/>
      <c r="B81" s="240"/>
      <c r="C81" s="240"/>
      <c r="D81" s="240"/>
      <c r="E81" s="240"/>
      <c r="F81" s="240"/>
      <c r="G81" s="242" t="s">
        <v>325</v>
      </c>
      <c r="H81" s="242"/>
      <c r="I81" s="243" t="s">
        <v>261</v>
      </c>
      <c r="J81" s="243"/>
      <c r="K81" s="243"/>
      <c r="L81" s="243"/>
      <c r="M81" s="243"/>
      <c r="N81" s="243"/>
      <c r="O81" s="243"/>
      <c r="P81" s="243"/>
      <c r="Q81" s="243"/>
      <c r="R81" s="243"/>
      <c r="S81" s="243"/>
      <c r="T81" s="243"/>
      <c r="U81" s="243"/>
      <c r="V81" s="243"/>
      <c r="W81" s="243"/>
      <c r="X81" s="2456" t="s">
        <v>2436</v>
      </c>
      <c r="Y81" s="244" t="s">
        <v>2437</v>
      </c>
      <c r="Z81" s="248" t="s">
        <v>398</v>
      </c>
      <c r="AA81" s="252" t="s">
        <v>398</v>
      </c>
      <c r="AB81" s="245">
        <v>29</v>
      </c>
      <c r="AC81" s="245">
        <v>1</v>
      </c>
      <c r="AD81" s="245" t="s">
        <v>2394</v>
      </c>
      <c r="AE81" s="2457" t="s">
        <v>1533</v>
      </c>
      <c r="AF81" s="294">
        <v>1</v>
      </c>
      <c r="AG81" s="245">
        <v>0</v>
      </c>
      <c r="AH81" s="245" t="s">
        <v>398</v>
      </c>
      <c r="AI81" s="251" t="s">
        <v>398</v>
      </c>
      <c r="AJ81" s="252" t="s">
        <v>398</v>
      </c>
      <c r="AK81" s="254" t="s">
        <v>2438</v>
      </c>
      <c r="AL81" s="248" t="s">
        <v>398</v>
      </c>
      <c r="AM81" s="248" t="s">
        <v>398</v>
      </c>
      <c r="AN81" s="248" t="s">
        <v>398</v>
      </c>
      <c r="AO81" s="248" t="s">
        <v>398</v>
      </c>
      <c r="AP81" s="248" t="s">
        <v>398</v>
      </c>
      <c r="AQ81" s="283"/>
      <c r="AR81" s="283"/>
      <c r="AS81" s="283"/>
      <c r="AT81" s="283"/>
      <c r="AU81" s="283"/>
      <c r="AV81" s="283"/>
      <c r="AW81" s="283"/>
      <c r="AX81" s="283"/>
    </row>
    <row r="82" spans="1:50" s="51" customFormat="1" ht="28.5" customHeight="1" outlineLevel="1">
      <c r="A82" s="241"/>
      <c r="B82" s="240"/>
      <c r="C82" s="240"/>
      <c r="D82" s="240"/>
      <c r="E82" s="240"/>
      <c r="F82" s="240"/>
      <c r="G82" s="242" t="s">
        <v>325</v>
      </c>
      <c r="H82" s="242"/>
      <c r="I82" s="243" t="s">
        <v>261</v>
      </c>
      <c r="J82" s="243"/>
      <c r="K82" s="243"/>
      <c r="L82" s="243"/>
      <c r="M82" s="243"/>
      <c r="N82" s="243"/>
      <c r="O82" s="243"/>
      <c r="P82" s="243"/>
      <c r="Q82" s="243"/>
      <c r="R82" s="243"/>
      <c r="S82" s="243"/>
      <c r="T82" s="243"/>
      <c r="U82" s="243"/>
      <c r="V82" s="243"/>
      <c r="W82" s="243"/>
      <c r="X82" s="2458" t="s">
        <v>2439</v>
      </c>
      <c r="Y82" s="244" t="s">
        <v>2440</v>
      </c>
      <c r="Z82" s="248" t="s">
        <v>398</v>
      </c>
      <c r="AA82" s="252" t="s">
        <v>398</v>
      </c>
      <c r="AB82" s="245">
        <v>30</v>
      </c>
      <c r="AC82" s="245">
        <v>1</v>
      </c>
      <c r="AD82" s="245" t="s">
        <v>2394</v>
      </c>
      <c r="AE82" s="2459" t="s">
        <v>1533</v>
      </c>
      <c r="AF82" s="294">
        <v>1</v>
      </c>
      <c r="AG82" s="245">
        <v>0</v>
      </c>
      <c r="AH82" s="245" t="s">
        <v>398</v>
      </c>
      <c r="AI82" s="251" t="s">
        <v>398</v>
      </c>
      <c r="AJ82" s="252" t="s">
        <v>398</v>
      </c>
      <c r="AK82" s="254" t="s">
        <v>2441</v>
      </c>
      <c r="AL82" s="248" t="s">
        <v>398</v>
      </c>
      <c r="AM82" s="248" t="s">
        <v>398</v>
      </c>
      <c r="AN82" s="248" t="s">
        <v>398</v>
      </c>
      <c r="AO82" s="248" t="s">
        <v>398</v>
      </c>
      <c r="AP82" s="248" t="s">
        <v>398</v>
      </c>
      <c r="AQ82" s="283"/>
      <c r="AR82" s="283"/>
      <c r="AS82" s="283"/>
      <c r="AT82" s="283"/>
      <c r="AU82" s="283"/>
      <c r="AV82" s="283"/>
      <c r="AW82" s="283"/>
      <c r="AX82" s="283"/>
    </row>
    <row r="83" spans="1:50" s="51" customFormat="1" ht="28.5" customHeight="1" outlineLevel="1">
      <c r="A83" s="241"/>
      <c r="B83" s="240"/>
      <c r="C83" s="240"/>
      <c r="D83" s="240"/>
      <c r="E83" s="240"/>
      <c r="F83" s="240"/>
      <c r="G83" s="256" t="s">
        <v>325</v>
      </c>
      <c r="H83" s="242"/>
      <c r="I83" s="257" t="s">
        <v>261</v>
      </c>
      <c r="J83" s="243"/>
      <c r="K83" s="243"/>
      <c r="L83" s="243"/>
      <c r="M83" s="243"/>
      <c r="N83" s="243"/>
      <c r="O83" s="243"/>
      <c r="P83" s="243"/>
      <c r="Q83" s="243"/>
      <c r="R83" s="243"/>
      <c r="S83" s="243"/>
      <c r="T83" s="243"/>
      <c r="U83" s="243"/>
      <c r="V83" s="243"/>
      <c r="W83" s="243"/>
      <c r="X83" s="2460" t="s">
        <v>2442</v>
      </c>
      <c r="Y83" s="258" t="s">
        <v>2443</v>
      </c>
      <c r="Z83" s="259" t="s">
        <v>398</v>
      </c>
      <c r="AA83" s="260" t="s">
        <v>398</v>
      </c>
      <c r="AB83" s="261">
        <v>31</v>
      </c>
      <c r="AC83" s="261">
        <v>1</v>
      </c>
      <c r="AD83" s="261" t="s">
        <v>2394</v>
      </c>
      <c r="AE83" s="2461" t="s">
        <v>1533</v>
      </c>
      <c r="AF83" s="295">
        <v>1</v>
      </c>
      <c r="AG83" s="261">
        <v>0</v>
      </c>
      <c r="AH83" s="261" t="s">
        <v>398</v>
      </c>
      <c r="AI83" s="262" t="s">
        <v>398</v>
      </c>
      <c r="AJ83" s="260" t="s">
        <v>398</v>
      </c>
      <c r="AK83" s="263" t="s">
        <v>2444</v>
      </c>
      <c r="AL83" s="259" t="s">
        <v>398</v>
      </c>
      <c r="AM83" s="259" t="s">
        <v>398</v>
      </c>
      <c r="AN83" s="259" t="s">
        <v>398</v>
      </c>
      <c r="AO83" s="259" t="s">
        <v>398</v>
      </c>
      <c r="AP83" s="259" t="s">
        <v>398</v>
      </c>
      <c r="AQ83" s="283"/>
      <c r="AR83" s="283"/>
      <c r="AS83" s="283"/>
      <c r="AT83" s="283"/>
      <c r="AU83" s="283"/>
      <c r="AV83" s="283"/>
      <c r="AW83" s="283"/>
      <c r="AX83" s="283"/>
    </row>
    <row r="84" spans="1:50" s="51" customFormat="1" ht="42.75" customHeight="1" outlineLevel="1">
      <c r="A84" s="241"/>
      <c r="B84" s="240"/>
      <c r="C84" s="240"/>
      <c r="D84" s="240"/>
      <c r="E84" s="240"/>
      <c r="F84" s="240"/>
      <c r="G84" s="242" t="s">
        <v>325</v>
      </c>
      <c r="H84" s="242"/>
      <c r="I84" s="243" t="s">
        <v>261</v>
      </c>
      <c r="J84" s="243"/>
      <c r="K84" s="243"/>
      <c r="L84" s="243"/>
      <c r="M84" s="243"/>
      <c r="N84" s="243"/>
      <c r="O84" s="243"/>
      <c r="P84" s="243"/>
      <c r="Q84" s="243"/>
      <c r="R84" s="243"/>
      <c r="S84" s="243"/>
      <c r="T84" s="243"/>
      <c r="U84" s="243"/>
      <c r="V84" s="243"/>
      <c r="W84" s="243"/>
      <c r="X84" s="2462" t="s">
        <v>2445</v>
      </c>
      <c r="Y84" s="244" t="s">
        <v>2446</v>
      </c>
      <c r="Z84" s="248" t="s">
        <v>398</v>
      </c>
      <c r="AA84" s="252" t="s">
        <v>398</v>
      </c>
      <c r="AB84" s="245">
        <v>32</v>
      </c>
      <c r="AC84" s="245">
        <v>1</v>
      </c>
      <c r="AD84" s="245" t="s">
        <v>2394</v>
      </c>
      <c r="AE84" s="2463" t="s">
        <v>1533</v>
      </c>
      <c r="AF84" s="294">
        <v>1</v>
      </c>
      <c r="AG84" s="245">
        <v>0</v>
      </c>
      <c r="AH84" s="245" t="s">
        <v>398</v>
      </c>
      <c r="AI84" s="251" t="s">
        <v>398</v>
      </c>
      <c r="AJ84" s="252" t="s">
        <v>398</v>
      </c>
      <c r="AK84" s="254" t="s">
        <v>2447</v>
      </c>
      <c r="AL84" s="248" t="s">
        <v>398</v>
      </c>
      <c r="AM84" s="248" t="s">
        <v>398</v>
      </c>
      <c r="AN84" s="248" t="s">
        <v>398</v>
      </c>
      <c r="AO84" s="248" t="s">
        <v>398</v>
      </c>
      <c r="AP84" s="248" t="s">
        <v>398</v>
      </c>
      <c r="AQ84" s="283"/>
      <c r="AR84" s="283"/>
      <c r="AS84" s="283"/>
      <c r="AT84" s="283"/>
      <c r="AU84" s="283"/>
      <c r="AV84" s="283"/>
      <c r="AW84" s="283"/>
      <c r="AX84" s="283"/>
    </row>
    <row r="85" spans="1:50" s="51" customFormat="1" ht="42.75" customHeight="1" outlineLevel="1">
      <c r="A85" s="241"/>
      <c r="B85" s="240"/>
      <c r="C85" s="240"/>
      <c r="D85" s="240"/>
      <c r="E85" s="240"/>
      <c r="F85" s="240"/>
      <c r="G85" s="242" t="s">
        <v>325</v>
      </c>
      <c r="H85" s="242"/>
      <c r="I85" s="243" t="s">
        <v>261</v>
      </c>
      <c r="J85" s="243"/>
      <c r="K85" s="243"/>
      <c r="L85" s="243"/>
      <c r="M85" s="243"/>
      <c r="N85" s="243"/>
      <c r="O85" s="243"/>
      <c r="P85" s="243"/>
      <c r="Q85" s="243"/>
      <c r="R85" s="243"/>
      <c r="S85" s="243"/>
      <c r="T85" s="243"/>
      <c r="U85" s="243"/>
      <c r="V85" s="243"/>
      <c r="W85" s="243"/>
      <c r="X85" s="2464" t="s">
        <v>2448</v>
      </c>
      <c r="Y85" s="244" t="s">
        <v>2449</v>
      </c>
      <c r="Z85" s="248" t="s">
        <v>398</v>
      </c>
      <c r="AA85" s="252" t="s">
        <v>398</v>
      </c>
      <c r="AB85" s="245">
        <v>33</v>
      </c>
      <c r="AC85" s="245">
        <v>1</v>
      </c>
      <c r="AD85" s="245" t="s">
        <v>2394</v>
      </c>
      <c r="AE85" s="2465" t="s">
        <v>1533</v>
      </c>
      <c r="AF85" s="294">
        <v>1</v>
      </c>
      <c r="AG85" s="245">
        <v>0</v>
      </c>
      <c r="AH85" s="245" t="s">
        <v>398</v>
      </c>
      <c r="AI85" s="251" t="s">
        <v>398</v>
      </c>
      <c r="AJ85" s="252" t="s">
        <v>398</v>
      </c>
      <c r="AK85" s="254" t="s">
        <v>2450</v>
      </c>
      <c r="AL85" s="248" t="s">
        <v>398</v>
      </c>
      <c r="AM85" s="248" t="s">
        <v>398</v>
      </c>
      <c r="AN85" s="248" t="s">
        <v>398</v>
      </c>
      <c r="AO85" s="248" t="s">
        <v>398</v>
      </c>
      <c r="AP85" s="248" t="s">
        <v>398</v>
      </c>
      <c r="AQ85" s="283"/>
      <c r="AR85" s="283"/>
      <c r="AS85" s="283"/>
      <c r="AT85" s="283"/>
      <c r="AU85" s="283"/>
      <c r="AV85" s="283"/>
      <c r="AW85" s="283"/>
      <c r="AX85" s="283"/>
    </row>
    <row r="86" spans="1:50" s="51" customFormat="1" ht="28.5" customHeight="1" outlineLevel="1">
      <c r="A86" s="241"/>
      <c r="B86" s="240"/>
      <c r="C86" s="240"/>
      <c r="D86" s="240"/>
      <c r="E86" s="240"/>
      <c r="F86" s="240"/>
      <c r="G86" s="242" t="s">
        <v>325</v>
      </c>
      <c r="H86" s="242"/>
      <c r="I86" s="243" t="s">
        <v>261</v>
      </c>
      <c r="J86" s="243"/>
      <c r="K86" s="243"/>
      <c r="L86" s="243"/>
      <c r="M86" s="243"/>
      <c r="N86" s="243"/>
      <c r="O86" s="243"/>
      <c r="P86" s="243"/>
      <c r="Q86" s="243"/>
      <c r="R86" s="243"/>
      <c r="S86" s="243"/>
      <c r="T86" s="243"/>
      <c r="U86" s="243"/>
      <c r="V86" s="243"/>
      <c r="W86" s="243"/>
      <c r="X86" s="2466" t="s">
        <v>2451</v>
      </c>
      <c r="Y86" s="244" t="s">
        <v>2452</v>
      </c>
      <c r="Z86" s="248" t="s">
        <v>398</v>
      </c>
      <c r="AA86" s="252" t="s">
        <v>398</v>
      </c>
      <c r="AB86" s="245">
        <v>34</v>
      </c>
      <c r="AC86" s="245">
        <v>1</v>
      </c>
      <c r="AD86" s="245" t="s">
        <v>2394</v>
      </c>
      <c r="AE86" s="2467" t="s">
        <v>1533</v>
      </c>
      <c r="AF86" s="294">
        <v>1</v>
      </c>
      <c r="AG86" s="245">
        <v>0</v>
      </c>
      <c r="AH86" s="245" t="s">
        <v>398</v>
      </c>
      <c r="AI86" s="251" t="s">
        <v>398</v>
      </c>
      <c r="AJ86" s="252" t="s">
        <v>398</v>
      </c>
      <c r="AK86" s="254" t="s">
        <v>2453</v>
      </c>
      <c r="AL86" s="248" t="s">
        <v>398</v>
      </c>
      <c r="AM86" s="248" t="s">
        <v>398</v>
      </c>
      <c r="AN86" s="248" t="s">
        <v>398</v>
      </c>
      <c r="AO86" s="248" t="s">
        <v>398</v>
      </c>
      <c r="AP86" s="248" t="s">
        <v>398</v>
      </c>
      <c r="AQ86" s="283"/>
      <c r="AR86" s="283"/>
      <c r="AS86" s="283"/>
      <c r="AT86" s="283"/>
      <c r="AU86" s="283"/>
      <c r="AV86" s="283"/>
      <c r="AW86" s="283"/>
      <c r="AX86" s="283"/>
    </row>
    <row r="87" spans="1:50" s="51" customFormat="1" ht="42.75" customHeight="1" outlineLevel="1">
      <c r="A87" s="241"/>
      <c r="B87" s="240"/>
      <c r="C87" s="240"/>
      <c r="D87" s="240"/>
      <c r="E87" s="240"/>
      <c r="F87" s="240"/>
      <c r="G87" s="242" t="s">
        <v>325</v>
      </c>
      <c r="H87" s="242"/>
      <c r="I87" s="243" t="s">
        <v>261</v>
      </c>
      <c r="J87" s="243"/>
      <c r="K87" s="243"/>
      <c r="L87" s="243"/>
      <c r="M87" s="243"/>
      <c r="N87" s="243"/>
      <c r="O87" s="243"/>
      <c r="P87" s="243"/>
      <c r="Q87" s="243"/>
      <c r="R87" s="243"/>
      <c r="S87" s="243"/>
      <c r="T87" s="243"/>
      <c r="U87" s="243"/>
      <c r="V87" s="243"/>
      <c r="W87" s="243"/>
      <c r="X87" s="2468" t="s">
        <v>2454</v>
      </c>
      <c r="Y87" s="244" t="s">
        <v>2455</v>
      </c>
      <c r="Z87" s="248" t="s">
        <v>398</v>
      </c>
      <c r="AA87" s="252" t="s">
        <v>398</v>
      </c>
      <c r="AB87" s="245">
        <v>35</v>
      </c>
      <c r="AC87" s="245">
        <v>1</v>
      </c>
      <c r="AD87" s="245" t="s">
        <v>2394</v>
      </c>
      <c r="AE87" s="2469" t="s">
        <v>1533</v>
      </c>
      <c r="AF87" s="294">
        <v>1</v>
      </c>
      <c r="AG87" s="245">
        <v>0</v>
      </c>
      <c r="AH87" s="245" t="s">
        <v>398</v>
      </c>
      <c r="AI87" s="251" t="s">
        <v>398</v>
      </c>
      <c r="AJ87" s="252" t="s">
        <v>398</v>
      </c>
      <c r="AK87" s="254" t="s">
        <v>2456</v>
      </c>
      <c r="AL87" s="248" t="s">
        <v>398</v>
      </c>
      <c r="AM87" s="248" t="s">
        <v>398</v>
      </c>
      <c r="AN87" s="248" t="s">
        <v>398</v>
      </c>
      <c r="AO87" s="248" t="s">
        <v>398</v>
      </c>
      <c r="AP87" s="248" t="s">
        <v>398</v>
      </c>
      <c r="AQ87" s="283"/>
      <c r="AR87" s="283"/>
      <c r="AS87" s="283"/>
      <c r="AT87" s="283"/>
      <c r="AU87" s="283"/>
      <c r="AV87" s="283"/>
      <c r="AW87" s="283"/>
      <c r="AX87" s="283"/>
    </row>
    <row r="88" spans="1:50" s="51" customFormat="1" ht="42.75" customHeight="1" outlineLevel="1">
      <c r="A88" s="241"/>
      <c r="B88" s="240"/>
      <c r="C88" s="240"/>
      <c r="D88" s="240"/>
      <c r="E88" s="240"/>
      <c r="F88" s="240"/>
      <c r="G88" s="242" t="s">
        <v>325</v>
      </c>
      <c r="H88" s="242"/>
      <c r="I88" s="243" t="s">
        <v>261</v>
      </c>
      <c r="J88" s="243"/>
      <c r="K88" s="243"/>
      <c r="L88" s="243"/>
      <c r="M88" s="243"/>
      <c r="N88" s="243"/>
      <c r="O88" s="243"/>
      <c r="P88" s="243"/>
      <c r="Q88" s="243"/>
      <c r="R88" s="243"/>
      <c r="S88" s="243"/>
      <c r="T88" s="243"/>
      <c r="U88" s="243"/>
      <c r="V88" s="243"/>
      <c r="W88" s="243"/>
      <c r="X88" s="2470" t="s">
        <v>2457</v>
      </c>
      <c r="Y88" s="244" t="s">
        <v>2458</v>
      </c>
      <c r="Z88" s="248" t="s">
        <v>398</v>
      </c>
      <c r="AA88" s="252" t="s">
        <v>398</v>
      </c>
      <c r="AB88" s="245">
        <v>36</v>
      </c>
      <c r="AC88" s="245">
        <v>1</v>
      </c>
      <c r="AD88" s="245" t="s">
        <v>2394</v>
      </c>
      <c r="AE88" s="2471" t="s">
        <v>1533</v>
      </c>
      <c r="AF88" s="294">
        <v>1</v>
      </c>
      <c r="AG88" s="245">
        <v>0</v>
      </c>
      <c r="AH88" s="245" t="s">
        <v>398</v>
      </c>
      <c r="AI88" s="251" t="s">
        <v>398</v>
      </c>
      <c r="AJ88" s="252" t="s">
        <v>398</v>
      </c>
      <c r="AK88" s="254" t="s">
        <v>2459</v>
      </c>
      <c r="AL88" s="248" t="s">
        <v>398</v>
      </c>
      <c r="AM88" s="248" t="s">
        <v>398</v>
      </c>
      <c r="AN88" s="248" t="s">
        <v>398</v>
      </c>
      <c r="AO88" s="248" t="s">
        <v>398</v>
      </c>
      <c r="AP88" s="248" t="s">
        <v>398</v>
      </c>
      <c r="AQ88" s="283"/>
      <c r="AR88" s="283"/>
      <c r="AS88" s="283"/>
      <c r="AT88" s="283"/>
      <c r="AU88" s="283"/>
      <c r="AV88" s="283"/>
      <c r="AW88" s="283"/>
      <c r="AX88" s="283"/>
    </row>
    <row r="89" spans="1:50" s="51" customFormat="1" ht="42.75" customHeight="1" outlineLevel="1">
      <c r="A89" s="241"/>
      <c r="B89" s="240"/>
      <c r="C89" s="240"/>
      <c r="D89" s="240"/>
      <c r="E89" s="240"/>
      <c r="F89" s="240"/>
      <c r="G89" s="242" t="s">
        <v>325</v>
      </c>
      <c r="H89" s="242"/>
      <c r="I89" s="243" t="s">
        <v>261</v>
      </c>
      <c r="J89" s="243"/>
      <c r="K89" s="243"/>
      <c r="L89" s="243"/>
      <c r="M89" s="243"/>
      <c r="N89" s="243"/>
      <c r="O89" s="243"/>
      <c r="P89" s="243"/>
      <c r="Q89" s="243"/>
      <c r="R89" s="243"/>
      <c r="S89" s="243"/>
      <c r="T89" s="243"/>
      <c r="U89" s="243"/>
      <c r="V89" s="243"/>
      <c r="W89" s="243"/>
      <c r="X89" s="2472" t="s">
        <v>2460</v>
      </c>
      <c r="Y89" s="244" t="s">
        <v>2461</v>
      </c>
      <c r="Z89" s="248" t="s">
        <v>398</v>
      </c>
      <c r="AA89" s="252" t="s">
        <v>398</v>
      </c>
      <c r="AB89" s="245">
        <v>37</v>
      </c>
      <c r="AC89" s="245">
        <v>1</v>
      </c>
      <c r="AD89" s="245" t="s">
        <v>2394</v>
      </c>
      <c r="AE89" s="2473" t="s">
        <v>1533</v>
      </c>
      <c r="AF89" s="294">
        <v>1</v>
      </c>
      <c r="AG89" s="245">
        <v>0</v>
      </c>
      <c r="AH89" s="245" t="s">
        <v>398</v>
      </c>
      <c r="AI89" s="251" t="s">
        <v>398</v>
      </c>
      <c r="AJ89" s="252" t="s">
        <v>398</v>
      </c>
      <c r="AK89" s="254" t="s">
        <v>2462</v>
      </c>
      <c r="AL89" s="248" t="s">
        <v>398</v>
      </c>
      <c r="AM89" s="248" t="s">
        <v>398</v>
      </c>
      <c r="AN89" s="248" t="s">
        <v>398</v>
      </c>
      <c r="AO89" s="248" t="s">
        <v>398</v>
      </c>
      <c r="AP89" s="248" t="s">
        <v>398</v>
      </c>
      <c r="AQ89" s="283"/>
      <c r="AR89" s="283"/>
      <c r="AS89" s="283"/>
      <c r="AT89" s="283"/>
      <c r="AU89" s="283"/>
      <c r="AV89" s="283"/>
      <c r="AW89" s="283"/>
      <c r="AX89" s="283"/>
    </row>
    <row r="90" spans="1:50" s="51" customFormat="1" ht="28.5" customHeight="1" outlineLevel="1">
      <c r="A90" s="241"/>
      <c r="B90" s="240"/>
      <c r="C90" s="240"/>
      <c r="D90" s="240"/>
      <c r="E90" s="240"/>
      <c r="F90" s="240"/>
      <c r="G90" s="242" t="s">
        <v>325</v>
      </c>
      <c r="H90" s="242"/>
      <c r="I90" s="243" t="s">
        <v>261</v>
      </c>
      <c r="J90" s="243"/>
      <c r="K90" s="243"/>
      <c r="L90" s="243"/>
      <c r="M90" s="243"/>
      <c r="N90" s="243"/>
      <c r="O90" s="243"/>
      <c r="P90" s="243"/>
      <c r="Q90" s="243"/>
      <c r="R90" s="243"/>
      <c r="S90" s="243"/>
      <c r="T90" s="243"/>
      <c r="U90" s="243"/>
      <c r="V90" s="243"/>
      <c r="W90" s="243"/>
      <c r="X90" s="2474" t="s">
        <v>2463</v>
      </c>
      <c r="Y90" s="244" t="s">
        <v>2464</v>
      </c>
      <c r="Z90" s="248" t="s">
        <v>398</v>
      </c>
      <c r="AA90" s="252" t="s">
        <v>398</v>
      </c>
      <c r="AB90" s="245">
        <v>38</v>
      </c>
      <c r="AC90" s="245">
        <v>1</v>
      </c>
      <c r="AD90" s="245" t="s">
        <v>2394</v>
      </c>
      <c r="AE90" s="2475" t="s">
        <v>1533</v>
      </c>
      <c r="AF90" s="294">
        <v>1</v>
      </c>
      <c r="AG90" s="245">
        <v>0</v>
      </c>
      <c r="AH90" s="245" t="s">
        <v>398</v>
      </c>
      <c r="AI90" s="251" t="s">
        <v>398</v>
      </c>
      <c r="AJ90" s="252" t="s">
        <v>398</v>
      </c>
      <c r="AK90" s="254" t="s">
        <v>2465</v>
      </c>
      <c r="AL90" s="248" t="s">
        <v>398</v>
      </c>
      <c r="AM90" s="248" t="s">
        <v>398</v>
      </c>
      <c r="AN90" s="248" t="s">
        <v>398</v>
      </c>
      <c r="AO90" s="248" t="s">
        <v>398</v>
      </c>
      <c r="AP90" s="248" t="s">
        <v>398</v>
      </c>
      <c r="AQ90" s="283"/>
      <c r="AR90" s="283"/>
      <c r="AS90" s="283"/>
      <c r="AT90" s="283"/>
      <c r="AU90" s="283"/>
      <c r="AV90" s="283"/>
      <c r="AW90" s="283"/>
      <c r="AX90" s="283"/>
    </row>
    <row r="91" spans="1:50" s="51" customFormat="1" ht="28.5" customHeight="1" outlineLevel="1">
      <c r="A91" s="241"/>
      <c r="B91" s="240"/>
      <c r="C91" s="240"/>
      <c r="D91" s="240"/>
      <c r="E91" s="240"/>
      <c r="F91" s="240"/>
      <c r="G91" s="242" t="s">
        <v>325</v>
      </c>
      <c r="H91" s="242"/>
      <c r="I91" s="243" t="s">
        <v>261</v>
      </c>
      <c r="J91" s="243"/>
      <c r="K91" s="243"/>
      <c r="L91" s="243"/>
      <c r="M91" s="243"/>
      <c r="N91" s="243"/>
      <c r="O91" s="243"/>
      <c r="P91" s="243"/>
      <c r="Q91" s="243"/>
      <c r="R91" s="243"/>
      <c r="S91" s="243"/>
      <c r="T91" s="243"/>
      <c r="U91" s="243"/>
      <c r="V91" s="243"/>
      <c r="W91" s="243"/>
      <c r="X91" s="2476" t="s">
        <v>2466</v>
      </c>
      <c r="Y91" s="244" t="s">
        <v>2467</v>
      </c>
      <c r="Z91" s="248" t="s">
        <v>398</v>
      </c>
      <c r="AA91" s="252" t="s">
        <v>398</v>
      </c>
      <c r="AB91" s="245">
        <v>39</v>
      </c>
      <c r="AC91" s="245">
        <v>1</v>
      </c>
      <c r="AD91" s="245" t="s">
        <v>2394</v>
      </c>
      <c r="AE91" s="2477" t="s">
        <v>1533</v>
      </c>
      <c r="AF91" s="294">
        <v>1</v>
      </c>
      <c r="AG91" s="245">
        <v>0</v>
      </c>
      <c r="AH91" s="245" t="s">
        <v>398</v>
      </c>
      <c r="AI91" s="251" t="s">
        <v>398</v>
      </c>
      <c r="AJ91" s="252" t="s">
        <v>398</v>
      </c>
      <c r="AK91" s="254" t="s">
        <v>2468</v>
      </c>
      <c r="AL91" s="248" t="s">
        <v>398</v>
      </c>
      <c r="AM91" s="248" t="s">
        <v>398</v>
      </c>
      <c r="AN91" s="248" t="s">
        <v>398</v>
      </c>
      <c r="AO91" s="248" t="s">
        <v>398</v>
      </c>
      <c r="AP91" s="248" t="s">
        <v>398</v>
      </c>
      <c r="AQ91" s="283"/>
      <c r="AR91" s="283"/>
      <c r="AS91" s="283"/>
      <c r="AT91" s="283"/>
      <c r="AU91" s="283"/>
      <c r="AV91" s="283"/>
      <c r="AW91" s="283"/>
      <c r="AX91" s="283"/>
    </row>
    <row r="92" spans="1:50" s="51" customFormat="1" ht="42.75" customHeight="1" outlineLevel="1">
      <c r="A92" s="241"/>
      <c r="B92" s="240"/>
      <c r="C92" s="240"/>
      <c r="D92" s="240"/>
      <c r="E92" s="240"/>
      <c r="F92" s="240"/>
      <c r="G92" s="242" t="s">
        <v>325</v>
      </c>
      <c r="H92" s="242"/>
      <c r="I92" s="243" t="s">
        <v>261</v>
      </c>
      <c r="J92" s="243"/>
      <c r="K92" s="243"/>
      <c r="L92" s="243"/>
      <c r="M92" s="243"/>
      <c r="N92" s="243"/>
      <c r="O92" s="243"/>
      <c r="P92" s="243"/>
      <c r="Q92" s="243"/>
      <c r="R92" s="243"/>
      <c r="S92" s="243"/>
      <c r="T92" s="243"/>
      <c r="U92" s="243"/>
      <c r="V92" s="243"/>
      <c r="W92" s="243"/>
      <c r="X92" s="2478" t="s">
        <v>2469</v>
      </c>
      <c r="Y92" s="244" t="s">
        <v>2470</v>
      </c>
      <c r="Z92" s="248" t="s">
        <v>398</v>
      </c>
      <c r="AA92" s="252" t="s">
        <v>398</v>
      </c>
      <c r="AB92" s="245">
        <v>40</v>
      </c>
      <c r="AC92" s="245">
        <v>1</v>
      </c>
      <c r="AD92" s="245" t="s">
        <v>2394</v>
      </c>
      <c r="AE92" s="2479" t="s">
        <v>1533</v>
      </c>
      <c r="AF92" s="294">
        <v>1</v>
      </c>
      <c r="AG92" s="245">
        <v>0</v>
      </c>
      <c r="AH92" s="245" t="s">
        <v>398</v>
      </c>
      <c r="AI92" s="251" t="s">
        <v>398</v>
      </c>
      <c r="AJ92" s="252" t="s">
        <v>398</v>
      </c>
      <c r="AK92" s="254" t="s">
        <v>2471</v>
      </c>
      <c r="AL92" s="248" t="s">
        <v>398</v>
      </c>
      <c r="AM92" s="248" t="s">
        <v>398</v>
      </c>
      <c r="AN92" s="248" t="s">
        <v>398</v>
      </c>
      <c r="AO92" s="248" t="s">
        <v>398</v>
      </c>
      <c r="AP92" s="248" t="s">
        <v>398</v>
      </c>
      <c r="AQ92" s="283"/>
      <c r="AR92" s="283"/>
      <c r="AS92" s="283"/>
      <c r="AT92" s="283"/>
      <c r="AU92" s="283"/>
      <c r="AV92" s="283"/>
      <c r="AW92" s="283"/>
      <c r="AX92" s="283"/>
    </row>
    <row r="93" spans="1:50" s="51" customFormat="1" ht="28.5" customHeight="1" outlineLevel="1">
      <c r="A93" s="241"/>
      <c r="B93" s="240"/>
      <c r="C93" s="240"/>
      <c r="D93" s="240"/>
      <c r="E93" s="240"/>
      <c r="F93" s="240"/>
      <c r="G93" s="242" t="s">
        <v>325</v>
      </c>
      <c r="H93" s="242"/>
      <c r="I93" s="243" t="s">
        <v>261</v>
      </c>
      <c r="J93" s="243"/>
      <c r="K93" s="243"/>
      <c r="L93" s="243"/>
      <c r="M93" s="243"/>
      <c r="N93" s="243"/>
      <c r="O93" s="243"/>
      <c r="P93" s="243"/>
      <c r="Q93" s="243"/>
      <c r="R93" s="243"/>
      <c r="S93" s="243"/>
      <c r="T93" s="243"/>
      <c r="U93" s="243"/>
      <c r="V93" s="243"/>
      <c r="W93" s="243"/>
      <c r="X93" s="2480" t="s">
        <v>2472</v>
      </c>
      <c r="Y93" s="244" t="s">
        <v>2473</v>
      </c>
      <c r="Z93" s="248" t="s">
        <v>398</v>
      </c>
      <c r="AA93" s="252" t="s">
        <v>398</v>
      </c>
      <c r="AB93" s="245">
        <v>41</v>
      </c>
      <c r="AC93" s="245">
        <v>1</v>
      </c>
      <c r="AD93" s="245" t="s">
        <v>2394</v>
      </c>
      <c r="AE93" s="2481" t="s">
        <v>1533</v>
      </c>
      <c r="AF93" s="294">
        <v>1</v>
      </c>
      <c r="AG93" s="245">
        <v>0</v>
      </c>
      <c r="AH93" s="245" t="s">
        <v>398</v>
      </c>
      <c r="AI93" s="251" t="s">
        <v>398</v>
      </c>
      <c r="AJ93" s="252" t="s">
        <v>398</v>
      </c>
      <c r="AK93" s="254" t="s">
        <v>2474</v>
      </c>
      <c r="AL93" s="248" t="s">
        <v>398</v>
      </c>
      <c r="AM93" s="248" t="s">
        <v>398</v>
      </c>
      <c r="AN93" s="248" t="s">
        <v>398</v>
      </c>
      <c r="AO93" s="248" t="s">
        <v>398</v>
      </c>
      <c r="AP93" s="248" t="s">
        <v>398</v>
      </c>
      <c r="AQ93" s="283"/>
      <c r="AR93" s="283"/>
      <c r="AS93" s="283"/>
      <c r="AT93" s="283"/>
      <c r="AU93" s="283"/>
      <c r="AV93" s="283"/>
      <c r="AW93" s="283"/>
      <c r="AX93" s="283"/>
    </row>
    <row r="94" spans="1:50" s="51" customFormat="1" ht="60" customHeight="1" outlineLevel="1">
      <c r="A94" s="241"/>
      <c r="B94" s="240"/>
      <c r="C94" s="240"/>
      <c r="D94" s="240"/>
      <c r="E94" s="240"/>
      <c r="F94" s="240"/>
      <c r="G94" s="242" t="s">
        <v>325</v>
      </c>
      <c r="H94" s="242"/>
      <c r="I94" s="243" t="s">
        <v>261</v>
      </c>
      <c r="J94" s="243"/>
      <c r="K94" s="243"/>
      <c r="L94" s="243"/>
      <c r="M94" s="243"/>
      <c r="N94" s="243"/>
      <c r="O94" s="243"/>
      <c r="P94" s="243"/>
      <c r="Q94" s="243"/>
      <c r="R94" s="243"/>
      <c r="S94" s="243"/>
      <c r="T94" s="243"/>
      <c r="U94" s="243"/>
      <c r="V94" s="243"/>
      <c r="W94" s="243"/>
      <c r="X94" s="2482" t="s">
        <v>2475</v>
      </c>
      <c r="Y94" s="244" t="s">
        <v>2476</v>
      </c>
      <c r="Z94" s="248" t="s">
        <v>398</v>
      </c>
      <c r="AA94" s="252" t="s">
        <v>398</v>
      </c>
      <c r="AB94" s="245">
        <v>42</v>
      </c>
      <c r="AC94" s="245">
        <v>1</v>
      </c>
      <c r="AD94" s="245" t="s">
        <v>2394</v>
      </c>
      <c r="AE94" s="2483" t="s">
        <v>1533</v>
      </c>
      <c r="AF94" s="294">
        <v>1</v>
      </c>
      <c r="AG94" s="245">
        <v>0</v>
      </c>
      <c r="AH94" s="245" t="s">
        <v>398</v>
      </c>
      <c r="AI94" s="251" t="s">
        <v>398</v>
      </c>
      <c r="AJ94" s="252" t="s">
        <v>398</v>
      </c>
      <c r="AK94" s="2484" t="s">
        <v>2477</v>
      </c>
      <c r="AL94" s="248" t="s">
        <v>398</v>
      </c>
      <c r="AM94" s="248" t="s">
        <v>398</v>
      </c>
      <c r="AN94" s="248" t="s">
        <v>398</v>
      </c>
      <c r="AO94" s="248" t="s">
        <v>398</v>
      </c>
      <c r="AP94" s="248" t="s">
        <v>398</v>
      </c>
      <c r="AQ94" s="283"/>
      <c r="AR94" s="283"/>
      <c r="AS94" s="283"/>
      <c r="AT94" s="283"/>
      <c r="AU94" s="283"/>
      <c r="AV94" s="283"/>
      <c r="AW94" s="283"/>
      <c r="AX94" s="283"/>
    </row>
    <row r="95" spans="1:50" s="51" customFormat="1" ht="42.75" customHeight="1" outlineLevel="1">
      <c r="A95" s="241"/>
      <c r="B95" s="240"/>
      <c r="C95" s="240"/>
      <c r="D95" s="240"/>
      <c r="E95" s="240"/>
      <c r="F95" s="240"/>
      <c r="G95" s="256" t="s">
        <v>325</v>
      </c>
      <c r="H95" s="242"/>
      <c r="I95" s="257" t="s">
        <v>261</v>
      </c>
      <c r="J95" s="243"/>
      <c r="K95" s="243"/>
      <c r="L95" s="243"/>
      <c r="M95" s="243"/>
      <c r="N95" s="243"/>
      <c r="O95" s="243"/>
      <c r="P95" s="243"/>
      <c r="Q95" s="243"/>
      <c r="R95" s="243"/>
      <c r="S95" s="243"/>
      <c r="T95" s="243"/>
      <c r="U95" s="243"/>
      <c r="V95" s="243"/>
      <c r="W95" s="243"/>
      <c r="X95" s="2485" t="s">
        <v>2478</v>
      </c>
      <c r="Y95" s="258" t="s">
        <v>2479</v>
      </c>
      <c r="Z95" s="259" t="s">
        <v>398</v>
      </c>
      <c r="AA95" s="260" t="s">
        <v>398</v>
      </c>
      <c r="AB95" s="261">
        <v>43</v>
      </c>
      <c r="AC95" s="261">
        <v>1</v>
      </c>
      <c r="AD95" s="261" t="s">
        <v>2394</v>
      </c>
      <c r="AE95" s="2486" t="s">
        <v>1533</v>
      </c>
      <c r="AF95" s="295">
        <v>1</v>
      </c>
      <c r="AG95" s="261">
        <v>0</v>
      </c>
      <c r="AH95" s="261" t="s">
        <v>398</v>
      </c>
      <c r="AI95" s="262" t="s">
        <v>398</v>
      </c>
      <c r="AJ95" s="260" t="s">
        <v>398</v>
      </c>
      <c r="AK95" s="263" t="s">
        <v>2480</v>
      </c>
      <c r="AL95" s="259" t="s">
        <v>398</v>
      </c>
      <c r="AM95" s="259" t="s">
        <v>398</v>
      </c>
      <c r="AN95" s="259" t="s">
        <v>398</v>
      </c>
      <c r="AO95" s="259" t="s">
        <v>398</v>
      </c>
      <c r="AP95" s="259" t="s">
        <v>398</v>
      </c>
      <c r="AQ95" s="283"/>
      <c r="AR95" s="283"/>
      <c r="AS95" s="283"/>
      <c r="AT95" s="283"/>
      <c r="AU95" s="283"/>
      <c r="AV95" s="283"/>
      <c r="AW95" s="283"/>
      <c r="AX95" s="283"/>
    </row>
    <row r="96" spans="1:50" s="51" customFormat="1" ht="28.5" customHeight="1" outlineLevel="1">
      <c r="A96" s="241"/>
      <c r="B96" s="240"/>
      <c r="C96" s="240"/>
      <c r="D96" s="240"/>
      <c r="E96" s="240"/>
      <c r="F96" s="240"/>
      <c r="G96" s="242" t="s">
        <v>325</v>
      </c>
      <c r="H96" s="242"/>
      <c r="I96" s="243" t="s">
        <v>261</v>
      </c>
      <c r="J96" s="243"/>
      <c r="K96" s="243"/>
      <c r="L96" s="243"/>
      <c r="M96" s="243"/>
      <c r="N96" s="243"/>
      <c r="O96" s="243"/>
      <c r="P96" s="243"/>
      <c r="Q96" s="243"/>
      <c r="R96" s="243"/>
      <c r="S96" s="243"/>
      <c r="T96" s="243"/>
      <c r="U96" s="243"/>
      <c r="V96" s="243"/>
      <c r="W96" s="243"/>
      <c r="X96" s="2487" t="s">
        <v>2481</v>
      </c>
      <c r="Y96" s="244" t="s">
        <v>2482</v>
      </c>
      <c r="Z96" s="248" t="s">
        <v>398</v>
      </c>
      <c r="AA96" s="252" t="s">
        <v>398</v>
      </c>
      <c r="AB96" s="245">
        <v>44</v>
      </c>
      <c r="AC96" s="245">
        <v>1</v>
      </c>
      <c r="AD96" s="245" t="s">
        <v>2394</v>
      </c>
      <c r="AE96" s="2488" t="s">
        <v>1533</v>
      </c>
      <c r="AF96" s="294">
        <v>1</v>
      </c>
      <c r="AG96" s="245">
        <v>0</v>
      </c>
      <c r="AH96" s="245" t="s">
        <v>398</v>
      </c>
      <c r="AI96" s="251" t="s">
        <v>398</v>
      </c>
      <c r="AJ96" s="252" t="s">
        <v>398</v>
      </c>
      <c r="AK96" s="254" t="s">
        <v>2483</v>
      </c>
      <c r="AL96" s="248" t="s">
        <v>398</v>
      </c>
      <c r="AM96" s="248" t="s">
        <v>398</v>
      </c>
      <c r="AN96" s="248" t="s">
        <v>398</v>
      </c>
      <c r="AO96" s="248" t="s">
        <v>398</v>
      </c>
      <c r="AP96" s="248" t="s">
        <v>398</v>
      </c>
      <c r="AQ96" s="283"/>
      <c r="AR96" s="283"/>
      <c r="AS96" s="283"/>
      <c r="AT96" s="283"/>
      <c r="AU96" s="283"/>
      <c r="AV96" s="283"/>
      <c r="AW96" s="283"/>
      <c r="AX96" s="283"/>
    </row>
    <row r="97" spans="1:50" s="51" customFormat="1" ht="28.5" customHeight="1" outlineLevel="1">
      <c r="A97" s="241"/>
      <c r="B97" s="240"/>
      <c r="C97" s="240"/>
      <c r="D97" s="240"/>
      <c r="E97" s="240"/>
      <c r="F97" s="240"/>
      <c r="G97" s="242" t="s">
        <v>325</v>
      </c>
      <c r="H97" s="242"/>
      <c r="I97" s="243" t="s">
        <v>261</v>
      </c>
      <c r="J97" s="243"/>
      <c r="K97" s="243"/>
      <c r="L97" s="243"/>
      <c r="M97" s="243"/>
      <c r="N97" s="243"/>
      <c r="O97" s="243"/>
      <c r="P97" s="243"/>
      <c r="Q97" s="243"/>
      <c r="R97" s="243"/>
      <c r="S97" s="243"/>
      <c r="T97" s="243"/>
      <c r="U97" s="243"/>
      <c r="V97" s="243"/>
      <c r="W97" s="243"/>
      <c r="X97" s="2489" t="s">
        <v>2484</v>
      </c>
      <c r="Y97" s="244" t="s">
        <v>2485</v>
      </c>
      <c r="Z97" s="248" t="s">
        <v>398</v>
      </c>
      <c r="AA97" s="252" t="s">
        <v>398</v>
      </c>
      <c r="AB97" s="245">
        <v>45</v>
      </c>
      <c r="AC97" s="245">
        <v>1</v>
      </c>
      <c r="AD97" s="245" t="s">
        <v>2394</v>
      </c>
      <c r="AE97" s="2490" t="s">
        <v>1533</v>
      </c>
      <c r="AF97" s="294">
        <v>1</v>
      </c>
      <c r="AG97" s="245">
        <v>0</v>
      </c>
      <c r="AH97" s="245" t="s">
        <v>398</v>
      </c>
      <c r="AI97" s="251" t="s">
        <v>398</v>
      </c>
      <c r="AJ97" s="252" t="s">
        <v>398</v>
      </c>
      <c r="AK97" s="254" t="s">
        <v>2486</v>
      </c>
      <c r="AL97" s="248" t="s">
        <v>398</v>
      </c>
      <c r="AM97" s="248" t="s">
        <v>398</v>
      </c>
      <c r="AN97" s="248" t="s">
        <v>398</v>
      </c>
      <c r="AO97" s="248" t="s">
        <v>398</v>
      </c>
      <c r="AP97" s="248" t="s">
        <v>398</v>
      </c>
      <c r="AQ97" s="283"/>
      <c r="AR97" s="283"/>
      <c r="AS97" s="283"/>
      <c r="AT97" s="283"/>
      <c r="AU97" s="283"/>
      <c r="AV97" s="283"/>
      <c r="AW97" s="283"/>
      <c r="AX97" s="283"/>
    </row>
    <row r="98" spans="1:50" s="51" customFormat="1" ht="42.75" customHeight="1" outlineLevel="1">
      <c r="A98" s="241"/>
      <c r="B98" s="240"/>
      <c r="C98" s="240"/>
      <c r="D98" s="240"/>
      <c r="E98" s="240"/>
      <c r="F98" s="240"/>
      <c r="G98" s="242" t="s">
        <v>325</v>
      </c>
      <c r="H98" s="242"/>
      <c r="I98" s="243" t="s">
        <v>261</v>
      </c>
      <c r="J98" s="243"/>
      <c r="K98" s="243"/>
      <c r="L98" s="243"/>
      <c r="M98" s="243"/>
      <c r="N98" s="243"/>
      <c r="O98" s="243"/>
      <c r="P98" s="243"/>
      <c r="Q98" s="243"/>
      <c r="R98" s="243"/>
      <c r="S98" s="243"/>
      <c r="T98" s="243"/>
      <c r="U98" s="243"/>
      <c r="V98" s="243"/>
      <c r="W98" s="243"/>
      <c r="X98" s="2491" t="s">
        <v>2487</v>
      </c>
      <c r="Y98" s="244" t="s">
        <v>2488</v>
      </c>
      <c r="Z98" s="248" t="s">
        <v>398</v>
      </c>
      <c r="AA98" s="252" t="s">
        <v>398</v>
      </c>
      <c r="AB98" s="245">
        <v>46</v>
      </c>
      <c r="AC98" s="245">
        <v>1</v>
      </c>
      <c r="AD98" s="245" t="s">
        <v>2394</v>
      </c>
      <c r="AE98" s="2492" t="s">
        <v>1533</v>
      </c>
      <c r="AF98" s="294">
        <v>1</v>
      </c>
      <c r="AG98" s="245">
        <v>0</v>
      </c>
      <c r="AH98" s="245" t="s">
        <v>398</v>
      </c>
      <c r="AI98" s="251" t="s">
        <v>398</v>
      </c>
      <c r="AJ98" s="252" t="s">
        <v>398</v>
      </c>
      <c r="AK98" s="254" t="s">
        <v>2489</v>
      </c>
      <c r="AL98" s="248" t="s">
        <v>398</v>
      </c>
      <c r="AM98" s="248" t="s">
        <v>398</v>
      </c>
      <c r="AN98" s="248" t="s">
        <v>398</v>
      </c>
      <c r="AO98" s="248" t="s">
        <v>398</v>
      </c>
      <c r="AP98" s="248" t="s">
        <v>398</v>
      </c>
      <c r="AQ98" s="283"/>
      <c r="AR98" s="283"/>
      <c r="AS98" s="283"/>
      <c r="AT98" s="283"/>
      <c r="AU98" s="283"/>
      <c r="AV98" s="283"/>
      <c r="AW98" s="283"/>
      <c r="AX98" s="283"/>
    </row>
    <row r="99" spans="1:50" s="51" customFormat="1" ht="42.75" customHeight="1" outlineLevel="1">
      <c r="A99" s="241"/>
      <c r="B99" s="240"/>
      <c r="C99" s="240"/>
      <c r="D99" s="240"/>
      <c r="E99" s="240"/>
      <c r="F99" s="240"/>
      <c r="G99" s="242" t="s">
        <v>325</v>
      </c>
      <c r="H99" s="242"/>
      <c r="I99" s="243" t="s">
        <v>261</v>
      </c>
      <c r="J99" s="243"/>
      <c r="K99" s="243"/>
      <c r="L99" s="243"/>
      <c r="M99" s="243"/>
      <c r="N99" s="243"/>
      <c r="O99" s="243"/>
      <c r="P99" s="243"/>
      <c r="Q99" s="243"/>
      <c r="R99" s="243"/>
      <c r="S99" s="243"/>
      <c r="T99" s="243"/>
      <c r="U99" s="243"/>
      <c r="V99" s="243"/>
      <c r="W99" s="243"/>
      <c r="X99" s="2493" t="s">
        <v>2490</v>
      </c>
      <c r="Y99" s="244" t="s">
        <v>2491</v>
      </c>
      <c r="Z99" s="248" t="s">
        <v>398</v>
      </c>
      <c r="AA99" s="252" t="s">
        <v>398</v>
      </c>
      <c r="AB99" s="245">
        <v>47</v>
      </c>
      <c r="AC99" s="245">
        <v>1</v>
      </c>
      <c r="AD99" s="245" t="s">
        <v>2394</v>
      </c>
      <c r="AE99" s="2494" t="s">
        <v>1533</v>
      </c>
      <c r="AF99" s="294">
        <v>1</v>
      </c>
      <c r="AG99" s="245">
        <v>0</v>
      </c>
      <c r="AH99" s="245" t="s">
        <v>398</v>
      </c>
      <c r="AI99" s="251" t="s">
        <v>398</v>
      </c>
      <c r="AJ99" s="252" t="s">
        <v>398</v>
      </c>
      <c r="AK99" s="254" t="s">
        <v>2492</v>
      </c>
      <c r="AL99" s="248" t="s">
        <v>398</v>
      </c>
      <c r="AM99" s="248" t="s">
        <v>398</v>
      </c>
      <c r="AN99" s="248" t="s">
        <v>398</v>
      </c>
      <c r="AO99" s="248" t="s">
        <v>398</v>
      </c>
      <c r="AP99" s="248" t="s">
        <v>398</v>
      </c>
      <c r="AQ99" s="283"/>
      <c r="AR99" s="283"/>
      <c r="AS99" s="283"/>
      <c r="AT99" s="283"/>
      <c r="AU99" s="283"/>
      <c r="AV99" s="283"/>
      <c r="AW99" s="283"/>
      <c r="AX99" s="283"/>
    </row>
    <row r="100" spans="1:50" s="51" customFormat="1" ht="28.5" customHeight="1" outlineLevel="1">
      <c r="A100" s="241"/>
      <c r="B100" s="240"/>
      <c r="C100" s="240"/>
      <c r="D100" s="240"/>
      <c r="E100" s="240"/>
      <c r="F100" s="240"/>
      <c r="G100" s="242" t="s">
        <v>325</v>
      </c>
      <c r="H100" s="242"/>
      <c r="I100" s="243" t="s">
        <v>261</v>
      </c>
      <c r="J100" s="243"/>
      <c r="K100" s="243"/>
      <c r="L100" s="243"/>
      <c r="M100" s="243"/>
      <c r="N100" s="243"/>
      <c r="O100" s="243"/>
      <c r="P100" s="243"/>
      <c r="Q100" s="243"/>
      <c r="R100" s="243"/>
      <c r="S100" s="243"/>
      <c r="T100" s="243"/>
      <c r="U100" s="243"/>
      <c r="V100" s="243"/>
      <c r="W100" s="243"/>
      <c r="X100" s="2495" t="s">
        <v>2493</v>
      </c>
      <c r="Y100" s="244" t="s">
        <v>2494</v>
      </c>
      <c r="Z100" s="248" t="s">
        <v>398</v>
      </c>
      <c r="AA100" s="252" t="s">
        <v>398</v>
      </c>
      <c r="AB100" s="245">
        <v>48</v>
      </c>
      <c r="AC100" s="245">
        <v>1</v>
      </c>
      <c r="AD100" s="245" t="s">
        <v>2394</v>
      </c>
      <c r="AE100" s="2496" t="s">
        <v>1533</v>
      </c>
      <c r="AF100" s="294">
        <v>1</v>
      </c>
      <c r="AG100" s="245">
        <v>0</v>
      </c>
      <c r="AH100" s="245" t="s">
        <v>398</v>
      </c>
      <c r="AI100" s="251" t="s">
        <v>398</v>
      </c>
      <c r="AJ100" s="252" t="s">
        <v>398</v>
      </c>
      <c r="AK100" s="254" t="s">
        <v>2495</v>
      </c>
      <c r="AL100" s="248" t="s">
        <v>398</v>
      </c>
      <c r="AM100" s="248" t="s">
        <v>398</v>
      </c>
      <c r="AN100" s="248" t="s">
        <v>398</v>
      </c>
      <c r="AO100" s="248" t="s">
        <v>398</v>
      </c>
      <c r="AP100" s="248" t="s">
        <v>398</v>
      </c>
      <c r="AQ100" s="283"/>
      <c r="AR100" s="283"/>
      <c r="AS100" s="283"/>
      <c r="AT100" s="283"/>
      <c r="AU100" s="283"/>
      <c r="AV100" s="283"/>
      <c r="AW100" s="283"/>
      <c r="AX100" s="283"/>
    </row>
    <row r="101" spans="1:50" s="51" customFormat="1" ht="28.5" customHeight="1" outlineLevel="1">
      <c r="A101" s="241"/>
      <c r="B101" s="240"/>
      <c r="C101" s="240"/>
      <c r="D101" s="240"/>
      <c r="E101" s="240"/>
      <c r="F101" s="240"/>
      <c r="G101" s="256" t="s">
        <v>325</v>
      </c>
      <c r="H101" s="242"/>
      <c r="I101" s="257" t="s">
        <v>261</v>
      </c>
      <c r="J101" s="243"/>
      <c r="K101" s="243"/>
      <c r="L101" s="243"/>
      <c r="M101" s="243"/>
      <c r="N101" s="243"/>
      <c r="O101" s="243"/>
      <c r="P101" s="243"/>
      <c r="Q101" s="243"/>
      <c r="R101" s="243"/>
      <c r="S101" s="243"/>
      <c r="T101" s="243"/>
      <c r="U101" s="243"/>
      <c r="V101" s="243"/>
      <c r="W101" s="243"/>
      <c r="X101" s="2497" t="s">
        <v>2496</v>
      </c>
      <c r="Y101" s="258" t="s">
        <v>2497</v>
      </c>
      <c r="Z101" s="259" t="s">
        <v>398</v>
      </c>
      <c r="AA101" s="260" t="s">
        <v>398</v>
      </c>
      <c r="AB101" s="261">
        <v>49</v>
      </c>
      <c r="AC101" s="261">
        <v>1</v>
      </c>
      <c r="AD101" s="261" t="s">
        <v>2394</v>
      </c>
      <c r="AE101" s="2498" t="s">
        <v>1533</v>
      </c>
      <c r="AF101" s="295">
        <v>1</v>
      </c>
      <c r="AG101" s="261">
        <v>0</v>
      </c>
      <c r="AH101" s="261" t="s">
        <v>398</v>
      </c>
      <c r="AI101" s="262" t="s">
        <v>398</v>
      </c>
      <c r="AJ101" s="260" t="s">
        <v>398</v>
      </c>
      <c r="AK101" s="263" t="s">
        <v>2498</v>
      </c>
      <c r="AL101" s="259" t="s">
        <v>398</v>
      </c>
      <c r="AM101" s="259" t="s">
        <v>398</v>
      </c>
      <c r="AN101" s="259" t="s">
        <v>398</v>
      </c>
      <c r="AO101" s="259" t="s">
        <v>398</v>
      </c>
      <c r="AP101" s="259" t="s">
        <v>398</v>
      </c>
      <c r="AQ101" s="283"/>
      <c r="AR101" s="283"/>
      <c r="AS101" s="283"/>
      <c r="AT101" s="283"/>
      <c r="AU101" s="283"/>
      <c r="AV101" s="283"/>
      <c r="AW101" s="283"/>
      <c r="AX101" s="283"/>
    </row>
    <row r="102" spans="1:50" s="51" customFormat="1" ht="50.1" customHeight="1">
      <c r="A102" s="765">
        <v>7</v>
      </c>
      <c r="B102" s="736" t="s">
        <v>2499</v>
      </c>
      <c r="C102" s="766" t="s">
        <v>2500</v>
      </c>
      <c r="D102" s="766" t="s">
        <v>259</v>
      </c>
      <c r="E102" s="766">
        <v>8</v>
      </c>
      <c r="F102" s="766" t="s">
        <v>260</v>
      </c>
      <c r="G102" s="765" t="s">
        <v>325</v>
      </c>
      <c r="H102" s="765"/>
      <c r="I102" s="767" t="s">
        <v>261</v>
      </c>
      <c r="J102" s="767"/>
      <c r="K102" s="767"/>
      <c r="L102" s="767"/>
      <c r="M102" s="767"/>
      <c r="N102" s="767"/>
      <c r="O102" s="767"/>
      <c r="P102" s="767"/>
      <c r="Q102" s="767"/>
      <c r="R102" s="767"/>
      <c r="S102" s="767"/>
      <c r="T102" s="767"/>
      <c r="U102" s="767"/>
      <c r="V102" s="767"/>
      <c r="W102" s="767"/>
      <c r="X102" s="766" t="s">
        <v>2501</v>
      </c>
      <c r="Y102" s="768"/>
      <c r="Z102" s="769"/>
      <c r="AA102" s="769"/>
      <c r="AB102" s="769"/>
      <c r="AC102" s="769"/>
      <c r="AD102" s="769"/>
      <c r="AE102" s="766" t="s">
        <v>2501</v>
      </c>
      <c r="AF102" s="770"/>
      <c r="AG102" s="767"/>
      <c r="AH102" s="769"/>
      <c r="AI102" s="771"/>
      <c r="AJ102" s="769"/>
      <c r="AK102" s="283"/>
      <c r="AL102" s="283"/>
      <c r="AM102" s="283"/>
      <c r="AN102" s="283"/>
      <c r="AO102" s="283"/>
      <c r="AP102" s="283"/>
      <c r="AQ102" s="283"/>
      <c r="AR102" s="283"/>
      <c r="AS102" s="283"/>
      <c r="AT102" s="283"/>
      <c r="AU102" s="283"/>
      <c r="AV102" s="283"/>
      <c r="AW102" s="283"/>
      <c r="AX102" s="283"/>
    </row>
    <row r="103" spans="1:50" s="51" customFormat="1" ht="50.1" customHeight="1" outlineLevel="1">
      <c r="A103" s="292"/>
      <c r="B103" s="293"/>
      <c r="C103" s="293"/>
      <c r="D103" s="293"/>
      <c r="E103" s="293"/>
      <c r="F103" s="293"/>
      <c r="G103" s="291" t="s">
        <v>325</v>
      </c>
      <c r="H103" s="291"/>
      <c r="I103" s="290" t="s">
        <v>261</v>
      </c>
      <c r="J103" s="290"/>
      <c r="K103" s="290"/>
      <c r="L103" s="290"/>
      <c r="M103" s="290"/>
      <c r="N103" s="290"/>
      <c r="O103" s="290"/>
      <c r="P103" s="290"/>
      <c r="Q103" s="290"/>
      <c r="R103" s="290"/>
      <c r="S103" s="290"/>
      <c r="T103" s="290"/>
      <c r="U103" s="290"/>
      <c r="V103" s="290"/>
      <c r="W103" s="290"/>
      <c r="X103" s="273" t="s">
        <v>2502</v>
      </c>
      <c r="Y103" s="750" t="s">
        <v>2503</v>
      </c>
      <c r="Z103" s="272"/>
      <c r="AA103" s="272"/>
      <c r="AB103" s="271">
        <v>0</v>
      </c>
      <c r="AC103" s="271">
        <v>16</v>
      </c>
      <c r="AD103" s="749" t="s">
        <v>2504</v>
      </c>
      <c r="AE103" s="270" t="s">
        <v>2505</v>
      </c>
      <c r="AF103" s="296">
        <v>0.01</v>
      </c>
      <c r="AG103" s="272">
        <v>-300</v>
      </c>
      <c r="AH103" s="285" t="s">
        <v>2506</v>
      </c>
      <c r="AI103" s="269">
        <v>0</v>
      </c>
      <c r="AJ103" s="772" t="s">
        <v>2507</v>
      </c>
      <c r="AK103" s="283"/>
      <c r="AL103" s="283"/>
      <c r="AM103" s="283"/>
      <c r="AN103" s="283"/>
      <c r="AO103" s="283"/>
      <c r="AP103" s="283"/>
      <c r="AQ103" s="283"/>
      <c r="AR103" s="283"/>
      <c r="AS103" s="283"/>
      <c r="AT103" s="283"/>
      <c r="AU103" s="283"/>
      <c r="AV103" s="283"/>
      <c r="AW103" s="283"/>
      <c r="AX103" s="283"/>
    </row>
    <row r="104" spans="1:50" s="51" customFormat="1" ht="50.1" customHeight="1" outlineLevel="1">
      <c r="A104" s="292"/>
      <c r="B104" s="293"/>
      <c r="C104" s="293"/>
      <c r="D104" s="293"/>
      <c r="E104" s="293"/>
      <c r="F104" s="293"/>
      <c r="G104" s="291" t="s">
        <v>325</v>
      </c>
      <c r="H104" s="291"/>
      <c r="I104" s="290" t="s">
        <v>261</v>
      </c>
      <c r="J104" s="290"/>
      <c r="K104" s="290"/>
      <c r="L104" s="290"/>
      <c r="M104" s="290"/>
      <c r="N104" s="290"/>
      <c r="O104" s="290"/>
      <c r="P104" s="290"/>
      <c r="Q104" s="290"/>
      <c r="R104" s="290"/>
      <c r="S104" s="290"/>
      <c r="T104" s="290"/>
      <c r="U104" s="290"/>
      <c r="V104" s="290"/>
      <c r="W104" s="290"/>
      <c r="X104" s="803" t="s">
        <v>2508</v>
      </c>
      <c r="Y104" s="750" t="s">
        <v>2509</v>
      </c>
      <c r="Z104" s="737"/>
      <c r="AA104" s="737"/>
      <c r="AB104" s="804">
        <v>16</v>
      </c>
      <c r="AC104" s="804">
        <v>16</v>
      </c>
      <c r="AD104" s="749" t="s">
        <v>2504</v>
      </c>
      <c r="AE104" s="2499" t="s">
        <v>2510</v>
      </c>
      <c r="AF104" s="785">
        <v>0.1</v>
      </c>
      <c r="AG104" s="737">
        <v>-1000</v>
      </c>
      <c r="AH104" s="806" t="s">
        <v>2511</v>
      </c>
      <c r="AI104" s="807">
        <v>0</v>
      </c>
      <c r="AJ104" s="772" t="s">
        <v>98</v>
      </c>
      <c r="AK104" s="281" t="s">
        <v>2512</v>
      </c>
      <c r="AL104" s="283"/>
      <c r="AM104" s="283"/>
      <c r="AN104" s="283"/>
      <c r="AO104" s="283"/>
      <c r="AP104" s="283"/>
      <c r="AQ104" s="283"/>
      <c r="AR104" s="283"/>
      <c r="AS104" s="283"/>
      <c r="AT104" s="283"/>
      <c r="AU104" s="283"/>
      <c r="AV104" s="283"/>
      <c r="AW104" s="283"/>
      <c r="AX104" s="283"/>
    </row>
    <row r="105" spans="1:50" s="51" customFormat="1" ht="50.1" customHeight="1" outlineLevel="1">
      <c r="A105" s="292"/>
      <c r="B105" s="293"/>
      <c r="C105" s="293"/>
      <c r="D105" s="293"/>
      <c r="E105" s="293"/>
      <c r="F105" s="293"/>
      <c r="G105" s="291" t="s">
        <v>325</v>
      </c>
      <c r="H105" s="291"/>
      <c r="I105" s="290" t="s">
        <v>261</v>
      </c>
      <c r="J105" s="290"/>
      <c r="K105" s="290"/>
      <c r="L105" s="290"/>
      <c r="M105" s="290"/>
      <c r="N105" s="290"/>
      <c r="O105" s="290"/>
      <c r="P105" s="290"/>
      <c r="Q105" s="290"/>
      <c r="R105" s="290"/>
      <c r="S105" s="290"/>
      <c r="T105" s="290"/>
      <c r="U105" s="290"/>
      <c r="V105" s="290"/>
      <c r="W105" s="290"/>
      <c r="X105" s="803" t="s">
        <v>2513</v>
      </c>
      <c r="Y105" s="750" t="s">
        <v>2514</v>
      </c>
      <c r="Z105" s="737"/>
      <c r="AA105" s="737"/>
      <c r="AB105" s="804">
        <v>32</v>
      </c>
      <c r="AC105" s="804">
        <v>16</v>
      </c>
      <c r="AD105" s="749" t="s">
        <v>2504</v>
      </c>
      <c r="AE105" s="2500" t="s">
        <v>2515</v>
      </c>
      <c r="AF105" s="785">
        <v>0.1</v>
      </c>
      <c r="AG105" s="737">
        <v>0</v>
      </c>
      <c r="AH105" s="737" t="s">
        <v>2365</v>
      </c>
      <c r="AI105" s="807">
        <v>0</v>
      </c>
      <c r="AJ105" s="772" t="s">
        <v>1007</v>
      </c>
      <c r="AK105" s="283"/>
      <c r="AL105" s="283"/>
      <c r="AM105" s="283"/>
      <c r="AN105" s="283"/>
      <c r="AO105" s="283"/>
      <c r="AP105" s="283"/>
      <c r="AQ105" s="283"/>
      <c r="AR105" s="283"/>
      <c r="AS105" s="283"/>
      <c r="AT105" s="283"/>
      <c r="AU105" s="283"/>
      <c r="AV105" s="283"/>
      <c r="AW105" s="283"/>
      <c r="AX105" s="283"/>
    </row>
    <row r="106" spans="1:50" s="51" customFormat="1" ht="50.1" customHeight="1">
      <c r="A106" s="765">
        <v>8</v>
      </c>
      <c r="B106" s="736" t="s">
        <v>2499</v>
      </c>
      <c r="C106" s="766" t="s">
        <v>2516</v>
      </c>
      <c r="D106" s="766" t="s">
        <v>401</v>
      </c>
      <c r="E106" s="766">
        <v>8</v>
      </c>
      <c r="F106" s="766" t="s">
        <v>260</v>
      </c>
      <c r="G106" s="765" t="s">
        <v>325</v>
      </c>
      <c r="H106" s="765"/>
      <c r="I106" s="767" t="s">
        <v>261</v>
      </c>
      <c r="J106" s="767"/>
      <c r="K106" s="767"/>
      <c r="L106" s="767" t="s">
        <v>325</v>
      </c>
      <c r="M106" s="767"/>
      <c r="N106" s="767"/>
      <c r="O106" s="767"/>
      <c r="P106" s="767"/>
      <c r="Q106" s="767"/>
      <c r="R106" s="767"/>
      <c r="S106" s="767"/>
      <c r="T106" s="767"/>
      <c r="U106" s="767"/>
      <c r="V106" s="767"/>
      <c r="W106" s="767"/>
      <c r="X106" s="766" t="s">
        <v>2517</v>
      </c>
      <c r="Y106" s="768"/>
      <c r="Z106" s="769"/>
      <c r="AA106" s="769"/>
      <c r="AB106" s="769"/>
      <c r="AC106" s="769"/>
      <c r="AD106" s="769"/>
      <c r="AE106" s="766" t="s">
        <v>2517</v>
      </c>
      <c r="AF106" s="770"/>
      <c r="AG106" s="767"/>
      <c r="AH106" s="769"/>
      <c r="AI106" s="771"/>
      <c r="AJ106" s="769"/>
      <c r="AK106" s="283"/>
      <c r="AL106" s="283"/>
      <c r="AM106" s="283"/>
      <c r="AN106" s="283"/>
      <c r="AO106" s="283"/>
      <c r="AP106" s="283"/>
      <c r="AQ106" s="283"/>
      <c r="AR106" s="283"/>
      <c r="AS106" s="283"/>
      <c r="AT106" s="283"/>
      <c r="AU106" s="283"/>
      <c r="AV106" s="283"/>
      <c r="AW106" s="283"/>
      <c r="AX106" s="283"/>
    </row>
    <row r="107" spans="1:50" s="51" customFormat="1" ht="27.95" customHeight="1" outlineLevel="1">
      <c r="A107" s="292"/>
      <c r="B107" s="293"/>
      <c r="C107" s="293"/>
      <c r="D107" s="293"/>
      <c r="E107" s="293"/>
      <c r="F107" s="293"/>
      <c r="G107" s="291" t="s">
        <v>325</v>
      </c>
      <c r="H107" s="291"/>
      <c r="I107" s="290" t="s">
        <v>261</v>
      </c>
      <c r="J107" s="290"/>
      <c r="K107" s="290"/>
      <c r="L107" s="290" t="s">
        <v>325</v>
      </c>
      <c r="M107" s="290"/>
      <c r="N107" s="290"/>
      <c r="O107" s="290"/>
      <c r="P107" s="290"/>
      <c r="Q107" s="290"/>
      <c r="R107" s="290"/>
      <c r="S107" s="290"/>
      <c r="T107" s="290"/>
      <c r="U107" s="290"/>
      <c r="V107" s="290"/>
      <c r="W107" s="290"/>
      <c r="X107" s="2501" t="s">
        <v>2518</v>
      </c>
      <c r="Y107" s="750" t="s">
        <v>2519</v>
      </c>
      <c r="Z107" s="273"/>
      <c r="AA107" s="273"/>
      <c r="AB107" s="285">
        <v>0</v>
      </c>
      <c r="AC107" s="285">
        <v>16</v>
      </c>
      <c r="AD107" s="285"/>
      <c r="AE107" s="273"/>
      <c r="AF107" s="297"/>
      <c r="AG107" s="285"/>
      <c r="AH107" s="273"/>
      <c r="AI107" s="268"/>
      <c r="AJ107" s="737"/>
      <c r="AK107" s="283"/>
      <c r="AL107" s="283"/>
      <c r="AM107" s="283"/>
      <c r="AN107" s="283"/>
      <c r="AO107" s="283"/>
      <c r="AP107" s="283"/>
      <c r="AQ107" s="283"/>
      <c r="AR107" s="283"/>
      <c r="AS107" s="283"/>
      <c r="AT107" s="283"/>
      <c r="AU107" s="283"/>
      <c r="AV107" s="283"/>
      <c r="AW107" s="283"/>
      <c r="AX107" s="283"/>
    </row>
    <row r="108" spans="1:50" s="51" customFormat="1" ht="16.5" customHeight="1" outlineLevel="1">
      <c r="A108" s="292"/>
      <c r="B108" s="293"/>
      <c r="C108" s="293"/>
      <c r="D108" s="293"/>
      <c r="E108" s="293"/>
      <c r="F108" s="293"/>
      <c r="G108" s="291" t="s">
        <v>325</v>
      </c>
      <c r="H108" s="291"/>
      <c r="I108" s="290" t="s">
        <v>261</v>
      </c>
      <c r="J108" s="290"/>
      <c r="K108" s="290"/>
      <c r="L108" s="290" t="s">
        <v>325</v>
      </c>
      <c r="M108" s="290"/>
      <c r="N108" s="290"/>
      <c r="O108" s="290"/>
      <c r="P108" s="290"/>
      <c r="Q108" s="290"/>
      <c r="R108" s="290"/>
      <c r="S108" s="290"/>
      <c r="T108" s="290"/>
      <c r="U108" s="290"/>
      <c r="V108" s="290"/>
      <c r="W108" s="290"/>
      <c r="X108" s="2502" t="s">
        <v>534</v>
      </c>
      <c r="Y108" s="750" t="s">
        <v>2520</v>
      </c>
      <c r="Z108" s="803"/>
      <c r="AA108" s="803"/>
      <c r="AB108" s="737">
        <f>AC107</f>
        <v>16</v>
      </c>
      <c r="AC108" s="737">
        <v>8</v>
      </c>
      <c r="AD108" s="737"/>
      <c r="AE108" s="803"/>
      <c r="AF108" s="785"/>
      <c r="AG108" s="737"/>
      <c r="AH108" s="803"/>
      <c r="AI108" s="808"/>
      <c r="AJ108" s="737" t="s">
        <v>536</v>
      </c>
      <c r="AK108" s="283"/>
      <c r="AL108" s="283"/>
      <c r="AM108" s="283"/>
      <c r="AN108" s="283"/>
      <c r="AO108" s="283"/>
      <c r="AP108" s="283"/>
      <c r="AQ108" s="283"/>
      <c r="AR108" s="283"/>
      <c r="AS108" s="283"/>
      <c r="AT108" s="283"/>
      <c r="AU108" s="283"/>
      <c r="AV108" s="283"/>
      <c r="AW108" s="283"/>
      <c r="AX108" s="283"/>
    </row>
    <row r="109" spans="1:50" s="51" customFormat="1" ht="16.5" customHeight="1" outlineLevel="1">
      <c r="A109" s="292"/>
      <c r="B109" s="293"/>
      <c r="C109" s="293"/>
      <c r="D109" s="293"/>
      <c r="E109" s="293"/>
      <c r="F109" s="293"/>
      <c r="G109" s="291" t="s">
        <v>325</v>
      </c>
      <c r="H109" s="291"/>
      <c r="I109" s="290" t="s">
        <v>261</v>
      </c>
      <c r="J109" s="290"/>
      <c r="K109" s="290"/>
      <c r="L109" s="290" t="s">
        <v>325</v>
      </c>
      <c r="M109" s="290"/>
      <c r="N109" s="290"/>
      <c r="O109" s="290"/>
      <c r="P109" s="290"/>
      <c r="Q109" s="290"/>
      <c r="R109" s="290"/>
      <c r="S109" s="290"/>
      <c r="T109" s="290"/>
      <c r="U109" s="290"/>
      <c r="V109" s="290"/>
      <c r="W109" s="290"/>
      <c r="X109" s="2503" t="s">
        <v>537</v>
      </c>
      <c r="Y109" s="750" t="s">
        <v>2521</v>
      </c>
      <c r="Z109" s="803"/>
      <c r="AA109" s="803"/>
      <c r="AB109" s="737">
        <f>AB108+AC108</f>
        <v>24</v>
      </c>
      <c r="AC109" s="737">
        <v>8</v>
      </c>
      <c r="AD109" s="737"/>
      <c r="AE109" s="803"/>
      <c r="AF109" s="785"/>
      <c r="AG109" s="737"/>
      <c r="AH109" s="803"/>
      <c r="AI109" s="808"/>
      <c r="AJ109" s="737" t="s">
        <v>2522</v>
      </c>
      <c r="AK109" s="283"/>
      <c r="AL109" s="283"/>
      <c r="AM109" s="283"/>
      <c r="AN109" s="283"/>
      <c r="AO109" s="283"/>
      <c r="AP109" s="283"/>
      <c r="AQ109" s="283"/>
      <c r="AR109" s="283"/>
      <c r="AS109" s="283"/>
      <c r="AT109" s="283"/>
      <c r="AU109" s="283"/>
      <c r="AV109" s="283"/>
      <c r="AW109" s="283"/>
      <c r="AX109" s="283"/>
    </row>
    <row r="110" spans="1:50" s="51" customFormat="1" ht="16.5" customHeight="1" outlineLevel="1">
      <c r="A110" s="292"/>
      <c r="B110" s="293"/>
      <c r="C110" s="293"/>
      <c r="D110" s="293"/>
      <c r="E110" s="293"/>
      <c r="F110" s="293"/>
      <c r="G110" s="291" t="s">
        <v>325</v>
      </c>
      <c r="H110" s="291"/>
      <c r="I110" s="290" t="s">
        <v>261</v>
      </c>
      <c r="J110" s="290"/>
      <c r="K110" s="290"/>
      <c r="L110" s="290" t="s">
        <v>325</v>
      </c>
      <c r="M110" s="290"/>
      <c r="N110" s="290"/>
      <c r="O110" s="290"/>
      <c r="P110" s="290"/>
      <c r="Q110" s="290"/>
      <c r="R110" s="290"/>
      <c r="S110" s="290"/>
      <c r="T110" s="290"/>
      <c r="U110" s="290"/>
      <c r="V110" s="290"/>
      <c r="W110" s="290"/>
      <c r="X110" s="2504" t="s">
        <v>2523</v>
      </c>
      <c r="Y110" s="750" t="s">
        <v>2524</v>
      </c>
      <c r="Z110" s="803"/>
      <c r="AA110" s="803"/>
      <c r="AB110" s="737">
        <f>AB109+AC109</f>
        <v>32</v>
      </c>
      <c r="AC110" s="737">
        <v>8</v>
      </c>
      <c r="AD110" s="737"/>
      <c r="AE110" s="803"/>
      <c r="AF110" s="785"/>
      <c r="AG110" s="737"/>
      <c r="AH110" s="803"/>
      <c r="AI110" s="808"/>
      <c r="AJ110" s="737" t="s">
        <v>542</v>
      </c>
      <c r="AK110" s="283"/>
      <c r="AL110" s="283"/>
      <c r="AM110" s="283"/>
      <c r="AN110" s="283"/>
      <c r="AO110" s="283"/>
      <c r="AP110" s="283"/>
      <c r="AQ110" s="283"/>
      <c r="AR110" s="283"/>
      <c r="AS110" s="283"/>
      <c r="AT110" s="283"/>
      <c r="AU110" s="283"/>
      <c r="AV110" s="283"/>
      <c r="AW110" s="283"/>
      <c r="AX110" s="283"/>
    </row>
    <row r="111" spans="1:50" s="50" customFormat="1" ht="28.5" customHeight="1" outlineLevel="1">
      <c r="A111" s="292"/>
      <c r="B111" s="293"/>
      <c r="C111" s="293"/>
      <c r="D111" s="293"/>
      <c r="E111" s="293"/>
      <c r="F111" s="293"/>
      <c r="G111" s="291" t="s">
        <v>325</v>
      </c>
      <c r="H111" s="291"/>
      <c r="I111" s="290" t="s">
        <v>261</v>
      </c>
      <c r="J111" s="290"/>
      <c r="K111" s="290"/>
      <c r="L111" s="290" t="s">
        <v>325</v>
      </c>
      <c r="M111" s="290"/>
      <c r="N111" s="290"/>
      <c r="O111" s="290"/>
      <c r="P111" s="290"/>
      <c r="Q111" s="290"/>
      <c r="R111" s="290"/>
      <c r="S111" s="290"/>
      <c r="T111" s="290"/>
      <c r="U111" s="290"/>
      <c r="V111" s="290"/>
      <c r="W111" s="290"/>
      <c r="X111" s="2505" t="s">
        <v>543</v>
      </c>
      <c r="Y111" s="750" t="s">
        <v>2525</v>
      </c>
      <c r="Z111" s="803"/>
      <c r="AA111" s="803"/>
      <c r="AB111" s="737">
        <f>AB110+AC110</f>
        <v>40</v>
      </c>
      <c r="AC111" s="737">
        <v>24</v>
      </c>
      <c r="AD111" s="737"/>
      <c r="AE111" s="803"/>
      <c r="AF111" s="785"/>
      <c r="AG111" s="737"/>
      <c r="AH111" s="803"/>
      <c r="AI111" s="808"/>
      <c r="AJ111" s="737" t="s">
        <v>545</v>
      </c>
      <c r="AK111" s="293"/>
      <c r="AL111" s="293"/>
      <c r="AM111" s="293"/>
      <c r="AN111" s="293"/>
      <c r="AO111" s="293"/>
      <c r="AP111" s="293"/>
      <c r="AQ111" s="293"/>
      <c r="AR111" s="293"/>
      <c r="AS111" s="293"/>
      <c r="AT111" s="293"/>
      <c r="AU111" s="293"/>
      <c r="AV111" s="293"/>
      <c r="AW111" s="293"/>
      <c r="AX111" s="293"/>
    </row>
    <row r="112" spans="1:50" s="51" customFormat="1" ht="15.75" customHeight="1">
      <c r="A112" s="765">
        <v>9</v>
      </c>
      <c r="B112" s="736" t="s">
        <v>2526</v>
      </c>
      <c r="C112" s="766" t="s">
        <v>2527</v>
      </c>
      <c r="D112" s="766" t="s">
        <v>401</v>
      </c>
      <c r="E112" s="766">
        <v>8</v>
      </c>
      <c r="F112" s="766" t="s">
        <v>260</v>
      </c>
      <c r="G112" s="765" t="s">
        <v>325</v>
      </c>
      <c r="H112" s="765"/>
      <c r="I112" s="767" t="s">
        <v>261</v>
      </c>
      <c r="J112" s="767"/>
      <c r="K112" s="767"/>
      <c r="L112" s="767" t="s">
        <v>325</v>
      </c>
      <c r="M112" s="767"/>
      <c r="N112" s="767"/>
      <c r="O112" s="767"/>
      <c r="P112" s="767"/>
      <c r="Q112" s="767"/>
      <c r="R112" s="767"/>
      <c r="S112" s="767"/>
      <c r="T112" s="767"/>
      <c r="U112" s="767"/>
      <c r="V112" s="767"/>
      <c r="W112" s="767"/>
      <c r="X112" s="766" t="s">
        <v>2528</v>
      </c>
      <c r="Y112" s="768"/>
      <c r="Z112" s="769"/>
      <c r="AA112" s="769"/>
      <c r="AB112" s="769"/>
      <c r="AC112" s="769"/>
      <c r="AD112" s="769"/>
      <c r="AE112" s="766" t="s">
        <v>2528</v>
      </c>
      <c r="AF112" s="770"/>
      <c r="AG112" s="767"/>
      <c r="AH112" s="769"/>
      <c r="AI112" s="771"/>
      <c r="AJ112" s="769"/>
      <c r="AK112" s="283"/>
      <c r="AL112" s="283"/>
      <c r="AM112" s="283"/>
      <c r="AN112" s="283"/>
      <c r="AO112" s="283"/>
      <c r="AP112" s="283"/>
      <c r="AQ112" s="283"/>
      <c r="AR112" s="283"/>
      <c r="AS112" s="283"/>
      <c r="AT112" s="283"/>
      <c r="AU112" s="283"/>
      <c r="AV112" s="283"/>
      <c r="AW112" s="283"/>
      <c r="AX112" s="283"/>
    </row>
    <row r="113" spans="1:50" ht="45.75" customHeight="1">
      <c r="A113" s="1500"/>
      <c r="B113" s="1500"/>
      <c r="C113" s="1500"/>
      <c r="D113" s="1500"/>
      <c r="E113" s="1500"/>
      <c r="F113" s="1500"/>
      <c r="G113" s="1363" t="s">
        <v>325</v>
      </c>
      <c r="H113" s="1500"/>
      <c r="I113" s="1500" t="s">
        <v>261</v>
      </c>
      <c r="J113" s="1500"/>
      <c r="K113" s="1500"/>
      <c r="L113" s="1500" t="s">
        <v>261</v>
      </c>
      <c r="M113" s="1500"/>
      <c r="N113" s="1500"/>
      <c r="O113" s="1500"/>
      <c r="P113" s="1500"/>
      <c r="Q113" s="1500"/>
      <c r="R113" s="1500"/>
      <c r="S113" s="1500"/>
      <c r="T113" s="1500"/>
      <c r="U113" s="1389"/>
      <c r="V113" s="117"/>
      <c r="W113" s="117"/>
      <c r="X113" s="2506" t="s">
        <v>549</v>
      </c>
      <c r="Y113" s="484" t="s">
        <v>2529</v>
      </c>
      <c r="Z113" s="484">
        <v>0</v>
      </c>
      <c r="AA113" s="1512">
        <v>0</v>
      </c>
      <c r="AB113" s="1548">
        <f>Z113*8+AA113</f>
        <v>0</v>
      </c>
      <c r="AC113" s="1512">
        <v>8</v>
      </c>
      <c r="AD113" s="1527"/>
      <c r="AE113" s="1538" t="s">
        <v>551</v>
      </c>
      <c r="AF113" s="134"/>
      <c r="AG113" s="134"/>
      <c r="AH113" s="134"/>
      <c r="AI113" s="134"/>
      <c r="AJ113" s="134"/>
      <c r="AK113" s="1389"/>
      <c r="AL113" s="364"/>
      <c r="AM113" s="1363"/>
      <c r="AN113" s="1363"/>
    </row>
    <row r="114" spans="1:50" s="51" customFormat="1" ht="28.5" customHeight="1" outlineLevel="1">
      <c r="A114" s="292"/>
      <c r="B114" s="293"/>
      <c r="C114" s="293"/>
      <c r="D114" s="293"/>
      <c r="E114" s="293"/>
      <c r="F114" s="293"/>
      <c r="G114" s="291" t="s">
        <v>325</v>
      </c>
      <c r="H114" s="291"/>
      <c r="I114" s="290" t="s">
        <v>261</v>
      </c>
      <c r="J114" s="290"/>
      <c r="K114" s="290"/>
      <c r="L114" s="290" t="s">
        <v>325</v>
      </c>
      <c r="M114" s="290"/>
      <c r="N114" s="290"/>
      <c r="O114" s="290"/>
      <c r="P114" s="290"/>
      <c r="Q114" s="290"/>
      <c r="R114" s="290"/>
      <c r="S114" s="290"/>
      <c r="T114" s="290"/>
      <c r="U114" s="290"/>
      <c r="V114" s="290"/>
      <c r="W114" s="290"/>
      <c r="X114" s="2507" t="s">
        <v>552</v>
      </c>
      <c r="Y114" s="750" t="s">
        <v>2530</v>
      </c>
      <c r="Z114" s="273"/>
      <c r="AA114" s="273"/>
      <c r="AB114" s="285">
        <v>8</v>
      </c>
      <c r="AC114" s="285">
        <v>8</v>
      </c>
      <c r="AD114" s="285"/>
      <c r="AE114" s="273" t="s">
        <v>2531</v>
      </c>
      <c r="AF114" s="297"/>
      <c r="AG114" s="285"/>
      <c r="AH114" s="273"/>
      <c r="AI114" s="268"/>
      <c r="AJ114" s="737"/>
      <c r="AK114" s="283"/>
      <c r="AL114" s="283"/>
      <c r="AM114" s="283"/>
      <c r="AN114" s="283"/>
      <c r="AO114" s="283"/>
      <c r="AP114" s="283"/>
      <c r="AQ114" s="283"/>
      <c r="AR114" s="283"/>
      <c r="AS114" s="283"/>
      <c r="AT114" s="283"/>
      <c r="AU114" s="283"/>
      <c r="AV114" s="283"/>
      <c r="AW114" s="283"/>
      <c r="AX114" s="283"/>
    </row>
    <row r="115" spans="1:50" s="51" customFormat="1" ht="28.5" customHeight="1" outlineLevel="1">
      <c r="A115" s="292"/>
      <c r="B115" s="293"/>
      <c r="C115" s="293"/>
      <c r="D115" s="293"/>
      <c r="E115" s="293"/>
      <c r="F115" s="293"/>
      <c r="G115" s="291" t="s">
        <v>325</v>
      </c>
      <c r="H115" s="291"/>
      <c r="I115" s="290" t="s">
        <v>261</v>
      </c>
      <c r="J115" s="290"/>
      <c r="K115" s="290"/>
      <c r="L115" s="290" t="s">
        <v>325</v>
      </c>
      <c r="M115" s="290"/>
      <c r="N115" s="290"/>
      <c r="O115" s="290"/>
      <c r="P115" s="290"/>
      <c r="Q115" s="290"/>
      <c r="R115" s="290"/>
      <c r="S115" s="290"/>
      <c r="T115" s="290"/>
      <c r="U115" s="290"/>
      <c r="V115" s="290"/>
      <c r="W115" s="290"/>
      <c r="X115" s="2508" t="s">
        <v>555</v>
      </c>
      <c r="Y115" s="750" t="s">
        <v>2532</v>
      </c>
      <c r="Z115" s="803"/>
      <c r="AA115" s="803"/>
      <c r="AB115" s="737">
        <f t="shared" ref="AB115:AB120" si="0">AB114+AC114</f>
        <v>16</v>
      </c>
      <c r="AC115" s="737">
        <v>8</v>
      </c>
      <c r="AD115" s="737"/>
      <c r="AE115" s="803" t="s">
        <v>2533</v>
      </c>
      <c r="AF115" s="785"/>
      <c r="AG115" s="737"/>
      <c r="AH115" s="803"/>
      <c r="AI115" s="808"/>
      <c r="AJ115" s="737"/>
      <c r="AK115" s="283"/>
      <c r="AL115" s="283"/>
      <c r="AM115" s="283"/>
      <c r="AN115" s="283"/>
      <c r="AO115" s="283"/>
      <c r="AP115" s="283"/>
      <c r="AQ115" s="283"/>
      <c r="AR115" s="283"/>
      <c r="AS115" s="283"/>
      <c r="AT115" s="283"/>
      <c r="AU115" s="283"/>
      <c r="AV115" s="283"/>
      <c r="AW115" s="283"/>
      <c r="AX115" s="283"/>
    </row>
    <row r="116" spans="1:50" s="51" customFormat="1" ht="28.5" customHeight="1" outlineLevel="1">
      <c r="A116" s="292"/>
      <c r="B116" s="293"/>
      <c r="C116" s="293"/>
      <c r="D116" s="293"/>
      <c r="E116" s="293"/>
      <c r="F116" s="293"/>
      <c r="G116" s="291" t="s">
        <v>325</v>
      </c>
      <c r="H116" s="291"/>
      <c r="I116" s="290" t="s">
        <v>261</v>
      </c>
      <c r="J116" s="290"/>
      <c r="K116" s="290"/>
      <c r="L116" s="290" t="s">
        <v>325</v>
      </c>
      <c r="M116" s="290"/>
      <c r="N116" s="290"/>
      <c r="O116" s="290"/>
      <c r="P116" s="290"/>
      <c r="Q116" s="290"/>
      <c r="R116" s="290"/>
      <c r="S116" s="290"/>
      <c r="T116" s="290"/>
      <c r="U116" s="290"/>
      <c r="V116" s="290"/>
      <c r="W116" s="290"/>
      <c r="X116" s="2509" t="s">
        <v>558</v>
      </c>
      <c r="Y116" s="750" t="s">
        <v>2534</v>
      </c>
      <c r="Z116" s="803"/>
      <c r="AA116" s="803"/>
      <c r="AB116" s="737">
        <f t="shared" si="0"/>
        <v>24</v>
      </c>
      <c r="AC116" s="737">
        <v>8</v>
      </c>
      <c r="AD116" s="737"/>
      <c r="AE116" s="803" t="s">
        <v>2533</v>
      </c>
      <c r="AF116" s="785"/>
      <c r="AG116" s="737"/>
      <c r="AH116" s="803"/>
      <c r="AI116" s="808"/>
      <c r="AJ116" s="737"/>
      <c r="AK116" s="283"/>
      <c r="AL116" s="283"/>
      <c r="AM116" s="283"/>
      <c r="AN116" s="283"/>
      <c r="AO116" s="283"/>
      <c r="AP116" s="283"/>
      <c r="AQ116" s="283"/>
      <c r="AR116" s="283"/>
      <c r="AS116" s="283"/>
      <c r="AT116" s="283"/>
      <c r="AU116" s="283"/>
      <c r="AV116" s="283"/>
      <c r="AW116" s="283"/>
      <c r="AX116" s="283"/>
    </row>
    <row r="117" spans="1:50" s="51" customFormat="1" ht="28.5" customHeight="1" outlineLevel="1">
      <c r="A117" s="292"/>
      <c r="B117" s="293"/>
      <c r="C117" s="293"/>
      <c r="D117" s="293"/>
      <c r="E117" s="293"/>
      <c r="F117" s="293"/>
      <c r="G117" s="291" t="s">
        <v>325</v>
      </c>
      <c r="H117" s="291"/>
      <c r="I117" s="290" t="s">
        <v>261</v>
      </c>
      <c r="J117" s="290"/>
      <c r="K117" s="290"/>
      <c r="L117" s="290" t="s">
        <v>325</v>
      </c>
      <c r="M117" s="290"/>
      <c r="N117" s="290"/>
      <c r="O117" s="290"/>
      <c r="P117" s="290"/>
      <c r="Q117" s="290"/>
      <c r="R117" s="290"/>
      <c r="S117" s="290"/>
      <c r="T117" s="290"/>
      <c r="U117" s="290"/>
      <c r="V117" s="290"/>
      <c r="W117" s="290"/>
      <c r="X117" s="2510" t="s">
        <v>561</v>
      </c>
      <c r="Y117" s="750" t="s">
        <v>2535</v>
      </c>
      <c r="Z117" s="803"/>
      <c r="AA117" s="803"/>
      <c r="AB117" s="737">
        <f t="shared" si="0"/>
        <v>32</v>
      </c>
      <c r="AC117" s="737">
        <v>8</v>
      </c>
      <c r="AD117" s="737"/>
      <c r="AE117" s="803" t="s">
        <v>2536</v>
      </c>
      <c r="AF117" s="785"/>
      <c r="AG117" s="737"/>
      <c r="AH117" s="803"/>
      <c r="AI117" s="808"/>
      <c r="AJ117" s="737"/>
      <c r="AK117" s="283"/>
      <c r="AL117" s="283"/>
      <c r="AM117" s="283"/>
      <c r="AN117" s="283"/>
      <c r="AO117" s="283"/>
      <c r="AP117" s="283"/>
      <c r="AQ117" s="283"/>
      <c r="AR117" s="283"/>
      <c r="AS117" s="283"/>
      <c r="AT117" s="283"/>
      <c r="AU117" s="283"/>
      <c r="AV117" s="283"/>
      <c r="AW117" s="283"/>
      <c r="AX117" s="283"/>
    </row>
    <row r="118" spans="1:50" s="51" customFormat="1" ht="28.5" customHeight="1" outlineLevel="1">
      <c r="A118" s="292"/>
      <c r="B118" s="293"/>
      <c r="C118" s="293"/>
      <c r="D118" s="293"/>
      <c r="E118" s="293"/>
      <c r="F118" s="293"/>
      <c r="G118" s="291" t="s">
        <v>325</v>
      </c>
      <c r="H118" s="291"/>
      <c r="I118" s="290" t="s">
        <v>261</v>
      </c>
      <c r="J118" s="290"/>
      <c r="K118" s="290"/>
      <c r="L118" s="290" t="s">
        <v>325</v>
      </c>
      <c r="M118" s="290"/>
      <c r="N118" s="290"/>
      <c r="O118" s="290"/>
      <c r="P118" s="290"/>
      <c r="Q118" s="290"/>
      <c r="R118" s="290"/>
      <c r="S118" s="290"/>
      <c r="T118" s="290"/>
      <c r="U118" s="290"/>
      <c r="V118" s="290"/>
      <c r="W118" s="290"/>
      <c r="X118" s="2511" t="s">
        <v>564</v>
      </c>
      <c r="Y118" s="750" t="s">
        <v>2537</v>
      </c>
      <c r="Z118" s="803"/>
      <c r="AA118" s="803"/>
      <c r="AB118" s="737">
        <f t="shared" si="0"/>
        <v>40</v>
      </c>
      <c r="AC118" s="737">
        <v>8</v>
      </c>
      <c r="AD118" s="737"/>
      <c r="AE118" s="803" t="s">
        <v>2531</v>
      </c>
      <c r="AF118" s="785"/>
      <c r="AG118" s="737"/>
      <c r="AH118" s="803"/>
      <c r="AI118" s="808"/>
      <c r="AJ118" s="737"/>
      <c r="AK118" s="283"/>
      <c r="AL118" s="283"/>
      <c r="AM118" s="283"/>
      <c r="AN118" s="283"/>
      <c r="AO118" s="283"/>
      <c r="AP118" s="283"/>
      <c r="AQ118" s="283"/>
      <c r="AR118" s="283"/>
      <c r="AS118" s="283"/>
      <c r="AT118" s="283"/>
      <c r="AU118" s="283"/>
      <c r="AV118" s="283"/>
      <c r="AW118" s="283"/>
      <c r="AX118" s="283"/>
    </row>
    <row r="119" spans="1:50" s="51" customFormat="1" ht="28.5" customHeight="1" outlineLevel="1">
      <c r="A119" s="292"/>
      <c r="B119" s="293"/>
      <c r="C119" s="293"/>
      <c r="D119" s="293"/>
      <c r="E119" s="293"/>
      <c r="F119" s="293"/>
      <c r="G119" s="291" t="s">
        <v>325</v>
      </c>
      <c r="H119" s="291"/>
      <c r="I119" s="290" t="s">
        <v>261</v>
      </c>
      <c r="J119" s="290"/>
      <c r="K119" s="290"/>
      <c r="L119" s="290" t="s">
        <v>325</v>
      </c>
      <c r="M119" s="290"/>
      <c r="N119" s="290"/>
      <c r="O119" s="290"/>
      <c r="P119" s="290"/>
      <c r="Q119" s="290"/>
      <c r="R119" s="290"/>
      <c r="S119" s="290"/>
      <c r="T119" s="290"/>
      <c r="U119" s="290"/>
      <c r="V119" s="290"/>
      <c r="W119" s="290"/>
      <c r="X119" s="2512" t="s">
        <v>567</v>
      </c>
      <c r="Y119" s="750" t="s">
        <v>2538</v>
      </c>
      <c r="Z119" s="803"/>
      <c r="AA119" s="803"/>
      <c r="AB119" s="737">
        <f t="shared" si="0"/>
        <v>48</v>
      </c>
      <c r="AC119" s="737">
        <v>8</v>
      </c>
      <c r="AD119" s="737"/>
      <c r="AE119" s="773" t="s">
        <v>2539</v>
      </c>
      <c r="AF119" s="785"/>
      <c r="AG119" s="737"/>
      <c r="AH119" s="803"/>
      <c r="AI119" s="808"/>
      <c r="AJ119" s="737"/>
      <c r="AK119" s="283"/>
      <c r="AL119" s="283"/>
      <c r="AM119" s="283"/>
      <c r="AN119" s="283"/>
      <c r="AO119" s="283"/>
      <c r="AP119" s="283"/>
      <c r="AQ119" s="283"/>
      <c r="AR119" s="283"/>
      <c r="AS119" s="283"/>
      <c r="AT119" s="283"/>
      <c r="AU119" s="283"/>
      <c r="AV119" s="283"/>
      <c r="AW119" s="283"/>
      <c r="AX119" s="283"/>
    </row>
    <row r="120" spans="1:50" s="51" customFormat="1" ht="28.5" customHeight="1" outlineLevel="1">
      <c r="A120" s="292"/>
      <c r="B120" s="293"/>
      <c r="C120" s="293"/>
      <c r="D120" s="293"/>
      <c r="E120" s="293"/>
      <c r="F120" s="293"/>
      <c r="G120" s="291" t="s">
        <v>325</v>
      </c>
      <c r="H120" s="291"/>
      <c r="I120" s="290" t="s">
        <v>261</v>
      </c>
      <c r="J120" s="290"/>
      <c r="K120" s="290"/>
      <c r="L120" s="290" t="s">
        <v>325</v>
      </c>
      <c r="M120" s="290"/>
      <c r="N120" s="290"/>
      <c r="O120" s="290"/>
      <c r="P120" s="290"/>
      <c r="Q120" s="290"/>
      <c r="R120" s="290"/>
      <c r="S120" s="290"/>
      <c r="T120" s="290"/>
      <c r="U120" s="290"/>
      <c r="V120" s="290"/>
      <c r="W120" s="290"/>
      <c r="X120" s="2513" t="s">
        <v>570</v>
      </c>
      <c r="Y120" s="750" t="s">
        <v>2540</v>
      </c>
      <c r="Z120" s="803"/>
      <c r="AA120" s="803"/>
      <c r="AB120" s="737">
        <f t="shared" si="0"/>
        <v>56</v>
      </c>
      <c r="AC120" s="737">
        <v>8</v>
      </c>
      <c r="AD120" s="737"/>
      <c r="AE120" s="773" t="s">
        <v>2539</v>
      </c>
      <c r="AF120" s="785"/>
      <c r="AG120" s="737"/>
      <c r="AH120" s="803"/>
      <c r="AI120" s="808"/>
      <c r="AJ120" s="737"/>
      <c r="AK120" s="283"/>
      <c r="AL120" s="283"/>
      <c r="AM120" s="283"/>
      <c r="AN120" s="283"/>
      <c r="AO120" s="283"/>
      <c r="AP120" s="283"/>
      <c r="AQ120" s="283"/>
      <c r="AR120" s="283"/>
      <c r="AS120" s="283"/>
      <c r="AT120" s="283"/>
      <c r="AU120" s="283"/>
      <c r="AV120" s="283"/>
      <c r="AW120" s="283"/>
      <c r="AX120" s="283"/>
    </row>
    <row r="121" spans="1:50" s="51" customFormat="1" ht="14.25" customHeight="1">
      <c r="A121" s="765">
        <v>10</v>
      </c>
      <c r="B121" s="736" t="s">
        <v>2526</v>
      </c>
      <c r="C121" s="809" t="s">
        <v>2541</v>
      </c>
      <c r="D121" s="766" t="s">
        <v>401</v>
      </c>
      <c r="E121" s="766">
        <v>8</v>
      </c>
      <c r="F121" s="766" t="s">
        <v>260</v>
      </c>
      <c r="G121" s="765" t="s">
        <v>325</v>
      </c>
      <c r="H121" s="765"/>
      <c r="I121" s="767" t="s">
        <v>261</v>
      </c>
      <c r="J121" s="767"/>
      <c r="K121" s="767"/>
      <c r="L121" s="767" t="s">
        <v>325</v>
      </c>
      <c r="M121" s="767"/>
      <c r="N121" s="767"/>
      <c r="O121" s="767"/>
      <c r="P121" s="767"/>
      <c r="Q121" s="767"/>
      <c r="R121" s="767"/>
      <c r="S121" s="767"/>
      <c r="T121" s="767"/>
      <c r="U121" s="767"/>
      <c r="V121" s="767"/>
      <c r="W121" s="767"/>
      <c r="X121" s="766" t="s">
        <v>2542</v>
      </c>
      <c r="Y121" s="768"/>
      <c r="Z121" s="769"/>
      <c r="AA121" s="769"/>
      <c r="AB121" s="769"/>
      <c r="AC121" s="769"/>
      <c r="AD121" s="769"/>
      <c r="AE121" s="766" t="s">
        <v>2542</v>
      </c>
      <c r="AF121" s="770"/>
      <c r="AG121" s="767"/>
      <c r="AH121" s="769"/>
      <c r="AI121" s="771"/>
      <c r="AJ121" s="769"/>
      <c r="AK121" s="281" t="s">
        <v>2512</v>
      </c>
      <c r="AL121" s="283"/>
      <c r="AM121" s="283"/>
      <c r="AN121" s="283"/>
      <c r="AO121" s="283"/>
      <c r="AP121" s="283"/>
      <c r="AQ121" s="283"/>
      <c r="AR121" s="283"/>
      <c r="AS121" s="283"/>
      <c r="AT121" s="283"/>
      <c r="AU121" s="283"/>
      <c r="AV121" s="283"/>
      <c r="AW121" s="283"/>
      <c r="AX121" s="283"/>
    </row>
    <row r="122" spans="1:50" ht="45.75" customHeight="1">
      <c r="A122" s="1500"/>
      <c r="B122" s="1500"/>
      <c r="C122" s="1500"/>
      <c r="D122" s="1500"/>
      <c r="E122" s="1500"/>
      <c r="F122" s="1500"/>
      <c r="G122" s="1363" t="s">
        <v>325</v>
      </c>
      <c r="H122" s="1500"/>
      <c r="I122" s="1500" t="s">
        <v>261</v>
      </c>
      <c r="J122" s="1500"/>
      <c r="K122" s="1500"/>
      <c r="L122" s="1500" t="s">
        <v>325</v>
      </c>
      <c r="M122" s="1500"/>
      <c r="N122" s="1500"/>
      <c r="O122" s="1500"/>
      <c r="P122" s="1500"/>
      <c r="Q122" s="1500"/>
      <c r="R122" s="1500"/>
      <c r="S122" s="1500"/>
      <c r="T122" s="1500"/>
      <c r="U122" s="1389"/>
      <c r="V122" s="117"/>
      <c r="W122" s="117"/>
      <c r="X122" s="2514" t="s">
        <v>576</v>
      </c>
      <c r="Y122" s="684" t="s">
        <v>2543</v>
      </c>
      <c r="Z122" s="484">
        <v>0</v>
      </c>
      <c r="AA122" s="1512">
        <v>0</v>
      </c>
      <c r="AB122" s="1548">
        <f>Z122*8+AA122</f>
        <v>0</v>
      </c>
      <c r="AC122" s="1512">
        <v>8</v>
      </c>
      <c r="AD122" s="1512"/>
      <c r="AE122" s="1538" t="s">
        <v>578</v>
      </c>
      <c r="AF122" s="1538"/>
      <c r="AG122" s="1538"/>
      <c r="AH122" s="1538"/>
      <c r="AI122" s="1538"/>
      <c r="AJ122" s="1512"/>
      <c r="AK122" s="1500"/>
      <c r="AL122" s="364"/>
      <c r="AM122" s="1363"/>
      <c r="AN122" s="1363"/>
    </row>
    <row r="123" spans="1:50" s="51" customFormat="1" ht="42.75" customHeight="1" outlineLevel="1">
      <c r="A123" s="292"/>
      <c r="B123" s="293"/>
      <c r="C123" s="293"/>
      <c r="D123" s="293"/>
      <c r="E123" s="293"/>
      <c r="F123" s="293"/>
      <c r="G123" s="291" t="s">
        <v>325</v>
      </c>
      <c r="H123" s="291"/>
      <c r="I123" s="290" t="s">
        <v>261</v>
      </c>
      <c r="J123" s="290"/>
      <c r="K123" s="290"/>
      <c r="L123" s="290" t="s">
        <v>325</v>
      </c>
      <c r="M123" s="290"/>
      <c r="N123" s="290"/>
      <c r="O123" s="290"/>
      <c r="P123" s="290"/>
      <c r="Q123" s="290"/>
      <c r="R123" s="290"/>
      <c r="S123" s="290"/>
      <c r="T123" s="290"/>
      <c r="U123" s="290"/>
      <c r="V123" s="290"/>
      <c r="W123" s="290"/>
      <c r="X123" s="2515" t="s">
        <v>2544</v>
      </c>
      <c r="Y123" s="750" t="s">
        <v>2545</v>
      </c>
      <c r="Z123" s="273"/>
      <c r="AA123" s="273"/>
      <c r="AB123" s="285">
        <v>8</v>
      </c>
      <c r="AC123" s="285">
        <v>8</v>
      </c>
      <c r="AD123" s="285"/>
      <c r="AE123" s="273" t="s">
        <v>2531</v>
      </c>
      <c r="AF123" s="297"/>
      <c r="AG123" s="285"/>
      <c r="AH123" s="273"/>
      <c r="AI123" s="268"/>
      <c r="AJ123" s="737"/>
      <c r="AK123" s="283"/>
      <c r="AL123" s="283"/>
      <c r="AM123" s="283"/>
      <c r="AN123" s="283"/>
      <c r="AO123" s="283"/>
      <c r="AP123" s="283"/>
      <c r="AQ123" s="283"/>
      <c r="AR123" s="283"/>
      <c r="AS123" s="283"/>
      <c r="AT123" s="283"/>
      <c r="AU123" s="283"/>
      <c r="AV123" s="283"/>
      <c r="AW123" s="283"/>
      <c r="AX123" s="283"/>
    </row>
    <row r="124" spans="1:50" s="51" customFormat="1" ht="42.75" customHeight="1" outlineLevel="1">
      <c r="A124" s="292"/>
      <c r="B124" s="293"/>
      <c r="C124" s="293"/>
      <c r="D124" s="293"/>
      <c r="E124" s="293"/>
      <c r="F124" s="293"/>
      <c r="G124" s="291" t="s">
        <v>325</v>
      </c>
      <c r="H124" s="291"/>
      <c r="I124" s="290" t="s">
        <v>261</v>
      </c>
      <c r="J124" s="290"/>
      <c r="K124" s="290"/>
      <c r="L124" s="290" t="s">
        <v>325</v>
      </c>
      <c r="M124" s="290"/>
      <c r="N124" s="290"/>
      <c r="O124" s="290"/>
      <c r="P124" s="290"/>
      <c r="Q124" s="290"/>
      <c r="R124" s="290"/>
      <c r="S124" s="290"/>
      <c r="T124" s="290"/>
      <c r="U124" s="290"/>
      <c r="V124" s="290"/>
      <c r="W124" s="290"/>
      <c r="X124" s="2516" t="s">
        <v>2546</v>
      </c>
      <c r="Y124" s="750" t="s">
        <v>2547</v>
      </c>
      <c r="Z124" s="803"/>
      <c r="AA124" s="803"/>
      <c r="AB124" s="737">
        <v>16</v>
      </c>
      <c r="AC124" s="737">
        <v>8</v>
      </c>
      <c r="AD124" s="737"/>
      <c r="AE124" s="803" t="s">
        <v>2533</v>
      </c>
      <c r="AF124" s="785"/>
      <c r="AG124" s="737"/>
      <c r="AH124" s="803"/>
      <c r="AI124" s="808"/>
      <c r="AJ124" s="737"/>
      <c r="AK124" s="283"/>
      <c r="AL124" s="283"/>
      <c r="AM124" s="283"/>
      <c r="AN124" s="283"/>
      <c r="AO124" s="283"/>
      <c r="AP124" s="283"/>
      <c r="AQ124" s="283"/>
      <c r="AR124" s="283"/>
      <c r="AS124" s="283"/>
      <c r="AT124" s="283"/>
      <c r="AU124" s="283"/>
      <c r="AV124" s="283"/>
      <c r="AW124" s="283"/>
      <c r="AX124" s="283"/>
    </row>
    <row r="125" spans="1:50" s="51" customFormat="1" ht="43.5" customHeight="1" outlineLevel="1">
      <c r="A125" s="292"/>
      <c r="B125" s="293"/>
      <c r="C125" s="293"/>
      <c r="D125" s="293"/>
      <c r="E125" s="293"/>
      <c r="F125" s="293"/>
      <c r="G125" s="291" t="s">
        <v>325</v>
      </c>
      <c r="H125" s="291"/>
      <c r="I125" s="290" t="s">
        <v>261</v>
      </c>
      <c r="J125" s="290"/>
      <c r="K125" s="290"/>
      <c r="L125" s="290" t="s">
        <v>325</v>
      </c>
      <c r="M125" s="290"/>
      <c r="N125" s="290"/>
      <c r="O125" s="290"/>
      <c r="P125" s="290"/>
      <c r="Q125" s="290"/>
      <c r="R125" s="290"/>
      <c r="S125" s="290"/>
      <c r="T125" s="290"/>
      <c r="U125" s="290"/>
      <c r="V125" s="290"/>
      <c r="W125" s="290"/>
      <c r="X125" s="2517" t="s">
        <v>2548</v>
      </c>
      <c r="Y125" s="750" t="s">
        <v>2549</v>
      </c>
      <c r="Z125" s="803"/>
      <c r="AA125" s="803"/>
      <c r="AB125" s="737">
        <v>24</v>
      </c>
      <c r="AC125" s="737">
        <v>8</v>
      </c>
      <c r="AD125" s="737"/>
      <c r="AE125" s="803" t="s">
        <v>2533</v>
      </c>
      <c r="AF125" s="785"/>
      <c r="AG125" s="737"/>
      <c r="AH125" s="803"/>
      <c r="AI125" s="808"/>
      <c r="AJ125" s="737"/>
      <c r="AK125" s="283"/>
      <c r="AL125" s="283"/>
      <c r="AM125" s="283"/>
      <c r="AN125" s="283"/>
      <c r="AO125" s="283"/>
      <c r="AP125" s="283"/>
      <c r="AQ125" s="283"/>
      <c r="AR125" s="283"/>
      <c r="AS125" s="283"/>
      <c r="AT125" s="283"/>
      <c r="AU125" s="283"/>
      <c r="AV125" s="283"/>
      <c r="AW125" s="283"/>
      <c r="AX125" s="283"/>
    </row>
    <row r="126" spans="1:50" s="51" customFormat="1" ht="14.25" customHeight="1">
      <c r="A126" s="765">
        <v>11</v>
      </c>
      <c r="B126" s="736" t="s">
        <v>2550</v>
      </c>
      <c r="C126" s="766" t="s">
        <v>2551</v>
      </c>
      <c r="D126" s="766" t="s">
        <v>488</v>
      </c>
      <c r="E126" s="766">
        <v>8</v>
      </c>
      <c r="F126" s="766" t="s">
        <v>260</v>
      </c>
      <c r="G126" s="765" t="s">
        <v>261</v>
      </c>
      <c r="H126" s="765"/>
      <c r="I126" s="767"/>
      <c r="J126" s="767" t="s">
        <v>325</v>
      </c>
      <c r="K126" s="767"/>
      <c r="L126" s="767" t="s">
        <v>325</v>
      </c>
      <c r="M126" s="767"/>
      <c r="N126" s="767"/>
      <c r="O126" s="767"/>
      <c r="P126" s="767"/>
      <c r="Q126" s="767"/>
      <c r="R126" s="767"/>
      <c r="S126" s="767"/>
      <c r="T126" s="767"/>
      <c r="U126" s="767"/>
      <c r="V126" s="767"/>
      <c r="W126" s="767"/>
      <c r="X126" s="766" t="s">
        <v>2289</v>
      </c>
      <c r="Y126" s="768"/>
      <c r="Z126" s="769"/>
      <c r="AA126" s="769"/>
      <c r="AB126" s="769"/>
      <c r="AC126" s="769"/>
      <c r="AD126" s="769"/>
      <c r="AE126" s="766" t="s">
        <v>2289</v>
      </c>
      <c r="AF126" s="770"/>
      <c r="AG126" s="767"/>
      <c r="AH126" s="769"/>
      <c r="AI126" s="771"/>
      <c r="AJ126" s="769"/>
      <c r="AK126" s="283"/>
      <c r="AL126" s="283"/>
      <c r="AM126" s="283"/>
      <c r="AN126" s="283"/>
      <c r="AO126" s="283"/>
      <c r="AP126" s="283"/>
      <c r="AQ126" s="283"/>
      <c r="AR126" s="283"/>
      <c r="AS126" s="283"/>
      <c r="AT126" s="283"/>
      <c r="AU126" s="283"/>
      <c r="AV126" s="283"/>
      <c r="AW126" s="283"/>
      <c r="AX126" s="283"/>
    </row>
    <row r="127" spans="1:50" s="51" customFormat="1" ht="28.5" customHeight="1" outlineLevel="1">
      <c r="A127" s="292"/>
      <c r="B127" s="293"/>
      <c r="C127" s="293"/>
      <c r="D127" s="293"/>
      <c r="E127" s="293"/>
      <c r="F127" s="293"/>
      <c r="G127" s="291" t="s">
        <v>261</v>
      </c>
      <c r="H127" s="291"/>
      <c r="I127" s="290"/>
      <c r="J127" s="290" t="s">
        <v>325</v>
      </c>
      <c r="K127" s="290"/>
      <c r="L127" s="290" t="s">
        <v>325</v>
      </c>
      <c r="M127" s="290"/>
      <c r="N127" s="290"/>
      <c r="O127" s="290"/>
      <c r="P127" s="290"/>
      <c r="Q127" s="290"/>
      <c r="R127" s="290"/>
      <c r="S127" s="290"/>
      <c r="T127" s="290"/>
      <c r="U127" s="290"/>
      <c r="V127" s="290"/>
      <c r="W127" s="290"/>
      <c r="X127" s="267" t="s">
        <v>2552</v>
      </c>
      <c r="Y127" s="750" t="s">
        <v>2553</v>
      </c>
      <c r="Z127" s="288"/>
      <c r="AA127" s="288"/>
      <c r="AB127" s="288">
        <v>0</v>
      </c>
      <c r="AC127" s="288">
        <v>1</v>
      </c>
      <c r="AD127" s="266"/>
      <c r="AE127" s="2518" t="s">
        <v>2292</v>
      </c>
      <c r="AF127" s="276">
        <v>1</v>
      </c>
      <c r="AG127" s="287">
        <v>0</v>
      </c>
      <c r="AH127" s="286" t="s">
        <v>444</v>
      </c>
      <c r="AI127" s="265" t="s">
        <v>444</v>
      </c>
      <c r="AJ127" s="810" t="s">
        <v>444</v>
      </c>
      <c r="AK127" s="283"/>
      <c r="AL127" s="283"/>
      <c r="AM127" s="283"/>
      <c r="AN127" s="283"/>
      <c r="AO127" s="283"/>
      <c r="AP127" s="283"/>
      <c r="AQ127" s="283"/>
      <c r="AR127" s="283"/>
      <c r="AS127" s="283"/>
      <c r="AT127" s="283"/>
      <c r="AU127" s="283"/>
      <c r="AV127" s="283"/>
      <c r="AW127" s="283"/>
      <c r="AX127" s="283"/>
    </row>
    <row r="128" spans="1:50" s="51" customFormat="1" ht="71.25" customHeight="1" outlineLevel="1">
      <c r="A128" s="292"/>
      <c r="B128" s="293"/>
      <c r="C128" s="293"/>
      <c r="D128" s="293"/>
      <c r="E128" s="293"/>
      <c r="F128" s="293"/>
      <c r="G128" s="291" t="s">
        <v>261</v>
      </c>
      <c r="H128" s="291"/>
      <c r="I128" s="290"/>
      <c r="J128" s="290" t="s">
        <v>325</v>
      </c>
      <c r="K128" s="290"/>
      <c r="L128" s="290" t="s">
        <v>325</v>
      </c>
      <c r="M128" s="290"/>
      <c r="N128" s="290"/>
      <c r="O128" s="290"/>
      <c r="P128" s="290"/>
      <c r="Q128" s="290"/>
      <c r="R128" s="290"/>
      <c r="S128" s="290"/>
      <c r="T128" s="290"/>
      <c r="U128" s="290"/>
      <c r="V128" s="290"/>
      <c r="W128" s="290"/>
      <c r="X128" s="811" t="s">
        <v>2293</v>
      </c>
      <c r="Y128" s="750" t="s">
        <v>2554</v>
      </c>
      <c r="Z128" s="775"/>
      <c r="AA128" s="775"/>
      <c r="AB128" s="775">
        <v>1</v>
      </c>
      <c r="AC128" s="775">
        <v>3</v>
      </c>
      <c r="AD128" s="789"/>
      <c r="AE128" s="2519" t="s">
        <v>2555</v>
      </c>
      <c r="AF128" s="777">
        <v>1</v>
      </c>
      <c r="AG128" s="787">
        <v>0</v>
      </c>
      <c r="AH128" s="776" t="s">
        <v>444</v>
      </c>
      <c r="AI128" s="812" t="s">
        <v>444</v>
      </c>
      <c r="AJ128" s="810" t="s">
        <v>444</v>
      </c>
      <c r="AK128" s="283"/>
      <c r="AL128" s="283"/>
      <c r="AM128" s="283"/>
      <c r="AN128" s="283"/>
      <c r="AO128" s="283"/>
      <c r="AP128" s="283"/>
      <c r="AQ128" s="283"/>
      <c r="AR128" s="283"/>
      <c r="AS128" s="283"/>
      <c r="AT128" s="283"/>
      <c r="AU128" s="283"/>
      <c r="AV128" s="283"/>
      <c r="AW128" s="283"/>
      <c r="AX128" s="283"/>
    </row>
    <row r="129" spans="1:50" s="51" customFormat="1" ht="42.75" customHeight="1" outlineLevel="1">
      <c r="A129" s="1265"/>
      <c r="B129" s="1265"/>
      <c r="C129" s="1265"/>
      <c r="D129" s="1265"/>
      <c r="E129" s="1265"/>
      <c r="F129" s="1265"/>
      <c r="G129" s="1266" t="s">
        <v>261</v>
      </c>
      <c r="H129" s="1266"/>
      <c r="I129" s="1266"/>
      <c r="J129" s="1266" t="s">
        <v>325</v>
      </c>
      <c r="K129" s="1266"/>
      <c r="L129" s="1266" t="s">
        <v>325</v>
      </c>
      <c r="M129" s="1266"/>
      <c r="N129" s="1266"/>
      <c r="O129" s="1266"/>
      <c r="P129" s="1266"/>
      <c r="Q129" s="1266"/>
      <c r="R129" s="1266"/>
      <c r="S129" s="1266"/>
      <c r="T129" s="1266"/>
      <c r="U129" s="1266"/>
      <c r="V129" s="1266"/>
      <c r="W129" s="1266"/>
      <c r="X129" s="1267" t="s">
        <v>2296</v>
      </c>
      <c r="Y129" s="1268" t="s">
        <v>2556</v>
      </c>
      <c r="Z129" s="897"/>
      <c r="AA129" s="897"/>
      <c r="AB129" s="1387">
        <v>4</v>
      </c>
      <c r="AC129" s="1387">
        <v>1</v>
      </c>
      <c r="AD129" s="1387"/>
      <c r="AE129" s="2520" t="s">
        <v>2298</v>
      </c>
      <c r="AF129" s="1422"/>
      <c r="AG129" s="1387"/>
      <c r="AH129" s="1269"/>
      <c r="AI129" s="1423"/>
      <c r="AJ129" s="1367"/>
      <c r="AK129" s="1425"/>
      <c r="AL129" s="1425"/>
      <c r="AM129" s="1425"/>
      <c r="AN129" s="1425"/>
      <c r="AO129" s="1425"/>
      <c r="AP129" s="1425"/>
      <c r="AQ129" s="1425"/>
      <c r="AR129" s="1425"/>
      <c r="AS129" s="1425"/>
      <c r="AT129" s="1425"/>
      <c r="AU129" s="283"/>
      <c r="AV129" s="283"/>
      <c r="AW129" s="283"/>
      <c r="AX129" s="283"/>
    </row>
    <row r="130" spans="1:50" s="51" customFormat="1" ht="42.75" customHeight="1" outlineLevel="1">
      <c r="A130" s="292"/>
      <c r="B130" s="293"/>
      <c r="C130" s="293"/>
      <c r="D130" s="293"/>
      <c r="E130" s="293"/>
      <c r="F130" s="293"/>
      <c r="G130" s="291" t="s">
        <v>261</v>
      </c>
      <c r="H130" s="291"/>
      <c r="I130" s="290"/>
      <c r="J130" s="290" t="s">
        <v>325</v>
      </c>
      <c r="K130" s="290"/>
      <c r="L130" s="290" t="s">
        <v>325</v>
      </c>
      <c r="M130" s="290"/>
      <c r="N130" s="290"/>
      <c r="O130" s="290"/>
      <c r="P130" s="290"/>
      <c r="Q130" s="290"/>
      <c r="R130" s="290"/>
      <c r="S130" s="290"/>
      <c r="T130" s="290"/>
      <c r="U130" s="290"/>
      <c r="V130" s="290"/>
      <c r="W130" s="290"/>
      <c r="X130" s="2521" t="s">
        <v>2299</v>
      </c>
      <c r="Y130" s="750" t="s">
        <v>2557</v>
      </c>
      <c r="Z130" s="775"/>
      <c r="AA130" s="775"/>
      <c r="AB130" s="775">
        <v>8</v>
      </c>
      <c r="AC130" s="775">
        <v>16</v>
      </c>
      <c r="AD130" s="789"/>
      <c r="AE130" s="776" t="s">
        <v>2301</v>
      </c>
      <c r="AF130" s="777">
        <v>1</v>
      </c>
      <c r="AG130" s="787">
        <v>-32000</v>
      </c>
      <c r="AH130" s="813" t="s">
        <v>2254</v>
      </c>
      <c r="AI130" s="814"/>
      <c r="AJ130" s="815" t="s">
        <v>2302</v>
      </c>
      <c r="AK130" s="283"/>
      <c r="AL130" s="283"/>
      <c r="AM130" s="283"/>
      <c r="AN130" s="283"/>
      <c r="AO130" s="283"/>
      <c r="AP130" s="283"/>
      <c r="AQ130" s="283"/>
      <c r="AR130" s="283"/>
      <c r="AS130" s="283"/>
      <c r="AT130" s="283"/>
      <c r="AU130" s="283"/>
      <c r="AV130" s="283"/>
      <c r="AW130" s="283"/>
      <c r="AX130" s="283"/>
    </row>
    <row r="131" spans="1:50" s="51" customFormat="1" ht="57" customHeight="1" outlineLevel="1">
      <c r="A131" s="292"/>
      <c r="B131" s="293"/>
      <c r="C131" s="293"/>
      <c r="D131" s="293"/>
      <c r="E131" s="293"/>
      <c r="F131" s="293"/>
      <c r="G131" s="291" t="s">
        <v>261</v>
      </c>
      <c r="H131" s="291"/>
      <c r="I131" s="290"/>
      <c r="J131" s="290" t="s">
        <v>325</v>
      </c>
      <c r="K131" s="290"/>
      <c r="L131" s="290" t="s">
        <v>325</v>
      </c>
      <c r="M131" s="290"/>
      <c r="N131" s="290"/>
      <c r="O131" s="290"/>
      <c r="P131" s="290"/>
      <c r="Q131" s="290"/>
      <c r="R131" s="290"/>
      <c r="S131" s="290"/>
      <c r="T131" s="290"/>
      <c r="U131" s="290"/>
      <c r="V131" s="290"/>
      <c r="W131" s="290"/>
      <c r="X131" s="2522" t="s">
        <v>2303</v>
      </c>
      <c r="Y131" s="750" t="s">
        <v>2558</v>
      </c>
      <c r="Z131" s="775"/>
      <c r="AA131" s="775"/>
      <c r="AB131" s="775">
        <v>24</v>
      </c>
      <c r="AC131" s="775">
        <v>16</v>
      </c>
      <c r="AD131" s="789"/>
      <c r="AE131" s="776" t="s">
        <v>2305</v>
      </c>
      <c r="AF131" s="777">
        <v>0.1</v>
      </c>
      <c r="AG131" s="787">
        <v>-3200</v>
      </c>
      <c r="AH131" s="813"/>
      <c r="AI131" s="814"/>
      <c r="AJ131" s="815" t="s">
        <v>2306</v>
      </c>
      <c r="AK131" s="283"/>
      <c r="AL131" s="283"/>
      <c r="AM131" s="283"/>
      <c r="AN131" s="283"/>
      <c r="AO131" s="283"/>
      <c r="AP131" s="283"/>
      <c r="AQ131" s="283"/>
      <c r="AR131" s="283"/>
      <c r="AS131" s="283"/>
      <c r="AT131" s="283"/>
      <c r="AU131" s="283"/>
      <c r="AV131" s="283"/>
      <c r="AW131" s="283"/>
      <c r="AX131" s="283"/>
    </row>
    <row r="132" spans="1:50" s="259" customFormat="1" ht="42.75" customHeight="1" outlineLevel="1">
      <c r="A132" s="485"/>
      <c r="B132" s="485"/>
      <c r="C132" s="485"/>
      <c r="D132" s="485"/>
      <c r="E132" s="485"/>
      <c r="F132" s="485"/>
      <c r="G132" s="486" t="s">
        <v>261</v>
      </c>
      <c r="H132" s="486"/>
      <c r="I132" s="486"/>
      <c r="J132" s="486" t="s">
        <v>325</v>
      </c>
      <c r="K132" s="486"/>
      <c r="L132" s="486" t="s">
        <v>325</v>
      </c>
      <c r="M132" s="486"/>
      <c r="N132" s="486"/>
      <c r="O132" s="486"/>
      <c r="P132" s="486"/>
      <c r="Q132" s="486"/>
      <c r="R132" s="486"/>
      <c r="S132" s="486"/>
      <c r="T132" s="486"/>
      <c r="U132" s="486"/>
      <c r="V132" s="486"/>
      <c r="W132" s="486"/>
      <c r="X132" s="1261" t="s">
        <v>2307</v>
      </c>
      <c r="Y132" s="837" t="s">
        <v>2559</v>
      </c>
      <c r="Z132" s="1379"/>
      <c r="AA132" s="1379"/>
      <c r="AB132" s="1379">
        <v>40</v>
      </c>
      <c r="AC132" s="1379">
        <v>2</v>
      </c>
      <c r="AD132" s="1385"/>
      <c r="AE132" s="1261" t="s">
        <v>2309</v>
      </c>
      <c r="AF132" s="842" t="s">
        <v>444</v>
      </c>
      <c r="AG132" s="1382" t="s">
        <v>444</v>
      </c>
      <c r="AH132" s="1261" t="s">
        <v>444</v>
      </c>
      <c r="AI132" s="1264" t="s">
        <v>444</v>
      </c>
      <c r="AJ132" s="1261" t="s">
        <v>444</v>
      </c>
    </row>
    <row r="133" spans="1:50" s="51" customFormat="1" ht="28.5" customHeight="1" outlineLevel="1">
      <c r="A133" s="292"/>
      <c r="B133" s="293"/>
      <c r="C133" s="293"/>
      <c r="D133" s="293"/>
      <c r="E133" s="293"/>
      <c r="F133" s="293"/>
      <c r="G133" s="291" t="s">
        <v>261</v>
      </c>
      <c r="H133" s="291"/>
      <c r="I133" s="290"/>
      <c r="J133" s="290" t="s">
        <v>325</v>
      </c>
      <c r="K133" s="290"/>
      <c r="L133" s="290" t="s">
        <v>325</v>
      </c>
      <c r="M133" s="290"/>
      <c r="N133" s="290"/>
      <c r="O133" s="290"/>
      <c r="P133" s="290"/>
      <c r="Q133" s="290"/>
      <c r="R133" s="290"/>
      <c r="S133" s="290"/>
      <c r="T133" s="290"/>
      <c r="U133" s="290"/>
      <c r="V133" s="290"/>
      <c r="W133" s="290"/>
      <c r="X133" s="811" t="s">
        <v>2310</v>
      </c>
      <c r="Y133" s="750" t="s">
        <v>2560</v>
      </c>
      <c r="Z133" s="775"/>
      <c r="AA133" s="775"/>
      <c r="AB133" s="775">
        <v>52</v>
      </c>
      <c r="AC133" s="775">
        <v>1</v>
      </c>
      <c r="AD133" s="789"/>
      <c r="AE133" s="776" t="s">
        <v>2312</v>
      </c>
      <c r="AF133" s="777">
        <v>1</v>
      </c>
      <c r="AG133" s="787">
        <v>0</v>
      </c>
      <c r="AH133" s="815"/>
      <c r="AI133" s="814"/>
      <c r="AJ133" s="815"/>
      <c r="AK133" s="283"/>
      <c r="AL133" s="283"/>
      <c r="AM133" s="283"/>
      <c r="AN133" s="283"/>
      <c r="AO133" s="283"/>
      <c r="AP133" s="283"/>
      <c r="AQ133" s="283"/>
      <c r="AR133" s="283"/>
      <c r="AS133" s="283"/>
      <c r="AT133" s="283"/>
      <c r="AU133" s="283"/>
      <c r="AV133" s="283"/>
      <c r="AW133" s="283"/>
      <c r="AX133" s="283"/>
    </row>
    <row r="134" spans="1:50" s="51" customFormat="1" ht="28.5" customHeight="1" outlineLevel="1">
      <c r="A134" s="292"/>
      <c r="B134" s="293"/>
      <c r="C134" s="293"/>
      <c r="D134" s="293"/>
      <c r="E134" s="293"/>
      <c r="F134" s="293"/>
      <c r="G134" s="291" t="s">
        <v>261</v>
      </c>
      <c r="H134" s="291"/>
      <c r="I134" s="290"/>
      <c r="J134" s="290" t="s">
        <v>325</v>
      </c>
      <c r="K134" s="290"/>
      <c r="L134" s="290" t="s">
        <v>325</v>
      </c>
      <c r="M134" s="290"/>
      <c r="N134" s="290"/>
      <c r="O134" s="290"/>
      <c r="P134" s="290"/>
      <c r="Q134" s="290"/>
      <c r="R134" s="290"/>
      <c r="S134" s="290"/>
      <c r="T134" s="290"/>
      <c r="U134" s="290"/>
      <c r="V134" s="290"/>
      <c r="W134" s="290"/>
      <c r="X134" s="811" t="s">
        <v>2313</v>
      </c>
      <c r="Y134" s="750" t="s">
        <v>2561</v>
      </c>
      <c r="Z134" s="775"/>
      <c r="AA134" s="775"/>
      <c r="AB134" s="775">
        <v>53</v>
      </c>
      <c r="AC134" s="775">
        <v>3</v>
      </c>
      <c r="AD134" s="789"/>
      <c r="AE134" s="776" t="s">
        <v>2315</v>
      </c>
      <c r="AF134" s="777">
        <v>1</v>
      </c>
      <c r="AG134" s="787">
        <v>0</v>
      </c>
      <c r="AH134" s="815"/>
      <c r="AI134" s="814"/>
      <c r="AJ134" s="815"/>
      <c r="AK134" s="283"/>
      <c r="AL134" s="283"/>
      <c r="AM134" s="283"/>
      <c r="AN134" s="283"/>
      <c r="AO134" s="283"/>
      <c r="AP134" s="283"/>
      <c r="AQ134" s="283"/>
      <c r="AR134" s="283"/>
      <c r="AS134" s="283"/>
      <c r="AT134" s="283"/>
      <c r="AU134" s="283"/>
      <c r="AV134" s="283"/>
      <c r="AW134" s="283"/>
      <c r="AX134" s="283"/>
    </row>
    <row r="135" spans="1:50" s="51" customFormat="1" ht="142.5" customHeight="1" outlineLevel="1">
      <c r="A135" s="292"/>
      <c r="B135" s="293"/>
      <c r="C135" s="293"/>
      <c r="D135" s="293"/>
      <c r="E135" s="293"/>
      <c r="F135" s="293"/>
      <c r="G135" s="291" t="s">
        <v>261</v>
      </c>
      <c r="H135" s="291"/>
      <c r="I135" s="290"/>
      <c r="J135" s="290" t="s">
        <v>325</v>
      </c>
      <c r="K135" s="290"/>
      <c r="L135" s="290" t="s">
        <v>325</v>
      </c>
      <c r="M135" s="290"/>
      <c r="N135" s="290"/>
      <c r="O135" s="290"/>
      <c r="P135" s="290"/>
      <c r="Q135" s="290"/>
      <c r="R135" s="290"/>
      <c r="S135" s="290"/>
      <c r="T135" s="290"/>
      <c r="U135" s="290"/>
      <c r="V135" s="290"/>
      <c r="W135" s="290"/>
      <c r="X135" s="811" t="s">
        <v>2316</v>
      </c>
      <c r="Y135" s="750" t="s">
        <v>2562</v>
      </c>
      <c r="Z135" s="775"/>
      <c r="AA135" s="775"/>
      <c r="AB135" s="775">
        <v>56</v>
      </c>
      <c r="AC135" s="775">
        <v>8</v>
      </c>
      <c r="AD135" s="789"/>
      <c r="AE135" s="2523" t="s">
        <v>2318</v>
      </c>
      <c r="AF135" s="777">
        <v>1</v>
      </c>
      <c r="AG135" s="787">
        <v>0</v>
      </c>
      <c r="AH135" s="815"/>
      <c r="AI135" s="814"/>
      <c r="AJ135" s="815"/>
      <c r="AK135" s="283"/>
      <c r="AL135" s="283"/>
      <c r="AM135" s="283"/>
      <c r="AN135" s="283"/>
      <c r="AO135" s="283"/>
      <c r="AP135" s="283"/>
      <c r="AQ135" s="283"/>
      <c r="AR135" s="283"/>
      <c r="AS135" s="283"/>
      <c r="AT135" s="283"/>
      <c r="AU135" s="283"/>
      <c r="AV135" s="283"/>
      <c r="AW135" s="283"/>
      <c r="AX135" s="283"/>
    </row>
    <row r="136" spans="1:50" s="51" customFormat="1" ht="14.25" customHeight="1">
      <c r="A136" s="765">
        <v>12</v>
      </c>
      <c r="B136" s="736" t="s">
        <v>2563</v>
      </c>
      <c r="C136" s="766" t="s">
        <v>2564</v>
      </c>
      <c r="D136" s="766" t="s">
        <v>488</v>
      </c>
      <c r="E136" s="766">
        <v>8</v>
      </c>
      <c r="F136" s="766" t="s">
        <v>260</v>
      </c>
      <c r="G136" s="765" t="s">
        <v>261</v>
      </c>
      <c r="H136" s="765"/>
      <c r="I136" s="767"/>
      <c r="J136" s="767" t="s">
        <v>325</v>
      </c>
      <c r="K136" s="767"/>
      <c r="L136" s="767" t="s">
        <v>325</v>
      </c>
      <c r="M136" s="767"/>
      <c r="N136" s="767"/>
      <c r="O136" s="767"/>
      <c r="P136" s="767"/>
      <c r="Q136" s="767"/>
      <c r="R136" s="767"/>
      <c r="S136" s="767"/>
      <c r="T136" s="767"/>
      <c r="U136" s="767"/>
      <c r="V136" s="767"/>
      <c r="W136" s="767"/>
      <c r="X136" s="766" t="s">
        <v>2321</v>
      </c>
      <c r="Y136" s="768"/>
      <c r="Z136" s="769"/>
      <c r="AA136" s="769"/>
      <c r="AB136" s="769"/>
      <c r="AC136" s="769"/>
      <c r="AD136" s="769"/>
      <c r="AE136" s="766" t="s">
        <v>2321</v>
      </c>
      <c r="AF136" s="770"/>
      <c r="AG136" s="767"/>
      <c r="AH136" s="769"/>
      <c r="AI136" s="771"/>
      <c r="AJ136" s="769"/>
      <c r="AK136" s="283"/>
      <c r="AL136" s="283"/>
      <c r="AM136" s="283"/>
      <c r="AN136" s="283"/>
      <c r="AO136" s="283"/>
      <c r="AP136" s="283"/>
      <c r="AQ136" s="283"/>
      <c r="AR136" s="283"/>
      <c r="AS136" s="283"/>
      <c r="AT136" s="283"/>
      <c r="AU136" s="283"/>
      <c r="AV136" s="283"/>
      <c r="AW136" s="283"/>
      <c r="AX136" s="283"/>
    </row>
    <row r="137" spans="1:50" s="51" customFormat="1" ht="14.25" customHeight="1" outlineLevel="1">
      <c r="A137" s="292"/>
      <c r="B137" s="293"/>
      <c r="C137" s="293"/>
      <c r="D137" s="293"/>
      <c r="E137" s="293"/>
      <c r="F137" s="293"/>
      <c r="G137" s="291" t="s">
        <v>261</v>
      </c>
      <c r="H137" s="291"/>
      <c r="I137" s="290" t="s">
        <v>325</v>
      </c>
      <c r="J137" s="290"/>
      <c r="K137" s="290"/>
      <c r="L137" s="290"/>
      <c r="M137" s="290"/>
      <c r="N137" s="290"/>
      <c r="O137" s="290"/>
      <c r="P137" s="290"/>
      <c r="Q137" s="290"/>
      <c r="R137" s="290"/>
      <c r="S137" s="290"/>
      <c r="T137" s="290"/>
      <c r="U137" s="290"/>
      <c r="V137" s="290"/>
      <c r="W137" s="290"/>
      <c r="X137" s="773" t="s">
        <v>2565</v>
      </c>
      <c r="Y137" s="750" t="s">
        <v>2565</v>
      </c>
      <c r="Z137" s="559"/>
      <c r="AA137" s="282"/>
      <c r="AB137" s="287">
        <v>0</v>
      </c>
      <c r="AC137" s="287">
        <v>16</v>
      </c>
      <c r="AD137" s="787"/>
      <c r="AE137" s="788"/>
      <c r="AF137" s="276">
        <v>0.1</v>
      </c>
      <c r="AG137" s="287">
        <v>0</v>
      </c>
      <c r="AH137" s="560"/>
      <c r="AI137" s="561"/>
      <c r="AJ137" s="749" t="s">
        <v>98</v>
      </c>
      <c r="AK137" s="281">
        <v>20241006</v>
      </c>
      <c r="AL137" s="283"/>
      <c r="AM137" s="283"/>
      <c r="AN137" s="283"/>
      <c r="AO137" s="283"/>
      <c r="AP137" s="283"/>
      <c r="AQ137" s="283"/>
      <c r="AR137" s="283"/>
      <c r="AS137" s="283"/>
      <c r="AT137" s="283"/>
      <c r="AU137" s="283"/>
      <c r="AV137" s="283"/>
      <c r="AW137" s="283"/>
      <c r="AX137" s="283"/>
    </row>
    <row r="138" spans="1:50" s="51" customFormat="1" ht="14.25" customHeight="1" outlineLevel="1">
      <c r="A138" s="292"/>
      <c r="B138" s="293"/>
      <c r="C138" s="293"/>
      <c r="D138" s="293"/>
      <c r="E138" s="293"/>
      <c r="F138" s="293"/>
      <c r="G138" s="291" t="s">
        <v>261</v>
      </c>
      <c r="H138" s="291"/>
      <c r="I138" s="290" t="s">
        <v>325</v>
      </c>
      <c r="J138" s="290"/>
      <c r="K138" s="290"/>
      <c r="L138" s="290"/>
      <c r="M138" s="290"/>
      <c r="N138" s="290"/>
      <c r="O138" s="290"/>
      <c r="P138" s="290"/>
      <c r="Q138" s="290"/>
      <c r="R138" s="290"/>
      <c r="S138" s="290"/>
      <c r="T138" s="290"/>
      <c r="U138" s="290"/>
      <c r="V138" s="290"/>
      <c r="W138" s="290"/>
      <c r="X138" s="773" t="s">
        <v>2566</v>
      </c>
      <c r="Y138" s="750" t="s">
        <v>2566</v>
      </c>
      <c r="Z138" s="559"/>
      <c r="AA138" s="282"/>
      <c r="AB138" s="287">
        <v>16</v>
      </c>
      <c r="AC138" s="287">
        <v>16</v>
      </c>
      <c r="AD138" s="787"/>
      <c r="AE138" s="788"/>
      <c r="AF138" s="276">
        <v>0.1</v>
      </c>
      <c r="AG138" s="287">
        <v>0</v>
      </c>
      <c r="AH138" s="560"/>
      <c r="AI138" s="561"/>
      <c r="AJ138" s="749" t="s">
        <v>98</v>
      </c>
      <c r="AK138" s="281">
        <v>20241006</v>
      </c>
      <c r="AL138" s="283"/>
      <c r="AM138" s="283"/>
      <c r="AN138" s="283"/>
      <c r="AO138" s="283"/>
      <c r="AP138" s="283"/>
      <c r="AQ138" s="283"/>
      <c r="AR138" s="283"/>
      <c r="AS138" s="283"/>
      <c r="AT138" s="283"/>
      <c r="AU138" s="283"/>
      <c r="AV138" s="283"/>
      <c r="AW138" s="283"/>
      <c r="AX138" s="283"/>
    </row>
    <row r="139" spans="1:50" s="51" customFormat="1" ht="14.25" customHeight="1" outlineLevel="1">
      <c r="A139" s="292"/>
      <c r="B139" s="293"/>
      <c r="C139" s="293"/>
      <c r="D139" s="293"/>
      <c r="E139" s="293"/>
      <c r="F139" s="293"/>
      <c r="G139" s="291" t="s">
        <v>261</v>
      </c>
      <c r="H139" s="291"/>
      <c r="I139" s="290" t="s">
        <v>325</v>
      </c>
      <c r="J139" s="290"/>
      <c r="K139" s="290"/>
      <c r="L139" s="290"/>
      <c r="M139" s="290"/>
      <c r="N139" s="290"/>
      <c r="O139" s="290"/>
      <c r="P139" s="290"/>
      <c r="Q139" s="290"/>
      <c r="R139" s="290"/>
      <c r="S139" s="290"/>
      <c r="T139" s="290"/>
      <c r="U139" s="290"/>
      <c r="V139" s="290"/>
      <c r="W139" s="290"/>
      <c r="X139" s="773" t="s">
        <v>2567</v>
      </c>
      <c r="Y139" s="750" t="s">
        <v>2568</v>
      </c>
      <c r="Z139" s="559"/>
      <c r="AA139" s="282"/>
      <c r="AB139" s="287">
        <v>53</v>
      </c>
      <c r="AC139" s="287">
        <v>3</v>
      </c>
      <c r="AD139" s="787"/>
      <c r="AE139" s="788"/>
      <c r="AF139" s="276">
        <v>1</v>
      </c>
      <c r="AG139" s="287">
        <v>0</v>
      </c>
      <c r="AH139" s="560"/>
      <c r="AI139" s="561"/>
      <c r="AJ139" s="789"/>
      <c r="AK139" s="281">
        <v>20241006</v>
      </c>
      <c r="AL139" s="283"/>
      <c r="AM139" s="283"/>
      <c r="AN139" s="283"/>
      <c r="AO139" s="283"/>
      <c r="AP139" s="283"/>
      <c r="AQ139" s="283"/>
      <c r="AR139" s="283"/>
      <c r="AS139" s="283"/>
      <c r="AT139" s="283"/>
      <c r="AU139" s="283"/>
      <c r="AV139" s="283"/>
      <c r="AW139" s="283"/>
      <c r="AX139" s="283"/>
    </row>
    <row r="140" spans="1:50" s="51" customFormat="1" ht="14.25" customHeight="1" outlineLevel="1">
      <c r="A140" s="292"/>
      <c r="B140" s="293"/>
      <c r="C140" s="293"/>
      <c r="D140" s="293"/>
      <c r="E140" s="293"/>
      <c r="F140" s="293"/>
      <c r="G140" s="291" t="s">
        <v>261</v>
      </c>
      <c r="H140" s="291"/>
      <c r="I140" s="290" t="s">
        <v>325</v>
      </c>
      <c r="J140" s="290"/>
      <c r="K140" s="290"/>
      <c r="L140" s="290"/>
      <c r="M140" s="290"/>
      <c r="N140" s="290"/>
      <c r="O140" s="290"/>
      <c r="P140" s="290"/>
      <c r="Q140" s="290"/>
      <c r="R140" s="290"/>
      <c r="S140" s="290"/>
      <c r="T140" s="290"/>
      <c r="U140" s="290"/>
      <c r="V140" s="290"/>
      <c r="W140" s="290"/>
      <c r="X140" s="773" t="s">
        <v>2569</v>
      </c>
      <c r="Y140" s="750" t="s">
        <v>2570</v>
      </c>
      <c r="Z140" s="559"/>
      <c r="AA140" s="282"/>
      <c r="AB140" s="287">
        <v>56</v>
      </c>
      <c r="AC140" s="287">
        <v>8</v>
      </c>
      <c r="AD140" s="787"/>
      <c r="AE140" s="788"/>
      <c r="AF140" s="276">
        <v>1</v>
      </c>
      <c r="AG140" s="287">
        <v>0</v>
      </c>
      <c r="AH140" s="560"/>
      <c r="AI140" s="561"/>
      <c r="AJ140" s="789"/>
      <c r="AK140" s="281">
        <v>20241006</v>
      </c>
      <c r="AL140" s="283"/>
      <c r="AM140" s="283"/>
      <c r="AN140" s="283"/>
      <c r="AO140" s="283"/>
      <c r="AP140" s="283"/>
      <c r="AQ140" s="283"/>
      <c r="AR140" s="283"/>
      <c r="AS140" s="283"/>
      <c r="AT140" s="283"/>
      <c r="AU140" s="283"/>
      <c r="AV140" s="283"/>
      <c r="AW140" s="283"/>
      <c r="AX140" s="283"/>
    </row>
    <row r="141" spans="1:50" s="51" customFormat="1" ht="14.25" customHeight="1">
      <c r="A141" s="765">
        <v>13</v>
      </c>
      <c r="B141" s="736" t="s">
        <v>2571</v>
      </c>
      <c r="C141" s="766" t="s">
        <v>2572</v>
      </c>
      <c r="D141" s="766" t="s">
        <v>488</v>
      </c>
      <c r="E141" s="766">
        <v>8</v>
      </c>
      <c r="F141" s="766" t="s">
        <v>260</v>
      </c>
      <c r="G141" s="765" t="s">
        <v>325</v>
      </c>
      <c r="H141" s="765"/>
      <c r="I141" s="767"/>
      <c r="J141" s="767" t="s">
        <v>261</v>
      </c>
      <c r="K141" s="767" t="s">
        <v>325</v>
      </c>
      <c r="L141" s="767" t="s">
        <v>325</v>
      </c>
      <c r="M141" s="767"/>
      <c r="N141" s="767"/>
      <c r="O141" s="767"/>
      <c r="P141" s="767"/>
      <c r="Q141" s="767"/>
      <c r="R141" s="767"/>
      <c r="S141" s="767"/>
      <c r="T141" s="767"/>
      <c r="U141" s="767"/>
      <c r="V141" s="767"/>
      <c r="W141" s="767"/>
      <c r="X141" s="766" t="s">
        <v>2573</v>
      </c>
      <c r="Y141" s="768"/>
      <c r="Z141" s="769"/>
      <c r="AA141" s="769"/>
      <c r="AB141" s="769"/>
      <c r="AC141" s="769"/>
      <c r="AD141" s="769"/>
      <c r="AE141" s="766" t="s">
        <v>2573</v>
      </c>
      <c r="AF141" s="770"/>
      <c r="AG141" s="767"/>
      <c r="AH141" s="769"/>
      <c r="AI141" s="771"/>
      <c r="AJ141" s="769"/>
      <c r="AK141" s="283"/>
      <c r="AL141" s="283"/>
      <c r="AM141" s="283"/>
      <c r="AN141" s="283"/>
      <c r="AO141" s="283"/>
      <c r="AP141" s="283"/>
      <c r="AQ141" s="283"/>
      <c r="AR141" s="283"/>
      <c r="AS141" s="283"/>
      <c r="AT141" s="283"/>
      <c r="AU141" s="283"/>
      <c r="AV141" s="283"/>
      <c r="AW141" s="283"/>
      <c r="AX141" s="283"/>
    </row>
    <row r="142" spans="1:50" s="51" customFormat="1" ht="42.75" customHeight="1" outlineLevel="1">
      <c r="A142" s="280"/>
      <c r="B142" s="293"/>
      <c r="C142" s="293"/>
      <c r="D142" s="293"/>
      <c r="E142" s="293"/>
      <c r="F142" s="293"/>
      <c r="G142" s="291" t="s">
        <v>325</v>
      </c>
      <c r="H142" s="291"/>
      <c r="I142" s="290"/>
      <c r="J142" s="290" t="s">
        <v>261</v>
      </c>
      <c r="K142" s="290" t="s">
        <v>325</v>
      </c>
      <c r="L142" s="290" t="s">
        <v>325</v>
      </c>
      <c r="M142" s="290"/>
      <c r="N142" s="290"/>
      <c r="O142" s="290"/>
      <c r="P142" s="290"/>
      <c r="Q142" s="290"/>
      <c r="R142" s="290"/>
      <c r="S142" s="290"/>
      <c r="T142" s="290"/>
      <c r="U142" s="290"/>
      <c r="V142" s="290"/>
      <c r="W142" s="290"/>
      <c r="X142" s="2524" t="s">
        <v>2330</v>
      </c>
      <c r="Y142" s="750" t="s">
        <v>2574</v>
      </c>
      <c r="Z142" s="289">
        <v>0</v>
      </c>
      <c r="AA142" s="289"/>
      <c r="AB142" s="287">
        <v>0</v>
      </c>
      <c r="AC142" s="287">
        <v>16</v>
      </c>
      <c r="AD142" s="287"/>
      <c r="AE142" s="286" t="s">
        <v>2332</v>
      </c>
      <c r="AF142" s="276">
        <v>1</v>
      </c>
      <c r="AG142" s="287">
        <v>-32000</v>
      </c>
      <c r="AH142" s="279" t="s">
        <v>2254</v>
      </c>
      <c r="AI142" s="278"/>
      <c r="AJ142" s="784" t="s">
        <v>2302</v>
      </c>
      <c r="AK142" s="283"/>
      <c r="AL142" s="283"/>
      <c r="AM142" s="283"/>
      <c r="AN142" s="283"/>
      <c r="AO142" s="283"/>
      <c r="AP142" s="283"/>
      <c r="AQ142" s="283"/>
      <c r="AR142" s="283"/>
      <c r="AS142" s="283"/>
      <c r="AT142" s="283"/>
      <c r="AU142" s="283"/>
      <c r="AV142" s="283"/>
      <c r="AW142" s="283"/>
      <c r="AX142" s="283"/>
    </row>
    <row r="143" spans="1:50" s="51" customFormat="1" ht="42.75" customHeight="1" outlineLevel="1">
      <c r="A143" s="280"/>
      <c r="B143" s="293"/>
      <c r="C143" s="293"/>
      <c r="D143" s="293"/>
      <c r="E143" s="293"/>
      <c r="F143" s="293"/>
      <c r="G143" s="291" t="s">
        <v>325</v>
      </c>
      <c r="H143" s="291"/>
      <c r="I143" s="290"/>
      <c r="J143" s="290" t="s">
        <v>261</v>
      </c>
      <c r="K143" s="290" t="s">
        <v>325</v>
      </c>
      <c r="L143" s="290" t="s">
        <v>325</v>
      </c>
      <c r="M143" s="290"/>
      <c r="N143" s="290"/>
      <c r="O143" s="290"/>
      <c r="P143" s="290"/>
      <c r="Q143" s="290"/>
      <c r="R143" s="290"/>
      <c r="S143" s="290"/>
      <c r="T143" s="290"/>
      <c r="U143" s="290"/>
      <c r="V143" s="290"/>
      <c r="W143" s="290"/>
      <c r="X143" s="2525" t="s">
        <v>2334</v>
      </c>
      <c r="Y143" s="750" t="s">
        <v>2575</v>
      </c>
      <c r="Z143" s="786">
        <v>2</v>
      </c>
      <c r="AA143" s="786"/>
      <c r="AB143" s="787">
        <v>16</v>
      </c>
      <c r="AC143" s="787">
        <v>16</v>
      </c>
      <c r="AD143" s="787"/>
      <c r="AE143" s="776" t="s">
        <v>2332</v>
      </c>
      <c r="AF143" s="777">
        <v>0.1</v>
      </c>
      <c r="AG143" s="787">
        <v>-3200</v>
      </c>
      <c r="AH143" s="782"/>
      <c r="AI143" s="783"/>
      <c r="AJ143" s="784" t="s">
        <v>2306</v>
      </c>
      <c r="AK143" s="283"/>
      <c r="AL143" s="283"/>
      <c r="AM143" s="283"/>
      <c r="AN143" s="283"/>
      <c r="AO143" s="283"/>
      <c r="AP143" s="283"/>
      <c r="AQ143" s="283"/>
      <c r="AR143" s="283"/>
      <c r="AS143" s="283"/>
      <c r="AT143" s="283"/>
      <c r="AU143" s="283"/>
      <c r="AV143" s="283"/>
      <c r="AW143" s="283"/>
      <c r="AX143" s="283"/>
    </row>
    <row r="144" spans="1:50" s="51" customFormat="1" ht="28.5" customHeight="1" outlineLevel="1">
      <c r="A144" s="280"/>
      <c r="B144" s="293"/>
      <c r="C144" s="293"/>
      <c r="D144" s="293"/>
      <c r="E144" s="293"/>
      <c r="F144" s="293"/>
      <c r="G144" s="291" t="s">
        <v>325</v>
      </c>
      <c r="H144" s="291"/>
      <c r="I144" s="290"/>
      <c r="J144" s="290" t="s">
        <v>261</v>
      </c>
      <c r="K144" s="290"/>
      <c r="L144" s="290" t="s">
        <v>325</v>
      </c>
      <c r="M144" s="290"/>
      <c r="N144" s="290"/>
      <c r="O144" s="290"/>
      <c r="P144" s="290"/>
      <c r="Q144" s="290"/>
      <c r="R144" s="290"/>
      <c r="S144" s="290"/>
      <c r="T144" s="290"/>
      <c r="U144" s="290"/>
      <c r="V144" s="290"/>
      <c r="W144" s="290"/>
      <c r="X144" s="2526" t="s">
        <v>2576</v>
      </c>
      <c r="Y144" s="750" t="s">
        <v>2577</v>
      </c>
      <c r="Z144" s="786">
        <v>4</v>
      </c>
      <c r="AA144" s="786"/>
      <c r="AB144" s="787">
        <v>32</v>
      </c>
      <c r="AC144" s="787">
        <v>1</v>
      </c>
      <c r="AD144" s="787"/>
      <c r="AE144" s="2527" t="s">
        <v>2338</v>
      </c>
      <c r="AF144" s="777">
        <v>1</v>
      </c>
      <c r="AG144" s="737" t="s">
        <v>444</v>
      </c>
      <c r="AH144" s="737" t="s">
        <v>444</v>
      </c>
      <c r="AI144" s="778" t="s">
        <v>444</v>
      </c>
      <c r="AJ144" s="772" t="s">
        <v>444</v>
      </c>
      <c r="AK144" s="283"/>
      <c r="AL144" s="283"/>
      <c r="AM144" s="283"/>
      <c r="AN144" s="283"/>
      <c r="AO144" s="283"/>
      <c r="AP144" s="283"/>
      <c r="AQ144" s="283"/>
      <c r="AR144" s="283"/>
      <c r="AS144" s="283"/>
      <c r="AT144" s="283"/>
      <c r="AU144" s="283"/>
      <c r="AV144" s="283"/>
      <c r="AW144" s="283"/>
      <c r="AX144" s="283"/>
    </row>
    <row r="145" spans="1:50" s="51" customFormat="1" ht="116.1" customHeight="1" outlineLevel="1">
      <c r="A145" s="280"/>
      <c r="B145" s="293"/>
      <c r="C145" s="293"/>
      <c r="D145" s="293"/>
      <c r="E145" s="293"/>
      <c r="F145" s="293"/>
      <c r="G145" s="291" t="s">
        <v>325</v>
      </c>
      <c r="H145" s="291"/>
      <c r="I145" s="290"/>
      <c r="J145" s="290" t="s">
        <v>261</v>
      </c>
      <c r="K145" s="290"/>
      <c r="L145" s="290" t="s">
        <v>325</v>
      </c>
      <c r="M145" s="290"/>
      <c r="N145" s="290"/>
      <c r="O145" s="290"/>
      <c r="P145" s="290"/>
      <c r="Q145" s="290"/>
      <c r="R145" s="290"/>
      <c r="S145" s="290"/>
      <c r="T145" s="290"/>
      <c r="U145" s="290"/>
      <c r="V145" s="290"/>
      <c r="W145" s="290"/>
      <c r="X145" s="2528" t="s">
        <v>2339</v>
      </c>
      <c r="Y145" s="750" t="s">
        <v>2578</v>
      </c>
      <c r="Z145" s="774">
        <v>6</v>
      </c>
      <c r="AA145" s="774"/>
      <c r="AB145" s="775">
        <v>48</v>
      </c>
      <c r="AC145" s="775">
        <v>3</v>
      </c>
      <c r="AD145" s="775"/>
      <c r="AE145" s="2529" t="s">
        <v>2295</v>
      </c>
      <c r="AF145" s="777">
        <v>1</v>
      </c>
      <c r="AG145" s="775">
        <v>0</v>
      </c>
      <c r="AH145" s="737" t="s">
        <v>444</v>
      </c>
      <c r="AI145" s="778" t="s">
        <v>444</v>
      </c>
      <c r="AJ145" s="772" t="s">
        <v>444</v>
      </c>
      <c r="AK145" s="283"/>
      <c r="AL145" s="283"/>
      <c r="AM145" s="283"/>
      <c r="AN145" s="283"/>
      <c r="AO145" s="283"/>
      <c r="AP145" s="283"/>
      <c r="AQ145" s="283"/>
      <c r="AR145" s="283"/>
      <c r="AS145" s="283"/>
      <c r="AT145" s="283"/>
      <c r="AU145" s="283"/>
      <c r="AV145" s="283"/>
      <c r="AW145" s="283"/>
      <c r="AX145" s="283"/>
    </row>
    <row r="146" spans="1:50" s="51" customFormat="1" ht="57" customHeight="1" outlineLevel="1">
      <c r="A146" s="280"/>
      <c r="B146" s="293"/>
      <c r="C146" s="293"/>
      <c r="D146" s="293"/>
      <c r="E146" s="293"/>
      <c r="F146" s="293"/>
      <c r="G146" s="291" t="s">
        <v>325</v>
      </c>
      <c r="H146" s="291"/>
      <c r="I146" s="290"/>
      <c r="J146" s="290" t="s">
        <v>261</v>
      </c>
      <c r="K146" s="290"/>
      <c r="L146" s="290" t="s">
        <v>325</v>
      </c>
      <c r="M146" s="290"/>
      <c r="N146" s="290"/>
      <c r="O146" s="290"/>
      <c r="P146" s="290"/>
      <c r="Q146" s="290"/>
      <c r="R146" s="290"/>
      <c r="S146" s="290"/>
      <c r="T146" s="290"/>
      <c r="U146" s="290"/>
      <c r="V146" s="290"/>
      <c r="W146" s="290"/>
      <c r="X146" s="2530" t="s">
        <v>2579</v>
      </c>
      <c r="Y146" s="750" t="s">
        <v>2580</v>
      </c>
      <c r="Z146" s="774">
        <v>6</v>
      </c>
      <c r="AA146" s="774"/>
      <c r="AB146" s="775">
        <v>51</v>
      </c>
      <c r="AC146" s="775">
        <v>2</v>
      </c>
      <c r="AD146" s="775"/>
      <c r="AE146" s="2531" t="s">
        <v>2581</v>
      </c>
      <c r="AF146" s="777">
        <v>1</v>
      </c>
      <c r="AG146" s="775">
        <v>0</v>
      </c>
      <c r="AH146" s="737" t="s">
        <v>444</v>
      </c>
      <c r="AI146" s="778" t="s">
        <v>444</v>
      </c>
      <c r="AJ146" s="772" t="s">
        <v>444</v>
      </c>
      <c r="AK146" s="283"/>
      <c r="AL146" s="283"/>
      <c r="AM146" s="283"/>
      <c r="AN146" s="283"/>
      <c r="AO146" s="283"/>
      <c r="AP146" s="283"/>
      <c r="AQ146" s="283"/>
      <c r="AR146" s="283"/>
      <c r="AS146" s="283"/>
      <c r="AT146" s="283"/>
      <c r="AU146" s="283"/>
      <c r="AV146" s="283"/>
      <c r="AW146" s="283"/>
      <c r="AX146" s="283"/>
    </row>
    <row r="147" spans="1:50" s="51" customFormat="1" ht="42.75" customHeight="1" outlineLevel="1">
      <c r="A147" s="280"/>
      <c r="B147" s="293"/>
      <c r="C147" s="293"/>
      <c r="D147" s="293"/>
      <c r="E147" s="293"/>
      <c r="F147" s="293"/>
      <c r="G147" s="291" t="s">
        <v>325</v>
      </c>
      <c r="H147" s="291"/>
      <c r="I147" s="290"/>
      <c r="J147" s="290" t="s">
        <v>261</v>
      </c>
      <c r="K147" s="290" t="s">
        <v>325</v>
      </c>
      <c r="L147" s="290" t="s">
        <v>325</v>
      </c>
      <c r="M147" s="290"/>
      <c r="N147" s="290"/>
      <c r="O147" s="290"/>
      <c r="P147" s="290"/>
      <c r="Q147" s="290"/>
      <c r="R147" s="290"/>
      <c r="S147" s="290"/>
      <c r="T147" s="290"/>
      <c r="U147" s="290"/>
      <c r="V147" s="290"/>
      <c r="W147" s="290"/>
      <c r="X147" s="2532" t="s">
        <v>2344</v>
      </c>
      <c r="Y147" s="750" t="s">
        <v>2582</v>
      </c>
      <c r="Z147" s="786">
        <v>6</v>
      </c>
      <c r="AA147" s="786"/>
      <c r="AB147" s="787">
        <v>53</v>
      </c>
      <c r="AC147" s="787">
        <v>3</v>
      </c>
      <c r="AD147" s="787"/>
      <c r="AE147" s="776" t="s">
        <v>2315</v>
      </c>
      <c r="AF147" s="777">
        <v>1</v>
      </c>
      <c r="AG147" s="787">
        <v>0</v>
      </c>
      <c r="AH147" s="737" t="s">
        <v>444</v>
      </c>
      <c r="AI147" s="778" t="s">
        <v>444</v>
      </c>
      <c r="AJ147" s="772" t="s">
        <v>444</v>
      </c>
      <c r="AK147" s="283"/>
      <c r="AL147" s="283"/>
      <c r="AM147" s="283"/>
      <c r="AN147" s="283"/>
      <c r="AO147" s="283"/>
      <c r="AP147" s="283"/>
      <c r="AQ147" s="283"/>
      <c r="AR147" s="283"/>
      <c r="AS147" s="283"/>
      <c r="AT147" s="283"/>
      <c r="AU147" s="283"/>
      <c r="AV147" s="283"/>
      <c r="AW147" s="283"/>
      <c r="AX147" s="283"/>
    </row>
    <row r="148" spans="1:50" s="51" customFormat="1" ht="198" customHeight="1" outlineLevel="1">
      <c r="A148" s="280"/>
      <c r="B148" s="293"/>
      <c r="C148" s="293"/>
      <c r="D148" s="293"/>
      <c r="E148" s="293"/>
      <c r="F148" s="293"/>
      <c r="G148" s="291" t="s">
        <v>325</v>
      </c>
      <c r="H148" s="291"/>
      <c r="I148" s="290"/>
      <c r="J148" s="290" t="s">
        <v>261</v>
      </c>
      <c r="K148" s="290" t="s">
        <v>325</v>
      </c>
      <c r="L148" s="290" t="s">
        <v>325</v>
      </c>
      <c r="M148" s="290"/>
      <c r="N148" s="290"/>
      <c r="O148" s="290"/>
      <c r="P148" s="290"/>
      <c r="Q148" s="290"/>
      <c r="R148" s="290"/>
      <c r="S148" s="290"/>
      <c r="T148" s="290"/>
      <c r="U148" s="290"/>
      <c r="V148" s="290"/>
      <c r="W148" s="290"/>
      <c r="X148" s="2533" t="s">
        <v>2346</v>
      </c>
      <c r="Y148" s="750" t="s">
        <v>2583</v>
      </c>
      <c r="Z148" s="774">
        <v>7</v>
      </c>
      <c r="AA148" s="774"/>
      <c r="AB148" s="775">
        <v>56</v>
      </c>
      <c r="AC148" s="775">
        <v>8</v>
      </c>
      <c r="AD148" s="775"/>
      <c r="AE148" s="2534" t="s">
        <v>2318</v>
      </c>
      <c r="AF148" s="777">
        <v>1</v>
      </c>
      <c r="AG148" s="780">
        <v>0</v>
      </c>
      <c r="AH148" s="737" t="s">
        <v>444</v>
      </c>
      <c r="AI148" s="778" t="s">
        <v>444</v>
      </c>
      <c r="AJ148" s="772" t="s">
        <v>444</v>
      </c>
      <c r="AK148" s="283"/>
      <c r="AL148" s="283"/>
      <c r="AM148" s="283"/>
      <c r="AN148" s="283"/>
      <c r="AO148" s="283"/>
      <c r="AP148" s="283"/>
      <c r="AQ148" s="283"/>
      <c r="AR148" s="283"/>
      <c r="AS148" s="283"/>
      <c r="AT148" s="283"/>
      <c r="AU148" s="283"/>
      <c r="AV148" s="283"/>
      <c r="AW148" s="283"/>
      <c r="AX148" s="283"/>
    </row>
    <row r="149" spans="1:50" s="51" customFormat="1" ht="14.25" customHeight="1" outlineLevel="1">
      <c r="A149" s="765">
        <v>14</v>
      </c>
      <c r="B149" s="736" t="s">
        <v>2584</v>
      </c>
      <c r="C149" s="766" t="s">
        <v>2585</v>
      </c>
      <c r="D149" s="766" t="s">
        <v>488</v>
      </c>
      <c r="E149" s="766">
        <v>8</v>
      </c>
      <c r="F149" s="766" t="s">
        <v>260</v>
      </c>
      <c r="G149" s="765" t="s">
        <v>325</v>
      </c>
      <c r="H149" s="765"/>
      <c r="I149" s="767"/>
      <c r="J149" s="767" t="s">
        <v>261</v>
      </c>
      <c r="K149" s="767"/>
      <c r="L149" s="767" t="s">
        <v>325</v>
      </c>
      <c r="M149" s="767"/>
      <c r="N149" s="767"/>
      <c r="O149" s="767"/>
      <c r="P149" s="767"/>
      <c r="Q149" s="767"/>
      <c r="R149" s="767"/>
      <c r="S149" s="767"/>
      <c r="T149" s="767"/>
      <c r="U149" s="767"/>
      <c r="V149" s="767"/>
      <c r="W149" s="767"/>
      <c r="X149" s="766" t="s">
        <v>2586</v>
      </c>
      <c r="Y149" s="768"/>
      <c r="Z149" s="769"/>
      <c r="AA149" s="769"/>
      <c r="AB149" s="769"/>
      <c r="AC149" s="769"/>
      <c r="AD149" s="769"/>
      <c r="AE149" s="766" t="s">
        <v>2586</v>
      </c>
      <c r="AF149" s="770"/>
      <c r="AG149" s="767"/>
      <c r="AH149" s="769"/>
      <c r="AI149" s="771"/>
      <c r="AJ149" s="769"/>
      <c r="AK149" s="283"/>
      <c r="AL149" s="283"/>
      <c r="AM149" s="283"/>
      <c r="AN149" s="283"/>
      <c r="AO149" s="283"/>
      <c r="AP149" s="283"/>
      <c r="AQ149" s="283"/>
      <c r="AR149" s="283"/>
      <c r="AS149" s="283"/>
      <c r="AT149" s="283" t="s">
        <v>2587</v>
      </c>
      <c r="AU149" s="283"/>
      <c r="AV149" s="283"/>
      <c r="AW149" s="283"/>
      <c r="AX149" s="283"/>
    </row>
    <row r="150" spans="1:50" s="51" customFormat="1" ht="42.75" customHeight="1" outlineLevel="1">
      <c r="A150" s="280"/>
      <c r="B150" s="293"/>
      <c r="C150" s="293"/>
      <c r="D150" s="293"/>
      <c r="E150" s="293"/>
      <c r="F150" s="293"/>
      <c r="G150" s="291" t="s">
        <v>325</v>
      </c>
      <c r="H150" s="291"/>
      <c r="I150" s="290"/>
      <c r="J150" s="290" t="s">
        <v>261</v>
      </c>
      <c r="K150" s="290"/>
      <c r="L150" s="290" t="s">
        <v>325</v>
      </c>
      <c r="M150" s="290"/>
      <c r="N150" s="290"/>
      <c r="O150" s="290"/>
      <c r="P150" s="290"/>
      <c r="Q150" s="290"/>
      <c r="R150" s="290"/>
      <c r="S150" s="290"/>
      <c r="T150" s="290"/>
      <c r="U150" s="290"/>
      <c r="V150" s="290"/>
      <c r="W150" s="290"/>
      <c r="X150" s="2535" t="s">
        <v>2353</v>
      </c>
      <c r="Y150" s="750" t="s">
        <v>2587</v>
      </c>
      <c r="Z150" s="287">
        <v>0</v>
      </c>
      <c r="AA150" s="287"/>
      <c r="AB150" s="287">
        <v>0</v>
      </c>
      <c r="AC150" s="287">
        <v>16</v>
      </c>
      <c r="AD150" s="287"/>
      <c r="AE150" s="277" t="s">
        <v>2332</v>
      </c>
      <c r="AF150" s="276">
        <v>0.05</v>
      </c>
      <c r="AG150" s="287">
        <v>0</v>
      </c>
      <c r="AH150" s="287" t="s">
        <v>2354</v>
      </c>
      <c r="AI150" s="275">
        <v>0</v>
      </c>
      <c r="AJ150" s="789" t="s">
        <v>1007</v>
      </c>
      <c r="AK150" s="283"/>
      <c r="AL150" s="283"/>
      <c r="AM150" s="283"/>
      <c r="AN150" s="283"/>
      <c r="AO150" s="283"/>
      <c r="AP150" s="283"/>
      <c r="AQ150" s="283"/>
      <c r="AR150" s="283"/>
      <c r="AS150" s="283"/>
      <c r="AT150" s="283" t="s">
        <v>2587</v>
      </c>
      <c r="AU150" s="283"/>
      <c r="AV150" s="283"/>
      <c r="AW150" s="283"/>
      <c r="AX150" s="283"/>
    </row>
    <row r="151" spans="1:50" s="51" customFormat="1" ht="42.75" customHeight="1" outlineLevel="1">
      <c r="A151" s="280"/>
      <c r="B151" s="293"/>
      <c r="C151" s="293"/>
      <c r="D151" s="293"/>
      <c r="E151" s="293"/>
      <c r="F151" s="293"/>
      <c r="G151" s="291" t="s">
        <v>325</v>
      </c>
      <c r="H151" s="291"/>
      <c r="I151" s="290"/>
      <c r="J151" s="290" t="s">
        <v>261</v>
      </c>
      <c r="K151" s="290"/>
      <c r="L151" s="290" t="s">
        <v>325</v>
      </c>
      <c r="M151" s="290"/>
      <c r="N151" s="290"/>
      <c r="O151" s="290"/>
      <c r="P151" s="290"/>
      <c r="Q151" s="290"/>
      <c r="R151" s="290"/>
      <c r="S151" s="290"/>
      <c r="T151" s="290"/>
      <c r="U151" s="290"/>
      <c r="V151" s="290"/>
      <c r="W151" s="290"/>
      <c r="X151" s="2536" t="s">
        <v>2355</v>
      </c>
      <c r="Y151" s="750" t="s">
        <v>2588</v>
      </c>
      <c r="Z151" s="787">
        <v>2</v>
      </c>
      <c r="AA151" s="787"/>
      <c r="AB151" s="787">
        <v>16</v>
      </c>
      <c r="AC151" s="787">
        <v>16</v>
      </c>
      <c r="AD151" s="787"/>
      <c r="AE151" s="790" t="s">
        <v>2357</v>
      </c>
      <c r="AF151" s="777">
        <v>0.05</v>
      </c>
      <c r="AG151" s="787">
        <v>-1600</v>
      </c>
      <c r="AH151" s="791" t="s">
        <v>2358</v>
      </c>
      <c r="AI151" s="792">
        <v>0</v>
      </c>
      <c r="AJ151" s="789" t="s">
        <v>98</v>
      </c>
      <c r="AK151" s="283"/>
      <c r="AL151" s="283"/>
      <c r="AM151" s="283"/>
      <c r="AN151" s="283"/>
      <c r="AO151" s="283"/>
      <c r="AP151" s="283"/>
      <c r="AQ151" s="283"/>
      <c r="AR151" s="283"/>
      <c r="AS151" s="283"/>
      <c r="AT151" s="283" t="s">
        <v>2587</v>
      </c>
      <c r="AU151" s="283"/>
      <c r="AV151" s="283"/>
      <c r="AW151" s="283"/>
      <c r="AX151" s="283"/>
    </row>
    <row r="152" spans="1:50" s="51" customFormat="1" ht="42.75" customHeight="1" outlineLevel="1">
      <c r="A152" s="280"/>
      <c r="B152" s="293"/>
      <c r="C152" s="293"/>
      <c r="D152" s="293"/>
      <c r="E152" s="293"/>
      <c r="F152" s="293"/>
      <c r="G152" s="291" t="s">
        <v>325</v>
      </c>
      <c r="H152" s="291"/>
      <c r="I152" s="290"/>
      <c r="J152" s="290" t="s">
        <v>261</v>
      </c>
      <c r="K152" s="290"/>
      <c r="L152" s="290" t="s">
        <v>325</v>
      </c>
      <c r="M152" s="290"/>
      <c r="N152" s="290"/>
      <c r="O152" s="290"/>
      <c r="P152" s="290"/>
      <c r="Q152" s="290"/>
      <c r="R152" s="290"/>
      <c r="S152" s="290"/>
      <c r="T152" s="290"/>
      <c r="U152" s="290"/>
      <c r="V152" s="290"/>
      <c r="W152" s="290"/>
      <c r="X152" s="2537" t="s">
        <v>2589</v>
      </c>
      <c r="Y152" s="750" t="s">
        <v>2590</v>
      </c>
      <c r="Z152" s="787">
        <v>4</v>
      </c>
      <c r="AA152" s="787"/>
      <c r="AB152" s="787">
        <v>32</v>
      </c>
      <c r="AC152" s="787">
        <v>16</v>
      </c>
      <c r="AD152" s="787"/>
      <c r="AE152" s="790" t="s">
        <v>2332</v>
      </c>
      <c r="AF152" s="777">
        <v>0.1</v>
      </c>
      <c r="AG152" s="787">
        <v>0</v>
      </c>
      <c r="AH152" s="787" t="s">
        <v>2361</v>
      </c>
      <c r="AI152" s="792">
        <v>0</v>
      </c>
      <c r="AJ152" s="789" t="s">
        <v>98</v>
      </c>
      <c r="AK152" s="283"/>
      <c r="AL152" s="283"/>
      <c r="AM152" s="283"/>
      <c r="AN152" s="283"/>
      <c r="AO152" s="283"/>
      <c r="AP152" s="283"/>
      <c r="AQ152" s="283"/>
      <c r="AR152" s="283"/>
      <c r="AS152" s="283"/>
      <c r="AT152" s="283" t="s">
        <v>2587</v>
      </c>
      <c r="AU152" s="283"/>
      <c r="AV152" s="283"/>
      <c r="AW152" s="283"/>
      <c r="AX152" s="283"/>
    </row>
    <row r="153" spans="1:50" s="51" customFormat="1" ht="42.75" customHeight="1" outlineLevel="1">
      <c r="A153" s="1265"/>
      <c r="B153" s="1265"/>
      <c r="C153" s="1265"/>
      <c r="D153" s="1265"/>
      <c r="E153" s="1265"/>
      <c r="F153" s="1265"/>
      <c r="G153" s="1266" t="s">
        <v>325</v>
      </c>
      <c r="H153" s="1266"/>
      <c r="I153" s="1266"/>
      <c r="J153" s="1266" t="s">
        <v>261</v>
      </c>
      <c r="K153" s="1266"/>
      <c r="L153" s="1266" t="s">
        <v>325</v>
      </c>
      <c r="M153" s="1266"/>
      <c r="N153" s="1266"/>
      <c r="O153" s="1266"/>
      <c r="P153" s="1266"/>
      <c r="Q153" s="1266"/>
      <c r="R153" s="1266"/>
      <c r="S153" s="1266"/>
      <c r="T153" s="1266"/>
      <c r="U153" s="1266"/>
      <c r="V153" s="1266"/>
      <c r="W153" s="1266"/>
      <c r="X153" s="1267" t="s">
        <v>2513</v>
      </c>
      <c r="Y153" s="1268" t="s">
        <v>2591</v>
      </c>
      <c r="Z153" s="1269">
        <v>6</v>
      </c>
      <c r="AA153" s="1269"/>
      <c r="AB153" s="1269">
        <v>48</v>
      </c>
      <c r="AC153" s="1269">
        <v>16</v>
      </c>
      <c r="AD153" s="1269"/>
      <c r="AE153" s="2538" t="s">
        <v>2515</v>
      </c>
      <c r="AF153" s="1365">
        <v>0.1</v>
      </c>
      <c r="AG153" s="1269">
        <v>0</v>
      </c>
      <c r="AH153" s="1269" t="s">
        <v>2365</v>
      </c>
      <c r="AI153" s="1366">
        <v>0</v>
      </c>
      <c r="AJ153" s="1367" t="s">
        <v>1007</v>
      </c>
      <c r="AK153" s="1265"/>
      <c r="AL153" s="1265"/>
      <c r="AM153" s="1265"/>
      <c r="AN153" s="1265"/>
      <c r="AO153" s="1265"/>
      <c r="AP153" s="1265"/>
      <c r="AQ153" s="1265"/>
      <c r="AR153" s="1265"/>
      <c r="AS153" s="1265"/>
      <c r="AT153" s="1265"/>
      <c r="AU153" s="283"/>
      <c r="AV153" s="283"/>
      <c r="AW153" s="283"/>
      <c r="AX153" s="283"/>
    </row>
    <row r="154" spans="1:50" s="51" customFormat="1" ht="42.75" customHeight="1" outlineLevel="1">
      <c r="A154" s="280"/>
      <c r="B154" s="293"/>
      <c r="C154" s="293"/>
      <c r="D154" s="293"/>
      <c r="E154" s="293"/>
      <c r="F154" s="293"/>
      <c r="G154" s="291" t="s">
        <v>325</v>
      </c>
      <c r="H154" s="291"/>
      <c r="I154" s="290"/>
      <c r="J154" s="290" t="s">
        <v>261</v>
      </c>
      <c r="K154" s="290"/>
      <c r="L154" s="290" t="s">
        <v>325</v>
      </c>
      <c r="M154" s="290"/>
      <c r="N154" s="290"/>
      <c r="O154" s="290"/>
      <c r="P154" s="290"/>
      <c r="Q154" s="290"/>
      <c r="R154" s="290"/>
      <c r="S154" s="290"/>
      <c r="T154" s="290"/>
      <c r="U154" s="290"/>
      <c r="V154" s="290"/>
      <c r="W154" s="290"/>
      <c r="X154" s="2539" t="s">
        <v>2592</v>
      </c>
      <c r="Y154" s="750" t="s">
        <v>2593</v>
      </c>
      <c r="Z154" s="787">
        <v>6</v>
      </c>
      <c r="AA154" s="787"/>
      <c r="AB154" s="787">
        <v>53</v>
      </c>
      <c r="AC154" s="787">
        <v>3</v>
      </c>
      <c r="AD154" s="787"/>
      <c r="AE154" s="790" t="s">
        <v>2315</v>
      </c>
      <c r="AF154" s="777">
        <v>1</v>
      </c>
      <c r="AG154" s="787">
        <v>0</v>
      </c>
      <c r="AH154" s="787" t="s">
        <v>2368</v>
      </c>
      <c r="AI154" s="792">
        <v>0</v>
      </c>
      <c r="AJ154" s="789"/>
      <c r="AK154" s="283"/>
      <c r="AL154" s="283"/>
      <c r="AM154" s="283"/>
      <c r="AN154" s="283"/>
      <c r="AO154" s="283"/>
      <c r="AP154" s="283"/>
      <c r="AQ154" s="283"/>
      <c r="AR154" s="283"/>
      <c r="AS154" s="283"/>
      <c r="AT154" s="283" t="s">
        <v>2587</v>
      </c>
      <c r="AU154" s="283"/>
      <c r="AV154" s="283"/>
      <c r="AW154" s="283"/>
      <c r="AX154" s="283"/>
    </row>
    <row r="155" spans="1:50" s="51" customFormat="1" ht="142.5" customHeight="1" outlineLevel="1">
      <c r="A155" s="280"/>
      <c r="B155" s="293"/>
      <c r="C155" s="293"/>
      <c r="D155" s="293"/>
      <c r="E155" s="293"/>
      <c r="F155" s="293"/>
      <c r="G155" s="291" t="s">
        <v>325</v>
      </c>
      <c r="H155" s="291"/>
      <c r="I155" s="290"/>
      <c r="J155" s="290" t="s">
        <v>261</v>
      </c>
      <c r="K155" s="290"/>
      <c r="L155" s="290" t="s">
        <v>325</v>
      </c>
      <c r="M155" s="290"/>
      <c r="N155" s="290"/>
      <c r="O155" s="290"/>
      <c r="P155" s="290"/>
      <c r="Q155" s="290"/>
      <c r="R155" s="290"/>
      <c r="S155" s="290"/>
      <c r="T155" s="290"/>
      <c r="U155" s="290"/>
      <c r="V155" s="290"/>
      <c r="W155" s="290"/>
      <c r="X155" s="2540" t="s">
        <v>2594</v>
      </c>
      <c r="Y155" s="1426" t="s">
        <v>2595</v>
      </c>
      <c r="Z155" s="780">
        <v>7</v>
      </c>
      <c r="AA155" s="780"/>
      <c r="AB155" s="780">
        <v>56</v>
      </c>
      <c r="AC155" s="780">
        <v>8</v>
      </c>
      <c r="AD155" s="780"/>
      <c r="AE155" s="2541" t="s">
        <v>2318</v>
      </c>
      <c r="AF155" s="777">
        <v>1</v>
      </c>
      <c r="AG155" s="780">
        <v>0</v>
      </c>
      <c r="AH155" s="780" t="s">
        <v>2371</v>
      </c>
      <c r="AI155" s="792">
        <v>0</v>
      </c>
      <c r="AJ155" s="789"/>
      <c r="AK155" s="283"/>
      <c r="AL155" s="283"/>
      <c r="AM155" s="283"/>
      <c r="AN155" s="283"/>
      <c r="AO155" s="283"/>
      <c r="AP155" s="283"/>
      <c r="AQ155" s="283"/>
      <c r="AR155" s="283"/>
      <c r="AS155" s="283"/>
      <c r="AT155" s="283"/>
      <c r="AU155" s="283"/>
      <c r="AV155" s="283"/>
      <c r="AW155" s="283"/>
      <c r="AX155" s="283"/>
    </row>
    <row r="156" spans="1:50" s="51" customFormat="1" ht="14.25" customHeight="1">
      <c r="A156" s="765">
        <v>15</v>
      </c>
      <c r="B156" s="736" t="s">
        <v>2596</v>
      </c>
      <c r="C156" s="766" t="s">
        <v>2597</v>
      </c>
      <c r="D156" s="766" t="s">
        <v>488</v>
      </c>
      <c r="E156" s="766">
        <v>8</v>
      </c>
      <c r="F156" s="766" t="s">
        <v>260</v>
      </c>
      <c r="G156" s="765" t="s">
        <v>325</v>
      </c>
      <c r="H156" s="765"/>
      <c r="I156" s="767"/>
      <c r="J156" s="767" t="s">
        <v>261</v>
      </c>
      <c r="K156" s="767"/>
      <c r="L156" s="767" t="s">
        <v>325</v>
      </c>
      <c r="M156" s="767"/>
      <c r="N156" s="767"/>
      <c r="O156" s="767"/>
      <c r="P156" s="767"/>
      <c r="Q156" s="767"/>
      <c r="R156" s="767"/>
      <c r="S156" s="767"/>
      <c r="T156" s="767"/>
      <c r="U156" s="767"/>
      <c r="V156" s="767"/>
      <c r="W156" s="767"/>
      <c r="X156" s="766" t="s">
        <v>2598</v>
      </c>
      <c r="Y156" s="768"/>
      <c r="Z156" s="769"/>
      <c r="AA156" s="769"/>
      <c r="AB156" s="769"/>
      <c r="AC156" s="769"/>
      <c r="AD156" s="769"/>
      <c r="AE156" s="816"/>
      <c r="AF156" s="770"/>
      <c r="AG156" s="767"/>
      <c r="AH156" s="769"/>
      <c r="AI156" s="771"/>
      <c r="AJ156" s="769"/>
      <c r="AK156" s="283"/>
      <c r="AL156" s="283"/>
      <c r="AM156" s="283"/>
      <c r="AN156" s="283"/>
      <c r="AO156" s="283"/>
      <c r="AP156" s="283"/>
      <c r="AQ156" s="283"/>
      <c r="AR156" s="283"/>
      <c r="AS156" s="283"/>
      <c r="AT156" s="283"/>
      <c r="AU156" s="283"/>
      <c r="AV156" s="283"/>
      <c r="AW156" s="283"/>
      <c r="AX156" s="283"/>
    </row>
    <row r="157" spans="1:50" s="51" customFormat="1" ht="42.75" customHeight="1" outlineLevel="1">
      <c r="A157" s="280"/>
      <c r="B157" s="293"/>
      <c r="C157" s="293"/>
      <c r="D157" s="293"/>
      <c r="E157" s="293"/>
      <c r="F157" s="293"/>
      <c r="G157" s="291" t="s">
        <v>325</v>
      </c>
      <c r="H157" s="291"/>
      <c r="I157" s="290"/>
      <c r="J157" s="290" t="s">
        <v>261</v>
      </c>
      <c r="K157" s="290"/>
      <c r="L157" s="290" t="s">
        <v>325</v>
      </c>
      <c r="M157" s="290"/>
      <c r="N157" s="290"/>
      <c r="O157" s="290"/>
      <c r="P157" s="290"/>
      <c r="Q157" s="290"/>
      <c r="R157" s="290"/>
      <c r="S157" s="290"/>
      <c r="T157" s="290"/>
      <c r="U157" s="290"/>
      <c r="V157" s="290"/>
      <c r="W157" s="290"/>
      <c r="X157" s="2542" t="s">
        <v>2599</v>
      </c>
      <c r="Y157" s="750" t="s">
        <v>2600</v>
      </c>
      <c r="Z157" s="288">
        <v>0</v>
      </c>
      <c r="AA157" s="288"/>
      <c r="AB157" s="288">
        <v>0</v>
      </c>
      <c r="AC157" s="288">
        <v>16</v>
      </c>
      <c r="AD157" s="288"/>
      <c r="AE157" s="285" t="s">
        <v>2332</v>
      </c>
      <c r="AF157" s="276">
        <v>0.1</v>
      </c>
      <c r="AG157" s="288">
        <v>0</v>
      </c>
      <c r="AH157" s="288">
        <v>0</v>
      </c>
      <c r="AI157" s="274"/>
      <c r="AJ157" s="789" t="s">
        <v>2377</v>
      </c>
      <c r="AK157" s="283"/>
      <c r="AL157" s="283"/>
      <c r="AM157" s="283"/>
      <c r="AN157" s="283"/>
      <c r="AO157" s="283"/>
      <c r="AP157" s="283"/>
      <c r="AQ157" s="283"/>
      <c r="AR157" s="283"/>
      <c r="AS157" s="283"/>
      <c r="AT157" s="283"/>
      <c r="AU157" s="283"/>
      <c r="AV157" s="283"/>
      <c r="AW157" s="283"/>
      <c r="AX157" s="283"/>
    </row>
    <row r="158" spans="1:50" s="51" customFormat="1" ht="42.75" customHeight="1" outlineLevel="1">
      <c r="A158" s="1368"/>
      <c r="B158" s="1265"/>
      <c r="C158" s="1265"/>
      <c r="D158" s="1265"/>
      <c r="E158" s="1265"/>
      <c r="F158" s="1265"/>
      <c r="G158" s="1266" t="s">
        <v>325</v>
      </c>
      <c r="H158" s="1266"/>
      <c r="I158" s="1266"/>
      <c r="J158" s="1266" t="s">
        <v>261</v>
      </c>
      <c r="K158" s="1266"/>
      <c r="L158" s="1266"/>
      <c r="M158" s="1266"/>
      <c r="N158" s="1266"/>
      <c r="O158" s="1266"/>
      <c r="P158" s="1266"/>
      <c r="Q158" s="1266"/>
      <c r="R158" s="1266"/>
      <c r="S158" s="1266"/>
      <c r="T158" s="1266"/>
      <c r="U158" s="1266"/>
      <c r="V158" s="1266"/>
      <c r="W158" s="1266"/>
      <c r="X158" s="2543" t="s">
        <v>2601</v>
      </c>
      <c r="Y158" s="1268" t="s">
        <v>2602</v>
      </c>
      <c r="Z158" s="1387">
        <v>2</v>
      </c>
      <c r="AA158" s="1387"/>
      <c r="AB158" s="1387">
        <v>16</v>
      </c>
      <c r="AC158" s="1387">
        <v>16</v>
      </c>
      <c r="AD158" s="1387"/>
      <c r="AE158" s="1269" t="s">
        <v>2332</v>
      </c>
      <c r="AF158" s="1422">
        <v>0.01</v>
      </c>
      <c r="AG158" s="1387">
        <v>0</v>
      </c>
      <c r="AH158" s="1387">
        <v>0</v>
      </c>
      <c r="AI158" s="1423"/>
      <c r="AJ158" s="1424" t="s">
        <v>904</v>
      </c>
      <c r="AK158" s="1425" t="s">
        <v>2603</v>
      </c>
      <c r="AL158" s="1425"/>
      <c r="AM158" s="1425"/>
      <c r="AN158" s="1425"/>
      <c r="AO158" s="1425"/>
      <c r="AP158" s="1425"/>
      <c r="AQ158" s="1425"/>
      <c r="AR158" s="1425"/>
      <c r="AS158" s="1425"/>
      <c r="AT158" s="1425"/>
      <c r="AU158" s="283"/>
      <c r="AV158" s="283"/>
      <c r="AW158" s="283"/>
      <c r="AX158" s="283"/>
    </row>
    <row r="159" spans="1:50" s="51" customFormat="1" ht="42.75" customHeight="1" outlineLevel="1">
      <c r="A159" s="280"/>
      <c r="B159" s="293"/>
      <c r="C159" s="293"/>
      <c r="D159" s="293"/>
      <c r="E159" s="293"/>
      <c r="F159" s="293"/>
      <c r="G159" s="291" t="s">
        <v>325</v>
      </c>
      <c r="H159" s="291"/>
      <c r="I159" s="290"/>
      <c r="J159" s="290" t="s">
        <v>261</v>
      </c>
      <c r="K159" s="290"/>
      <c r="L159" s="290" t="s">
        <v>325</v>
      </c>
      <c r="M159" s="290"/>
      <c r="N159" s="290"/>
      <c r="O159" s="290"/>
      <c r="P159" s="290"/>
      <c r="Q159" s="290"/>
      <c r="R159" s="290"/>
      <c r="S159" s="290"/>
      <c r="T159" s="290"/>
      <c r="U159" s="290"/>
      <c r="V159" s="290"/>
      <c r="W159" s="290"/>
      <c r="X159" s="2544" t="s">
        <v>2604</v>
      </c>
      <c r="Y159" s="750" t="s">
        <v>2605</v>
      </c>
      <c r="Z159" s="775">
        <v>2</v>
      </c>
      <c r="AA159" s="775"/>
      <c r="AB159" s="775">
        <v>16</v>
      </c>
      <c r="AC159" s="775">
        <v>16</v>
      </c>
      <c r="AD159" s="775"/>
      <c r="AE159" s="737" t="s">
        <v>2332</v>
      </c>
      <c r="AF159" s="777">
        <v>0.1</v>
      </c>
      <c r="AG159" s="775">
        <v>0</v>
      </c>
      <c r="AH159" s="775">
        <v>0</v>
      </c>
      <c r="AI159" s="793"/>
      <c r="AJ159" s="789" t="s">
        <v>2377</v>
      </c>
      <c r="AK159" s="283"/>
      <c r="AL159" s="283"/>
      <c r="AM159" s="283"/>
      <c r="AN159" s="283"/>
      <c r="AO159" s="283"/>
      <c r="AP159" s="283"/>
      <c r="AQ159" s="283"/>
      <c r="AR159" s="283"/>
      <c r="AS159" s="283"/>
      <c r="AT159" s="283"/>
      <c r="AU159" s="283"/>
      <c r="AV159" s="283"/>
      <c r="AW159" s="283"/>
      <c r="AX159" s="283"/>
    </row>
    <row r="160" spans="1:50" s="50" customFormat="1" ht="28.5" customHeight="1" outlineLevel="1">
      <c r="A160" s="59"/>
      <c r="G160" s="63" t="s">
        <v>325</v>
      </c>
      <c r="H160" s="63"/>
      <c r="I160" s="55"/>
      <c r="J160" s="55" t="s">
        <v>261</v>
      </c>
      <c r="K160" s="55"/>
      <c r="L160" s="55" t="s">
        <v>325</v>
      </c>
      <c r="M160" s="55"/>
      <c r="N160" s="55"/>
      <c r="O160" s="55"/>
      <c r="P160" s="55"/>
      <c r="Q160" s="55"/>
      <c r="R160" s="55"/>
      <c r="S160" s="55"/>
      <c r="T160" s="55"/>
      <c r="U160" s="55"/>
      <c r="V160" s="55"/>
      <c r="W160" s="55"/>
      <c r="X160" s="2545" t="s">
        <v>2606</v>
      </c>
      <c r="Y160" s="750" t="s">
        <v>2607</v>
      </c>
      <c r="Z160" s="755">
        <v>4</v>
      </c>
      <c r="AA160" s="755"/>
      <c r="AB160" s="755">
        <v>32</v>
      </c>
      <c r="AC160" s="755">
        <v>16</v>
      </c>
      <c r="AD160" s="755"/>
      <c r="AE160" s="756" t="s">
        <v>2384</v>
      </c>
      <c r="AF160" s="818"/>
      <c r="AG160" s="755"/>
      <c r="AH160" s="755"/>
      <c r="AI160" s="819"/>
      <c r="AJ160" s="820"/>
      <c r="AK160" s="50">
        <v>20240613</v>
      </c>
    </row>
    <row r="161" spans="1:40" s="51" customFormat="1" ht="42.75" customHeight="1" outlineLevel="1">
      <c r="A161" s="59"/>
      <c r="B161" s="50"/>
      <c r="C161" s="50"/>
      <c r="D161" s="50"/>
      <c r="E161" s="50"/>
      <c r="F161" s="50"/>
      <c r="G161" s="63" t="s">
        <v>325</v>
      </c>
      <c r="H161" s="63"/>
      <c r="I161" s="55"/>
      <c r="J161" s="55" t="s">
        <v>261</v>
      </c>
      <c r="K161" s="55"/>
      <c r="L161" s="55" t="s">
        <v>325</v>
      </c>
      <c r="M161" s="55"/>
      <c r="N161" s="55"/>
      <c r="O161" s="55"/>
      <c r="P161" s="55"/>
      <c r="Q161" s="55"/>
      <c r="R161" s="55"/>
      <c r="S161" s="55"/>
      <c r="T161" s="55"/>
      <c r="U161" s="55"/>
      <c r="V161" s="55"/>
      <c r="W161" s="55"/>
      <c r="X161" s="2546" t="s">
        <v>2385</v>
      </c>
      <c r="Y161" s="750" t="s">
        <v>2608</v>
      </c>
      <c r="Z161" s="755">
        <v>6</v>
      </c>
      <c r="AA161" s="755"/>
      <c r="AB161" s="755">
        <v>53</v>
      </c>
      <c r="AC161" s="755">
        <v>3</v>
      </c>
      <c r="AD161" s="755"/>
      <c r="AE161" s="756" t="s">
        <v>2315</v>
      </c>
      <c r="AF161" s="818">
        <v>1</v>
      </c>
      <c r="AG161" s="755">
        <v>0</v>
      </c>
      <c r="AH161" s="755">
        <v>0</v>
      </c>
      <c r="AI161" s="819"/>
      <c r="AJ161" s="820"/>
    </row>
    <row r="162" spans="1:40" s="50" customFormat="1" ht="142.5" customHeight="1" outlineLevel="1">
      <c r="A162" s="59"/>
      <c r="G162" s="63" t="s">
        <v>325</v>
      </c>
      <c r="H162" s="63"/>
      <c r="I162" s="55"/>
      <c r="J162" s="55" t="s">
        <v>261</v>
      </c>
      <c r="K162" s="55"/>
      <c r="L162" s="55" t="s">
        <v>325</v>
      </c>
      <c r="M162" s="55"/>
      <c r="N162" s="55"/>
      <c r="O162" s="55"/>
      <c r="P162" s="55"/>
      <c r="Q162" s="55"/>
      <c r="R162" s="55"/>
      <c r="S162" s="55"/>
      <c r="T162" s="55"/>
      <c r="U162" s="55"/>
      <c r="V162" s="55"/>
      <c r="W162" s="55"/>
      <c r="X162" s="2547" t="s">
        <v>2387</v>
      </c>
      <c r="Y162" s="750" t="s">
        <v>2609</v>
      </c>
      <c r="Z162" s="755">
        <v>7</v>
      </c>
      <c r="AA162" s="755"/>
      <c r="AB162" s="755">
        <v>56</v>
      </c>
      <c r="AC162" s="755">
        <v>8</v>
      </c>
      <c r="AD162" s="755"/>
      <c r="AE162" s="2548" t="s">
        <v>2318</v>
      </c>
      <c r="AF162" s="818">
        <v>1</v>
      </c>
      <c r="AG162" s="755">
        <v>0</v>
      </c>
      <c r="AH162" s="755">
        <v>0</v>
      </c>
      <c r="AI162" s="819"/>
      <c r="AJ162" s="820"/>
    </row>
    <row r="163" spans="1:40" s="51" customFormat="1" ht="14.25" customHeight="1">
      <c r="A163" s="794">
        <v>16</v>
      </c>
      <c r="B163" s="795" t="s">
        <v>2610</v>
      </c>
      <c r="C163" s="796" t="s">
        <v>2611</v>
      </c>
      <c r="D163" s="796" t="s">
        <v>259</v>
      </c>
      <c r="E163" s="796">
        <v>8</v>
      </c>
      <c r="F163" s="796" t="s">
        <v>260</v>
      </c>
      <c r="G163" s="796" t="s">
        <v>325</v>
      </c>
      <c r="H163" s="796" t="s">
        <v>398</v>
      </c>
      <c r="I163" s="797" t="s">
        <v>398</v>
      </c>
      <c r="J163" s="797" t="s">
        <v>261</v>
      </c>
      <c r="K163" s="797" t="s">
        <v>398</v>
      </c>
      <c r="L163" s="797" t="s">
        <v>325</v>
      </c>
      <c r="M163" s="797" t="s">
        <v>398</v>
      </c>
      <c r="N163" s="797"/>
      <c r="O163" s="797"/>
      <c r="P163" s="797"/>
      <c r="Q163" s="797"/>
      <c r="R163" s="797"/>
      <c r="S163" s="797"/>
      <c r="T163" s="797"/>
      <c r="U163" s="797"/>
      <c r="V163" s="797"/>
      <c r="W163" s="797"/>
      <c r="X163" s="796" t="s">
        <v>2612</v>
      </c>
      <c r="Y163" s="796" t="s">
        <v>398</v>
      </c>
      <c r="Z163" s="797" t="s">
        <v>398</v>
      </c>
      <c r="AA163" s="797" t="s">
        <v>398</v>
      </c>
      <c r="AB163" s="797" t="s">
        <v>398</v>
      </c>
      <c r="AC163" s="797" t="s">
        <v>398</v>
      </c>
      <c r="AD163" s="797" t="s">
        <v>398</v>
      </c>
      <c r="AE163" s="796" t="s">
        <v>2613</v>
      </c>
      <c r="AF163" s="797" t="s">
        <v>398</v>
      </c>
      <c r="AG163" s="797" t="s">
        <v>398</v>
      </c>
      <c r="AH163" s="797" t="s">
        <v>398</v>
      </c>
      <c r="AI163" s="799" t="s">
        <v>398</v>
      </c>
      <c r="AJ163" s="800" t="s">
        <v>398</v>
      </c>
      <c r="AK163" s="248" t="s">
        <v>398</v>
      </c>
      <c r="AL163" s="248" t="s">
        <v>398</v>
      </c>
      <c r="AM163" s="248" t="s">
        <v>398</v>
      </c>
      <c r="AN163" s="248" t="s">
        <v>398</v>
      </c>
    </row>
    <row r="164" spans="1:40" s="51" customFormat="1" ht="28.5" customHeight="1" outlineLevel="1">
      <c r="A164" s="241"/>
      <c r="B164" s="240"/>
      <c r="C164" s="240"/>
      <c r="D164" s="240"/>
      <c r="E164" s="240"/>
      <c r="F164" s="240"/>
      <c r="G164" s="242" t="s">
        <v>325</v>
      </c>
      <c r="H164" s="242"/>
      <c r="I164" s="243"/>
      <c r="J164" s="243" t="s">
        <v>261</v>
      </c>
      <c r="K164" s="243"/>
      <c r="L164" s="243" t="s">
        <v>325</v>
      </c>
      <c r="M164" s="243"/>
      <c r="N164" s="243"/>
      <c r="O164" s="243"/>
      <c r="P164" s="243"/>
      <c r="Q164" s="243"/>
      <c r="R164" s="243"/>
      <c r="S164" s="243"/>
      <c r="T164" s="243"/>
      <c r="U164" s="243"/>
      <c r="V164" s="243"/>
      <c r="W164" s="243"/>
      <c r="X164" s="2549" t="s">
        <v>2614</v>
      </c>
      <c r="Y164" s="244" t="s">
        <v>2615</v>
      </c>
      <c r="Z164" s="245">
        <v>0</v>
      </c>
      <c r="AA164" s="245" t="s">
        <v>398</v>
      </c>
      <c r="AB164" s="245">
        <v>0</v>
      </c>
      <c r="AC164" s="245">
        <v>8</v>
      </c>
      <c r="AD164" s="245" t="s">
        <v>398</v>
      </c>
      <c r="AE164" s="250" t="s">
        <v>398</v>
      </c>
      <c r="AF164" s="245">
        <v>1</v>
      </c>
      <c r="AG164" s="245">
        <v>-40</v>
      </c>
      <c r="AH164" s="249" t="s">
        <v>2616</v>
      </c>
      <c r="AI164" s="251" t="s">
        <v>398</v>
      </c>
      <c r="AJ164" s="247" t="s">
        <v>508</v>
      </c>
      <c r="AK164" s="248" t="s">
        <v>398</v>
      </c>
      <c r="AL164" s="248" t="s">
        <v>398</v>
      </c>
      <c r="AM164" s="248" t="s">
        <v>398</v>
      </c>
      <c r="AN164" s="248" t="s">
        <v>398</v>
      </c>
    </row>
    <row r="165" spans="1:40" s="51" customFormat="1" ht="28.5" customHeight="1" outlineLevel="1">
      <c r="A165" s="241"/>
      <c r="B165" s="240"/>
      <c r="C165" s="240"/>
      <c r="D165" s="240"/>
      <c r="E165" s="240"/>
      <c r="F165" s="240"/>
      <c r="G165" s="242" t="s">
        <v>325</v>
      </c>
      <c r="H165" s="242"/>
      <c r="I165" s="243"/>
      <c r="J165" s="243" t="s">
        <v>261</v>
      </c>
      <c r="K165" s="243"/>
      <c r="L165" s="243" t="s">
        <v>325</v>
      </c>
      <c r="M165" s="243"/>
      <c r="N165" s="243"/>
      <c r="O165" s="243"/>
      <c r="P165" s="243"/>
      <c r="Q165" s="243"/>
      <c r="R165" s="243"/>
      <c r="S165" s="243"/>
      <c r="T165" s="243"/>
      <c r="U165" s="243"/>
      <c r="V165" s="243"/>
      <c r="W165" s="243"/>
      <c r="X165" s="2550" t="s">
        <v>2617</v>
      </c>
      <c r="Y165" s="244" t="s">
        <v>2618</v>
      </c>
      <c r="Z165" s="245">
        <v>1</v>
      </c>
      <c r="AA165" s="245" t="s">
        <v>398</v>
      </c>
      <c r="AB165" s="245">
        <v>8</v>
      </c>
      <c r="AC165" s="245">
        <v>8</v>
      </c>
      <c r="AD165" s="245" t="s">
        <v>398</v>
      </c>
      <c r="AE165" s="250" t="s">
        <v>398</v>
      </c>
      <c r="AF165" s="245">
        <v>1</v>
      </c>
      <c r="AG165" s="245">
        <v>-40</v>
      </c>
      <c r="AH165" s="249" t="s">
        <v>2616</v>
      </c>
      <c r="AI165" s="251" t="s">
        <v>398</v>
      </c>
      <c r="AJ165" s="247" t="s">
        <v>508</v>
      </c>
      <c r="AK165" s="248" t="s">
        <v>398</v>
      </c>
      <c r="AL165" s="248" t="s">
        <v>398</v>
      </c>
      <c r="AM165" s="248" t="s">
        <v>398</v>
      </c>
      <c r="AN165" s="248" t="s">
        <v>398</v>
      </c>
    </row>
    <row r="166" spans="1:40" s="51" customFormat="1" ht="42.75" customHeight="1" outlineLevel="1">
      <c r="A166" s="241"/>
      <c r="B166" s="240"/>
      <c r="C166" s="240"/>
      <c r="D166" s="240"/>
      <c r="E166" s="240"/>
      <c r="F166" s="240"/>
      <c r="G166" s="242" t="s">
        <v>325</v>
      </c>
      <c r="H166" s="242"/>
      <c r="I166" s="243"/>
      <c r="J166" s="243" t="s">
        <v>261</v>
      </c>
      <c r="K166" s="243"/>
      <c r="L166" s="243" t="s">
        <v>325</v>
      </c>
      <c r="M166" s="243"/>
      <c r="N166" s="243"/>
      <c r="O166" s="243"/>
      <c r="P166" s="243"/>
      <c r="Q166" s="243"/>
      <c r="R166" s="243"/>
      <c r="S166" s="243"/>
      <c r="T166" s="243"/>
      <c r="U166" s="243"/>
      <c r="V166" s="243"/>
      <c r="W166" s="243"/>
      <c r="X166" s="2551" t="s">
        <v>2619</v>
      </c>
      <c r="Y166" s="244" t="s">
        <v>2620</v>
      </c>
      <c r="Z166" s="245">
        <v>2</v>
      </c>
      <c r="AA166" s="245" t="s">
        <v>398</v>
      </c>
      <c r="AB166" s="245">
        <v>16</v>
      </c>
      <c r="AC166" s="245">
        <v>1</v>
      </c>
      <c r="AD166" s="245" t="s">
        <v>398</v>
      </c>
      <c r="AE166" s="2552" t="s">
        <v>1533</v>
      </c>
      <c r="AF166" s="245">
        <v>1</v>
      </c>
      <c r="AG166" s="245">
        <v>0</v>
      </c>
      <c r="AH166" s="245" t="s">
        <v>2621</v>
      </c>
      <c r="AI166" s="251" t="s">
        <v>398</v>
      </c>
      <c r="AJ166" s="252" t="s">
        <v>398</v>
      </c>
      <c r="AK166" s="254" t="s">
        <v>2622</v>
      </c>
      <c r="AL166" s="248" t="s">
        <v>398</v>
      </c>
      <c r="AM166" s="248" t="s">
        <v>398</v>
      </c>
      <c r="AN166" s="248" t="s">
        <v>398</v>
      </c>
    </row>
    <row r="167" spans="1:40" s="51" customFormat="1" ht="42.75" customHeight="1" outlineLevel="1">
      <c r="A167" s="241"/>
      <c r="B167" s="240"/>
      <c r="C167" s="240"/>
      <c r="D167" s="240"/>
      <c r="E167" s="240"/>
      <c r="F167" s="240"/>
      <c r="G167" s="242" t="s">
        <v>325</v>
      </c>
      <c r="H167" s="242"/>
      <c r="I167" s="243"/>
      <c r="J167" s="243" t="s">
        <v>261</v>
      </c>
      <c r="K167" s="243"/>
      <c r="L167" s="243" t="s">
        <v>325</v>
      </c>
      <c r="M167" s="243"/>
      <c r="N167" s="243"/>
      <c r="O167" s="243"/>
      <c r="P167" s="243"/>
      <c r="Q167" s="243"/>
      <c r="R167" s="243"/>
      <c r="S167" s="243"/>
      <c r="T167" s="243"/>
      <c r="U167" s="243"/>
      <c r="V167" s="243"/>
      <c r="W167" s="243"/>
      <c r="X167" s="2553" t="s">
        <v>2623</v>
      </c>
      <c r="Y167" s="802" t="s">
        <v>2624</v>
      </c>
      <c r="Z167" s="245">
        <v>2</v>
      </c>
      <c r="AA167" s="245" t="s">
        <v>398</v>
      </c>
      <c r="AB167" s="245">
        <v>17</v>
      </c>
      <c r="AC167" s="245">
        <v>1</v>
      </c>
      <c r="AD167" s="245" t="s">
        <v>398</v>
      </c>
      <c r="AE167" s="2554" t="s">
        <v>1533</v>
      </c>
      <c r="AF167" s="245">
        <v>1</v>
      </c>
      <c r="AG167" s="245">
        <v>0</v>
      </c>
      <c r="AH167" s="245" t="s">
        <v>2621</v>
      </c>
      <c r="AI167" s="251" t="s">
        <v>398</v>
      </c>
      <c r="AJ167" s="252" t="s">
        <v>398</v>
      </c>
      <c r="AK167" s="254" t="s">
        <v>2625</v>
      </c>
      <c r="AL167" s="248" t="s">
        <v>398</v>
      </c>
      <c r="AM167" s="248" t="s">
        <v>398</v>
      </c>
      <c r="AN167" s="248" t="s">
        <v>398</v>
      </c>
    </row>
    <row r="168" spans="1:40" s="51" customFormat="1" ht="45" customHeight="1" outlineLevel="1">
      <c r="A168" s="241"/>
      <c r="B168" s="240"/>
      <c r="C168" s="240"/>
      <c r="D168" s="240"/>
      <c r="E168" s="240"/>
      <c r="F168" s="240"/>
      <c r="G168" s="242" t="s">
        <v>325</v>
      </c>
      <c r="H168" s="242"/>
      <c r="I168" s="243"/>
      <c r="J168" s="243" t="s">
        <v>261</v>
      </c>
      <c r="K168" s="243"/>
      <c r="L168" s="243" t="s">
        <v>325</v>
      </c>
      <c r="M168" s="243"/>
      <c r="N168" s="243"/>
      <c r="O168" s="243"/>
      <c r="P168" s="243"/>
      <c r="Q168" s="243"/>
      <c r="R168" s="243"/>
      <c r="S168" s="243"/>
      <c r="T168" s="243"/>
      <c r="U168" s="243"/>
      <c r="V168" s="243"/>
      <c r="W168" s="243"/>
      <c r="X168" s="2555" t="s">
        <v>2626</v>
      </c>
      <c r="Y168" s="802" t="s">
        <v>2627</v>
      </c>
      <c r="Z168" s="245">
        <v>2</v>
      </c>
      <c r="AA168" s="245" t="s">
        <v>398</v>
      </c>
      <c r="AB168" s="245">
        <v>18</v>
      </c>
      <c r="AC168" s="245">
        <v>1</v>
      </c>
      <c r="AD168" s="245" t="s">
        <v>398</v>
      </c>
      <c r="AE168" s="2556" t="s">
        <v>1533</v>
      </c>
      <c r="AF168" s="245">
        <v>1</v>
      </c>
      <c r="AG168" s="245">
        <v>0</v>
      </c>
      <c r="AH168" s="245" t="s">
        <v>2621</v>
      </c>
      <c r="AI168" s="251" t="s">
        <v>398</v>
      </c>
      <c r="AJ168" s="252" t="s">
        <v>398</v>
      </c>
      <c r="AK168" s="255" t="s">
        <v>2628</v>
      </c>
      <c r="AL168" s="248" t="s">
        <v>398</v>
      </c>
      <c r="AM168" s="248" t="s">
        <v>398</v>
      </c>
      <c r="AN168" s="248" t="s">
        <v>398</v>
      </c>
    </row>
    <row r="169" spans="1:40" s="51" customFormat="1" ht="42.75" customHeight="1" outlineLevel="1">
      <c r="A169" s="241"/>
      <c r="B169" s="240"/>
      <c r="C169" s="240"/>
      <c r="D169" s="240"/>
      <c r="E169" s="240"/>
      <c r="F169" s="240"/>
      <c r="G169" s="242" t="s">
        <v>325</v>
      </c>
      <c r="H169" s="242"/>
      <c r="I169" s="243"/>
      <c r="J169" s="243" t="s">
        <v>261</v>
      </c>
      <c r="K169" s="243"/>
      <c r="L169" s="243" t="s">
        <v>325</v>
      </c>
      <c r="M169" s="243"/>
      <c r="N169" s="243"/>
      <c r="O169" s="243"/>
      <c r="P169" s="243"/>
      <c r="Q169" s="243"/>
      <c r="R169" s="243"/>
      <c r="S169" s="243"/>
      <c r="T169" s="243"/>
      <c r="U169" s="243"/>
      <c r="V169" s="243"/>
      <c r="W169" s="243"/>
      <c r="X169" s="2557" t="s">
        <v>2629</v>
      </c>
      <c r="Y169" s="802" t="s">
        <v>2630</v>
      </c>
      <c r="Z169" s="245">
        <v>2</v>
      </c>
      <c r="AA169" s="245" t="s">
        <v>398</v>
      </c>
      <c r="AB169" s="245">
        <v>19</v>
      </c>
      <c r="AC169" s="245">
        <v>1</v>
      </c>
      <c r="AD169" s="245" t="s">
        <v>398</v>
      </c>
      <c r="AE169" s="2558" t="s">
        <v>1533</v>
      </c>
      <c r="AF169" s="245">
        <v>1</v>
      </c>
      <c r="AG169" s="245">
        <v>0</v>
      </c>
      <c r="AH169" s="245" t="s">
        <v>2621</v>
      </c>
      <c r="AI169" s="251" t="s">
        <v>398</v>
      </c>
      <c r="AJ169" s="252" t="s">
        <v>398</v>
      </c>
      <c r="AK169" s="254" t="s">
        <v>2631</v>
      </c>
      <c r="AL169" s="248" t="s">
        <v>398</v>
      </c>
      <c r="AM169" s="248" t="s">
        <v>398</v>
      </c>
      <c r="AN169" s="248" t="s">
        <v>398</v>
      </c>
    </row>
    <row r="170" spans="1:40" s="51" customFormat="1" ht="42.75" customHeight="1" outlineLevel="1">
      <c r="A170" s="241"/>
      <c r="B170" s="240"/>
      <c r="C170" s="240"/>
      <c r="D170" s="240"/>
      <c r="E170" s="240"/>
      <c r="F170" s="240"/>
      <c r="G170" s="242" t="s">
        <v>325</v>
      </c>
      <c r="H170" s="242"/>
      <c r="I170" s="243"/>
      <c r="J170" s="243" t="s">
        <v>261</v>
      </c>
      <c r="K170" s="243"/>
      <c r="L170" s="243" t="s">
        <v>325</v>
      </c>
      <c r="M170" s="243"/>
      <c r="N170" s="243"/>
      <c r="O170" s="243"/>
      <c r="P170" s="243"/>
      <c r="Q170" s="243"/>
      <c r="R170" s="243"/>
      <c r="S170" s="243"/>
      <c r="T170" s="243"/>
      <c r="U170" s="243"/>
      <c r="V170" s="243"/>
      <c r="W170" s="243"/>
      <c r="X170" s="2559" t="s">
        <v>2632</v>
      </c>
      <c r="Y170" s="802" t="s">
        <v>2633</v>
      </c>
      <c r="Z170" s="245">
        <v>2</v>
      </c>
      <c r="AA170" s="245" t="s">
        <v>398</v>
      </c>
      <c r="AB170" s="245">
        <v>20</v>
      </c>
      <c r="AC170" s="245">
        <v>1</v>
      </c>
      <c r="AD170" s="245" t="s">
        <v>398</v>
      </c>
      <c r="AE170" s="2560" t="s">
        <v>1533</v>
      </c>
      <c r="AF170" s="245">
        <v>1</v>
      </c>
      <c r="AG170" s="245">
        <v>0</v>
      </c>
      <c r="AH170" s="245" t="s">
        <v>2621</v>
      </c>
      <c r="AI170" s="251" t="s">
        <v>398</v>
      </c>
      <c r="AJ170" s="252" t="s">
        <v>398</v>
      </c>
      <c r="AK170" s="254" t="s">
        <v>2634</v>
      </c>
      <c r="AL170" s="248" t="s">
        <v>398</v>
      </c>
      <c r="AM170" s="248" t="s">
        <v>398</v>
      </c>
      <c r="AN170" s="248" t="s">
        <v>398</v>
      </c>
    </row>
    <row r="171" spans="1:40" s="51" customFormat="1" ht="42.75" customHeight="1" outlineLevel="1">
      <c r="A171" s="241"/>
      <c r="B171" s="240"/>
      <c r="C171" s="240"/>
      <c r="D171" s="240"/>
      <c r="E171" s="240"/>
      <c r="F171" s="240"/>
      <c r="G171" s="242" t="s">
        <v>325</v>
      </c>
      <c r="H171" s="242"/>
      <c r="I171" s="243"/>
      <c r="J171" s="243" t="s">
        <v>261</v>
      </c>
      <c r="K171" s="243"/>
      <c r="L171" s="243" t="s">
        <v>325</v>
      </c>
      <c r="M171" s="243"/>
      <c r="N171" s="243"/>
      <c r="O171" s="243"/>
      <c r="P171" s="243"/>
      <c r="Q171" s="243"/>
      <c r="R171" s="243"/>
      <c r="S171" s="243"/>
      <c r="T171" s="243"/>
      <c r="U171" s="243"/>
      <c r="V171" s="243"/>
      <c r="W171" s="243"/>
      <c r="X171" s="2561" t="s">
        <v>2635</v>
      </c>
      <c r="Y171" s="244" t="s">
        <v>2636</v>
      </c>
      <c r="Z171" s="245">
        <v>2</v>
      </c>
      <c r="AA171" s="245" t="s">
        <v>398</v>
      </c>
      <c r="AB171" s="245">
        <v>21</v>
      </c>
      <c r="AC171" s="245">
        <v>1</v>
      </c>
      <c r="AD171" s="245" t="s">
        <v>398</v>
      </c>
      <c r="AE171" s="2562" t="s">
        <v>1533</v>
      </c>
      <c r="AF171" s="245">
        <v>1</v>
      </c>
      <c r="AG171" s="245">
        <v>0</v>
      </c>
      <c r="AH171" s="245" t="s">
        <v>2621</v>
      </c>
      <c r="AI171" s="251" t="s">
        <v>398</v>
      </c>
      <c r="AJ171" s="252" t="s">
        <v>398</v>
      </c>
      <c r="AK171" s="254" t="s">
        <v>2637</v>
      </c>
      <c r="AL171" s="248" t="s">
        <v>398</v>
      </c>
      <c r="AM171" s="248" t="s">
        <v>398</v>
      </c>
      <c r="AN171" s="248" t="s">
        <v>398</v>
      </c>
    </row>
    <row r="172" spans="1:40" s="51" customFormat="1" ht="42.75" customHeight="1" outlineLevel="1">
      <c r="A172" s="241"/>
      <c r="B172" s="240"/>
      <c r="C172" s="240"/>
      <c r="D172" s="240"/>
      <c r="E172" s="240"/>
      <c r="F172" s="240"/>
      <c r="G172" s="242" t="s">
        <v>325</v>
      </c>
      <c r="H172" s="242"/>
      <c r="I172" s="243"/>
      <c r="J172" s="243" t="s">
        <v>261</v>
      </c>
      <c r="K172" s="243"/>
      <c r="L172" s="243" t="s">
        <v>325</v>
      </c>
      <c r="M172" s="243"/>
      <c r="N172" s="243"/>
      <c r="O172" s="243"/>
      <c r="P172" s="243"/>
      <c r="Q172" s="243"/>
      <c r="R172" s="243"/>
      <c r="S172" s="243"/>
      <c r="T172" s="243"/>
      <c r="U172" s="243"/>
      <c r="V172" s="243"/>
      <c r="W172" s="243"/>
      <c r="X172" s="2563" t="s">
        <v>2638</v>
      </c>
      <c r="Y172" s="244" t="s">
        <v>2639</v>
      </c>
      <c r="Z172" s="245">
        <v>2</v>
      </c>
      <c r="AA172" s="245" t="s">
        <v>398</v>
      </c>
      <c r="AB172" s="245">
        <v>22</v>
      </c>
      <c r="AC172" s="245">
        <v>1</v>
      </c>
      <c r="AD172" s="245" t="s">
        <v>398</v>
      </c>
      <c r="AE172" s="2564" t="s">
        <v>1533</v>
      </c>
      <c r="AF172" s="245">
        <v>1</v>
      </c>
      <c r="AG172" s="245">
        <v>0</v>
      </c>
      <c r="AH172" s="245" t="s">
        <v>2621</v>
      </c>
      <c r="AI172" s="251" t="s">
        <v>398</v>
      </c>
      <c r="AJ172" s="252" t="s">
        <v>398</v>
      </c>
      <c r="AK172" s="254" t="s">
        <v>2640</v>
      </c>
      <c r="AL172" s="248" t="s">
        <v>398</v>
      </c>
      <c r="AM172" s="248" t="s">
        <v>398</v>
      </c>
      <c r="AN172" s="248" t="s">
        <v>398</v>
      </c>
    </row>
    <row r="173" spans="1:40" s="51" customFormat="1" ht="42.75" customHeight="1" outlineLevel="1">
      <c r="A173" s="241"/>
      <c r="B173" s="240"/>
      <c r="C173" s="240"/>
      <c r="D173" s="240"/>
      <c r="E173" s="240"/>
      <c r="F173" s="240"/>
      <c r="G173" s="242" t="s">
        <v>325</v>
      </c>
      <c r="H173" s="242"/>
      <c r="I173" s="243"/>
      <c r="J173" s="243" t="s">
        <v>261</v>
      </c>
      <c r="K173" s="243"/>
      <c r="L173" s="243" t="s">
        <v>325</v>
      </c>
      <c r="M173" s="243"/>
      <c r="N173" s="243"/>
      <c r="O173" s="243"/>
      <c r="P173" s="243"/>
      <c r="Q173" s="243"/>
      <c r="R173" s="243"/>
      <c r="S173" s="243"/>
      <c r="T173" s="243"/>
      <c r="U173" s="243"/>
      <c r="V173" s="243"/>
      <c r="W173" s="243"/>
      <c r="X173" s="2565" t="s">
        <v>2641</v>
      </c>
      <c r="Y173" s="802" t="s">
        <v>2642</v>
      </c>
      <c r="Z173" s="245">
        <v>2</v>
      </c>
      <c r="AA173" s="245" t="s">
        <v>398</v>
      </c>
      <c r="AB173" s="245">
        <v>23</v>
      </c>
      <c r="AC173" s="245">
        <v>1</v>
      </c>
      <c r="AD173" s="245" t="s">
        <v>398</v>
      </c>
      <c r="AE173" s="2566" t="s">
        <v>1533</v>
      </c>
      <c r="AF173" s="245">
        <v>1</v>
      </c>
      <c r="AG173" s="245">
        <v>0</v>
      </c>
      <c r="AH173" s="245" t="s">
        <v>2621</v>
      </c>
      <c r="AI173" s="251" t="s">
        <v>398</v>
      </c>
      <c r="AJ173" s="252" t="s">
        <v>398</v>
      </c>
      <c r="AK173" s="254" t="s">
        <v>2643</v>
      </c>
      <c r="AL173" s="248" t="s">
        <v>398</v>
      </c>
      <c r="AM173" s="248" t="s">
        <v>398</v>
      </c>
      <c r="AN173" s="248" t="s">
        <v>398</v>
      </c>
    </row>
    <row r="174" spans="1:40" s="51" customFormat="1" ht="42.75" customHeight="1" outlineLevel="1">
      <c r="A174" s="241"/>
      <c r="B174" s="240"/>
      <c r="C174" s="240"/>
      <c r="D174" s="240"/>
      <c r="E174" s="240"/>
      <c r="F174" s="240"/>
      <c r="G174" s="242" t="s">
        <v>325</v>
      </c>
      <c r="H174" s="242"/>
      <c r="I174" s="243"/>
      <c r="J174" s="243" t="s">
        <v>261</v>
      </c>
      <c r="K174" s="243"/>
      <c r="L174" s="243" t="s">
        <v>325</v>
      </c>
      <c r="M174" s="243"/>
      <c r="N174" s="243"/>
      <c r="O174" s="243"/>
      <c r="P174" s="243"/>
      <c r="Q174" s="243"/>
      <c r="R174" s="243"/>
      <c r="S174" s="243"/>
      <c r="T174" s="243"/>
      <c r="U174" s="243"/>
      <c r="V174" s="243"/>
      <c r="W174" s="243"/>
      <c r="X174" s="2567" t="s">
        <v>2644</v>
      </c>
      <c r="Y174" s="244" t="s">
        <v>2645</v>
      </c>
      <c r="Z174" s="245">
        <v>3</v>
      </c>
      <c r="AA174" s="245" t="s">
        <v>398</v>
      </c>
      <c r="AB174" s="245">
        <v>24</v>
      </c>
      <c r="AC174" s="245">
        <v>1</v>
      </c>
      <c r="AD174" s="245" t="s">
        <v>398</v>
      </c>
      <c r="AE174" s="2568" t="s">
        <v>1533</v>
      </c>
      <c r="AF174" s="245">
        <v>1</v>
      </c>
      <c r="AG174" s="245">
        <v>0</v>
      </c>
      <c r="AH174" s="245" t="s">
        <v>2621</v>
      </c>
      <c r="AI174" s="251" t="s">
        <v>398</v>
      </c>
      <c r="AJ174" s="252" t="s">
        <v>398</v>
      </c>
      <c r="AK174" s="254" t="s">
        <v>2646</v>
      </c>
      <c r="AL174" s="248" t="s">
        <v>398</v>
      </c>
      <c r="AM174" s="248" t="s">
        <v>398</v>
      </c>
      <c r="AN174" s="248" t="s">
        <v>398</v>
      </c>
    </row>
    <row r="175" spans="1:40" s="51" customFormat="1" ht="28.5" customHeight="1" outlineLevel="1">
      <c r="A175" s="241"/>
      <c r="B175" s="240"/>
      <c r="C175" s="240"/>
      <c r="D175" s="240"/>
      <c r="E175" s="240"/>
      <c r="F175" s="240"/>
      <c r="G175" s="242" t="s">
        <v>325</v>
      </c>
      <c r="H175" s="242"/>
      <c r="I175" s="243"/>
      <c r="J175" s="243" t="s">
        <v>261</v>
      </c>
      <c r="K175" s="243"/>
      <c r="L175" s="243" t="s">
        <v>325</v>
      </c>
      <c r="M175" s="243"/>
      <c r="N175" s="243"/>
      <c r="O175" s="243"/>
      <c r="P175" s="243"/>
      <c r="Q175" s="243"/>
      <c r="R175" s="243"/>
      <c r="S175" s="243"/>
      <c r="T175" s="243"/>
      <c r="U175" s="243"/>
      <c r="V175" s="243"/>
      <c r="W175" s="243"/>
      <c r="X175" s="2569" t="s">
        <v>2647</v>
      </c>
      <c r="Y175" s="244" t="s">
        <v>2648</v>
      </c>
      <c r="Z175" s="245">
        <v>3</v>
      </c>
      <c r="AA175" s="245" t="s">
        <v>398</v>
      </c>
      <c r="AB175" s="245">
        <v>25</v>
      </c>
      <c r="AC175" s="245">
        <v>1</v>
      </c>
      <c r="AD175" s="245" t="s">
        <v>398</v>
      </c>
      <c r="AE175" s="2570" t="s">
        <v>1533</v>
      </c>
      <c r="AF175" s="245">
        <v>1</v>
      </c>
      <c r="AG175" s="245">
        <v>0</v>
      </c>
      <c r="AH175" s="245" t="s">
        <v>2621</v>
      </c>
      <c r="AI175" s="251" t="s">
        <v>398</v>
      </c>
      <c r="AJ175" s="252" t="s">
        <v>398</v>
      </c>
      <c r="AK175" s="254" t="s">
        <v>2649</v>
      </c>
      <c r="AL175" s="248" t="s">
        <v>398</v>
      </c>
      <c r="AM175" s="248" t="s">
        <v>398</v>
      </c>
      <c r="AN175" s="248" t="s">
        <v>398</v>
      </c>
    </row>
    <row r="176" spans="1:40" s="51" customFormat="1" ht="29.25" customHeight="1" outlineLevel="1">
      <c r="A176" s="241"/>
      <c r="B176" s="240"/>
      <c r="C176" s="240"/>
      <c r="D176" s="240"/>
      <c r="E176" s="240"/>
      <c r="F176" s="240"/>
      <c r="G176" s="242" t="s">
        <v>325</v>
      </c>
      <c r="H176" s="242"/>
      <c r="I176" s="243"/>
      <c r="J176" s="243" t="s">
        <v>261</v>
      </c>
      <c r="K176" s="243"/>
      <c r="L176" s="243" t="s">
        <v>325</v>
      </c>
      <c r="M176" s="243"/>
      <c r="N176" s="243"/>
      <c r="O176" s="243"/>
      <c r="P176" s="243"/>
      <c r="Q176" s="243"/>
      <c r="R176" s="243"/>
      <c r="S176" s="243"/>
      <c r="T176" s="243"/>
      <c r="U176" s="243"/>
      <c r="V176" s="243"/>
      <c r="W176" s="243"/>
      <c r="X176" s="2571" t="s">
        <v>2650</v>
      </c>
      <c r="Y176" s="244" t="s">
        <v>2651</v>
      </c>
      <c r="Z176" s="245">
        <v>3</v>
      </c>
      <c r="AA176" s="245" t="s">
        <v>398</v>
      </c>
      <c r="AB176" s="245">
        <v>26</v>
      </c>
      <c r="AC176" s="245">
        <v>1</v>
      </c>
      <c r="AD176" s="245" t="s">
        <v>398</v>
      </c>
      <c r="AE176" s="2572" t="s">
        <v>1533</v>
      </c>
      <c r="AF176" s="245">
        <v>1</v>
      </c>
      <c r="AG176" s="245">
        <v>0</v>
      </c>
      <c r="AH176" s="245" t="s">
        <v>2621</v>
      </c>
      <c r="AI176" s="251" t="s">
        <v>398</v>
      </c>
      <c r="AJ176" s="252" t="s">
        <v>398</v>
      </c>
      <c r="AK176" s="255" t="s">
        <v>2652</v>
      </c>
      <c r="AL176" s="248" t="s">
        <v>398</v>
      </c>
      <c r="AM176" s="248" t="s">
        <v>398</v>
      </c>
      <c r="AN176" s="248" t="s">
        <v>398</v>
      </c>
    </row>
    <row r="177" spans="1:40" s="51" customFormat="1" ht="42.75" customHeight="1" outlineLevel="1">
      <c r="A177" s="241"/>
      <c r="B177" s="240"/>
      <c r="C177" s="240"/>
      <c r="D177" s="240"/>
      <c r="E177" s="240"/>
      <c r="F177" s="240"/>
      <c r="G177" s="256" t="s">
        <v>325</v>
      </c>
      <c r="H177" s="242"/>
      <c r="I177" s="243"/>
      <c r="J177" s="257" t="s">
        <v>261</v>
      </c>
      <c r="K177" s="243"/>
      <c r="L177" s="257" t="s">
        <v>325</v>
      </c>
      <c r="M177" s="243"/>
      <c r="N177" s="243"/>
      <c r="O177" s="243"/>
      <c r="P177" s="243"/>
      <c r="Q177" s="243"/>
      <c r="R177" s="243"/>
      <c r="S177" s="243"/>
      <c r="T177" s="243"/>
      <c r="U177" s="243"/>
      <c r="V177" s="243"/>
      <c r="W177" s="243"/>
      <c r="X177" s="2573" t="s">
        <v>2653</v>
      </c>
      <c r="Y177" s="258" t="s">
        <v>2654</v>
      </c>
      <c r="Z177" s="261">
        <v>3</v>
      </c>
      <c r="AA177" s="261" t="s">
        <v>398</v>
      </c>
      <c r="AB177" s="261">
        <v>27</v>
      </c>
      <c r="AC177" s="261">
        <v>1</v>
      </c>
      <c r="AD177" s="261" t="s">
        <v>398</v>
      </c>
      <c r="AE177" s="2574" t="s">
        <v>1533</v>
      </c>
      <c r="AF177" s="261">
        <v>1</v>
      </c>
      <c r="AG177" s="261">
        <v>0</v>
      </c>
      <c r="AH177" s="261" t="s">
        <v>2621</v>
      </c>
      <c r="AI177" s="262" t="s">
        <v>398</v>
      </c>
      <c r="AJ177" s="260" t="s">
        <v>398</v>
      </c>
      <c r="AK177" s="263" t="s">
        <v>2655</v>
      </c>
      <c r="AL177" s="259" t="s">
        <v>398</v>
      </c>
      <c r="AM177" s="259" t="s">
        <v>398</v>
      </c>
      <c r="AN177" s="259" t="s">
        <v>398</v>
      </c>
    </row>
    <row r="178" spans="1:40" s="51" customFormat="1" ht="28.5" customHeight="1" outlineLevel="1">
      <c r="A178" s="241"/>
      <c r="B178" s="240"/>
      <c r="C178" s="240"/>
      <c r="D178" s="240"/>
      <c r="E178" s="240"/>
      <c r="F178" s="240"/>
      <c r="G178" s="256" t="s">
        <v>325</v>
      </c>
      <c r="H178" s="242"/>
      <c r="I178" s="243"/>
      <c r="J178" s="257" t="s">
        <v>261</v>
      </c>
      <c r="K178" s="243"/>
      <c r="L178" s="257" t="s">
        <v>325</v>
      </c>
      <c r="M178" s="243"/>
      <c r="N178" s="243"/>
      <c r="O178" s="243"/>
      <c r="P178" s="243"/>
      <c r="Q178" s="243"/>
      <c r="R178" s="243"/>
      <c r="S178" s="243"/>
      <c r="T178" s="243"/>
      <c r="U178" s="243"/>
      <c r="V178" s="243"/>
      <c r="W178" s="243"/>
      <c r="X178" s="2575" t="s">
        <v>2656</v>
      </c>
      <c r="Y178" s="258" t="s">
        <v>2657</v>
      </c>
      <c r="Z178" s="261">
        <v>3</v>
      </c>
      <c r="AA178" s="261" t="s">
        <v>398</v>
      </c>
      <c r="AB178" s="261">
        <v>28</v>
      </c>
      <c r="AC178" s="261">
        <v>1</v>
      </c>
      <c r="AD178" s="261" t="s">
        <v>398</v>
      </c>
      <c r="AE178" s="2576" t="s">
        <v>1533</v>
      </c>
      <c r="AF178" s="261">
        <v>1</v>
      </c>
      <c r="AG178" s="261">
        <v>0</v>
      </c>
      <c r="AH178" s="261" t="s">
        <v>2621</v>
      </c>
      <c r="AI178" s="262" t="s">
        <v>398</v>
      </c>
      <c r="AJ178" s="260" t="s">
        <v>398</v>
      </c>
      <c r="AK178" s="263" t="s">
        <v>2658</v>
      </c>
      <c r="AL178" s="259" t="s">
        <v>398</v>
      </c>
      <c r="AM178" s="259" t="s">
        <v>398</v>
      </c>
      <c r="AN178" s="259" t="s">
        <v>398</v>
      </c>
    </row>
    <row r="179" spans="1:40" s="51" customFormat="1" ht="28.5" customHeight="1" outlineLevel="1">
      <c r="A179" s="241"/>
      <c r="B179" s="240"/>
      <c r="C179" s="240"/>
      <c r="D179" s="240"/>
      <c r="E179" s="240"/>
      <c r="F179" s="240"/>
      <c r="G179" s="242" t="s">
        <v>325</v>
      </c>
      <c r="H179" s="242"/>
      <c r="I179" s="243"/>
      <c r="J179" s="243" t="s">
        <v>261</v>
      </c>
      <c r="K179" s="243"/>
      <c r="L179" s="243" t="s">
        <v>325</v>
      </c>
      <c r="M179" s="243"/>
      <c r="N179" s="243"/>
      <c r="O179" s="243"/>
      <c r="P179" s="243"/>
      <c r="Q179" s="243"/>
      <c r="R179" s="243"/>
      <c r="S179" s="243"/>
      <c r="T179" s="243"/>
      <c r="U179" s="243"/>
      <c r="V179" s="243"/>
      <c r="W179" s="243"/>
      <c r="X179" s="2577" t="s">
        <v>2659</v>
      </c>
      <c r="Y179" s="244" t="s">
        <v>2660</v>
      </c>
      <c r="Z179" s="245">
        <v>3</v>
      </c>
      <c r="AA179" s="245" t="s">
        <v>398</v>
      </c>
      <c r="AB179" s="245">
        <v>29</v>
      </c>
      <c r="AC179" s="245">
        <v>1</v>
      </c>
      <c r="AD179" s="245" t="s">
        <v>398</v>
      </c>
      <c r="AE179" s="2578" t="s">
        <v>1533</v>
      </c>
      <c r="AF179" s="245">
        <v>1</v>
      </c>
      <c r="AG179" s="245">
        <v>0</v>
      </c>
      <c r="AH179" s="245" t="s">
        <v>2621</v>
      </c>
      <c r="AI179" s="251" t="s">
        <v>398</v>
      </c>
      <c r="AJ179" s="252" t="s">
        <v>398</v>
      </c>
      <c r="AK179" s="254" t="s">
        <v>2661</v>
      </c>
      <c r="AL179" s="248" t="s">
        <v>398</v>
      </c>
      <c r="AM179" s="248" t="s">
        <v>398</v>
      </c>
      <c r="AN179" s="248" t="s">
        <v>398</v>
      </c>
    </row>
    <row r="180" spans="1:40" s="51" customFormat="1" ht="28.5" customHeight="1" outlineLevel="1">
      <c r="A180" s="241"/>
      <c r="B180" s="240"/>
      <c r="C180" s="240"/>
      <c r="D180" s="240"/>
      <c r="E180" s="240"/>
      <c r="F180" s="240"/>
      <c r="G180" s="242" t="s">
        <v>325</v>
      </c>
      <c r="H180" s="242"/>
      <c r="I180" s="243"/>
      <c r="J180" s="243" t="s">
        <v>261</v>
      </c>
      <c r="K180" s="243"/>
      <c r="L180" s="243" t="s">
        <v>325</v>
      </c>
      <c r="M180" s="243"/>
      <c r="N180" s="243"/>
      <c r="O180" s="243"/>
      <c r="P180" s="243"/>
      <c r="Q180" s="243"/>
      <c r="R180" s="243"/>
      <c r="S180" s="243"/>
      <c r="T180" s="243"/>
      <c r="U180" s="243"/>
      <c r="V180" s="243"/>
      <c r="W180" s="243"/>
      <c r="X180" s="2579" t="s">
        <v>2662</v>
      </c>
      <c r="Y180" s="244" t="s">
        <v>2663</v>
      </c>
      <c r="Z180" s="245">
        <v>3</v>
      </c>
      <c r="AA180" s="245" t="s">
        <v>398</v>
      </c>
      <c r="AB180" s="245">
        <v>30</v>
      </c>
      <c r="AC180" s="245">
        <v>1</v>
      </c>
      <c r="AD180" s="245" t="s">
        <v>398</v>
      </c>
      <c r="AE180" s="2580" t="s">
        <v>1533</v>
      </c>
      <c r="AF180" s="245">
        <v>1</v>
      </c>
      <c r="AG180" s="245">
        <v>0</v>
      </c>
      <c r="AH180" s="245" t="s">
        <v>2621</v>
      </c>
      <c r="AI180" s="251" t="s">
        <v>398</v>
      </c>
      <c r="AJ180" s="252" t="s">
        <v>398</v>
      </c>
      <c r="AK180" s="254" t="s">
        <v>2664</v>
      </c>
      <c r="AL180" s="248" t="s">
        <v>398</v>
      </c>
      <c r="AM180" s="248" t="s">
        <v>398</v>
      </c>
      <c r="AN180" s="248" t="s">
        <v>398</v>
      </c>
    </row>
    <row r="181" spans="1:40" s="51" customFormat="1" ht="28.5" customHeight="1" outlineLevel="1">
      <c r="A181" s="241"/>
      <c r="B181" s="240"/>
      <c r="C181" s="240"/>
      <c r="D181" s="240"/>
      <c r="E181" s="240"/>
      <c r="F181" s="240"/>
      <c r="G181" s="256" t="s">
        <v>325</v>
      </c>
      <c r="H181" s="242"/>
      <c r="I181" s="243"/>
      <c r="J181" s="257" t="s">
        <v>261</v>
      </c>
      <c r="K181" s="243"/>
      <c r="L181" s="257" t="s">
        <v>325</v>
      </c>
      <c r="M181" s="243"/>
      <c r="N181" s="243"/>
      <c r="O181" s="243"/>
      <c r="P181" s="243"/>
      <c r="Q181" s="243"/>
      <c r="R181" s="243"/>
      <c r="S181" s="243"/>
      <c r="T181" s="243"/>
      <c r="U181" s="243"/>
      <c r="V181" s="243"/>
      <c r="W181" s="243"/>
      <c r="X181" s="2581" t="s">
        <v>2665</v>
      </c>
      <c r="Y181" s="258" t="s">
        <v>2666</v>
      </c>
      <c r="Z181" s="261">
        <v>3</v>
      </c>
      <c r="AA181" s="261" t="s">
        <v>398</v>
      </c>
      <c r="AB181" s="261">
        <v>31</v>
      </c>
      <c r="AC181" s="261">
        <v>1</v>
      </c>
      <c r="AD181" s="261" t="s">
        <v>398</v>
      </c>
      <c r="AE181" s="2582" t="s">
        <v>1533</v>
      </c>
      <c r="AF181" s="261">
        <v>1</v>
      </c>
      <c r="AG181" s="261">
        <v>0</v>
      </c>
      <c r="AH181" s="261" t="s">
        <v>2621</v>
      </c>
      <c r="AI181" s="262" t="s">
        <v>398</v>
      </c>
      <c r="AJ181" s="260" t="s">
        <v>398</v>
      </c>
      <c r="AK181" s="263" t="s">
        <v>2667</v>
      </c>
      <c r="AL181" s="259" t="s">
        <v>398</v>
      </c>
      <c r="AM181" s="259" t="s">
        <v>398</v>
      </c>
      <c r="AN181" s="259" t="s">
        <v>398</v>
      </c>
    </row>
    <row r="182" spans="1:40" s="51" customFormat="1" ht="42.75" customHeight="1" outlineLevel="1">
      <c r="A182" s="241"/>
      <c r="B182" s="240"/>
      <c r="C182" s="240"/>
      <c r="D182" s="240"/>
      <c r="E182" s="240"/>
      <c r="F182" s="240"/>
      <c r="G182" s="242" t="s">
        <v>325</v>
      </c>
      <c r="H182" s="242"/>
      <c r="I182" s="243"/>
      <c r="J182" s="243" t="s">
        <v>261</v>
      </c>
      <c r="K182" s="243"/>
      <c r="L182" s="243" t="s">
        <v>325</v>
      </c>
      <c r="M182" s="243"/>
      <c r="N182" s="243"/>
      <c r="O182" s="243"/>
      <c r="P182" s="243"/>
      <c r="Q182" s="243"/>
      <c r="R182" s="243"/>
      <c r="S182" s="243"/>
      <c r="T182" s="243"/>
      <c r="U182" s="243"/>
      <c r="V182" s="243"/>
      <c r="W182" s="243"/>
      <c r="X182" s="2583" t="s">
        <v>2668</v>
      </c>
      <c r="Y182" s="244" t="s">
        <v>2669</v>
      </c>
      <c r="Z182" s="245">
        <v>4</v>
      </c>
      <c r="AA182" s="245" t="s">
        <v>398</v>
      </c>
      <c r="AB182" s="245">
        <v>32</v>
      </c>
      <c r="AC182" s="245">
        <v>1</v>
      </c>
      <c r="AD182" s="245" t="s">
        <v>398</v>
      </c>
      <c r="AE182" s="2584" t="s">
        <v>1533</v>
      </c>
      <c r="AF182" s="245">
        <v>1</v>
      </c>
      <c r="AG182" s="245">
        <v>0</v>
      </c>
      <c r="AH182" s="245" t="s">
        <v>2621</v>
      </c>
      <c r="AI182" s="251" t="s">
        <v>398</v>
      </c>
      <c r="AJ182" s="252" t="s">
        <v>398</v>
      </c>
      <c r="AK182" s="254" t="s">
        <v>2670</v>
      </c>
      <c r="AL182" s="248" t="s">
        <v>398</v>
      </c>
      <c r="AM182" s="248" t="s">
        <v>398</v>
      </c>
      <c r="AN182" s="248" t="s">
        <v>398</v>
      </c>
    </row>
    <row r="183" spans="1:40" s="51" customFormat="1" ht="42.75" customHeight="1" outlineLevel="1">
      <c r="A183" s="241"/>
      <c r="B183" s="240"/>
      <c r="C183" s="240"/>
      <c r="D183" s="240"/>
      <c r="E183" s="240"/>
      <c r="F183" s="240"/>
      <c r="G183" s="242" t="s">
        <v>325</v>
      </c>
      <c r="H183" s="242"/>
      <c r="I183" s="243"/>
      <c r="J183" s="243" t="s">
        <v>261</v>
      </c>
      <c r="K183" s="243"/>
      <c r="L183" s="243" t="s">
        <v>325</v>
      </c>
      <c r="M183" s="243"/>
      <c r="N183" s="243"/>
      <c r="O183" s="243"/>
      <c r="P183" s="243"/>
      <c r="Q183" s="243"/>
      <c r="R183" s="243"/>
      <c r="S183" s="243"/>
      <c r="T183" s="243"/>
      <c r="U183" s="243"/>
      <c r="V183" s="243"/>
      <c r="W183" s="243"/>
      <c r="X183" s="2585" t="s">
        <v>2671</v>
      </c>
      <c r="Y183" s="244" t="s">
        <v>2672</v>
      </c>
      <c r="Z183" s="245">
        <v>4</v>
      </c>
      <c r="AA183" s="245" t="s">
        <v>398</v>
      </c>
      <c r="AB183" s="245">
        <v>33</v>
      </c>
      <c r="AC183" s="245">
        <v>1</v>
      </c>
      <c r="AD183" s="245" t="s">
        <v>398</v>
      </c>
      <c r="AE183" s="2586" t="s">
        <v>1533</v>
      </c>
      <c r="AF183" s="245">
        <v>1</v>
      </c>
      <c r="AG183" s="245">
        <v>0</v>
      </c>
      <c r="AH183" s="245" t="s">
        <v>2621</v>
      </c>
      <c r="AI183" s="251" t="s">
        <v>398</v>
      </c>
      <c r="AJ183" s="252" t="s">
        <v>398</v>
      </c>
      <c r="AK183" s="254" t="s">
        <v>2673</v>
      </c>
      <c r="AL183" s="248" t="s">
        <v>398</v>
      </c>
      <c r="AM183" s="248" t="s">
        <v>398</v>
      </c>
      <c r="AN183" s="248" t="s">
        <v>398</v>
      </c>
    </row>
    <row r="184" spans="1:40" s="51" customFormat="1" ht="28.5" customHeight="1" outlineLevel="1">
      <c r="A184" s="241"/>
      <c r="B184" s="240"/>
      <c r="C184" s="240"/>
      <c r="D184" s="240"/>
      <c r="E184" s="240"/>
      <c r="F184" s="240"/>
      <c r="G184" s="242" t="s">
        <v>325</v>
      </c>
      <c r="H184" s="242"/>
      <c r="I184" s="243"/>
      <c r="J184" s="243" t="s">
        <v>261</v>
      </c>
      <c r="K184" s="243"/>
      <c r="L184" s="243" t="s">
        <v>325</v>
      </c>
      <c r="M184" s="243"/>
      <c r="N184" s="243"/>
      <c r="O184" s="243"/>
      <c r="P184" s="243"/>
      <c r="Q184" s="243"/>
      <c r="R184" s="243"/>
      <c r="S184" s="243"/>
      <c r="T184" s="243"/>
      <c r="U184" s="243"/>
      <c r="V184" s="243"/>
      <c r="W184" s="243"/>
      <c r="X184" s="2587" t="s">
        <v>2674</v>
      </c>
      <c r="Y184" s="244" t="s">
        <v>2675</v>
      </c>
      <c r="Z184" s="245">
        <v>4</v>
      </c>
      <c r="AA184" s="245" t="s">
        <v>398</v>
      </c>
      <c r="AB184" s="245">
        <v>34</v>
      </c>
      <c r="AC184" s="245">
        <v>1</v>
      </c>
      <c r="AD184" s="245" t="s">
        <v>398</v>
      </c>
      <c r="AE184" s="2588" t="s">
        <v>1533</v>
      </c>
      <c r="AF184" s="245">
        <v>1</v>
      </c>
      <c r="AG184" s="245">
        <v>0</v>
      </c>
      <c r="AH184" s="245" t="s">
        <v>2621</v>
      </c>
      <c r="AI184" s="251" t="s">
        <v>398</v>
      </c>
      <c r="AJ184" s="252" t="s">
        <v>398</v>
      </c>
      <c r="AK184" s="254" t="s">
        <v>2676</v>
      </c>
      <c r="AL184" s="248" t="s">
        <v>398</v>
      </c>
      <c r="AM184" s="248" t="s">
        <v>398</v>
      </c>
      <c r="AN184" s="248" t="s">
        <v>398</v>
      </c>
    </row>
    <row r="185" spans="1:40" s="51" customFormat="1" ht="42.75" customHeight="1" outlineLevel="1">
      <c r="A185" s="241"/>
      <c r="B185" s="240"/>
      <c r="C185" s="240"/>
      <c r="D185" s="240"/>
      <c r="E185" s="240"/>
      <c r="F185" s="240"/>
      <c r="G185" s="242" t="s">
        <v>325</v>
      </c>
      <c r="H185" s="242"/>
      <c r="I185" s="243"/>
      <c r="J185" s="243" t="s">
        <v>261</v>
      </c>
      <c r="K185" s="243"/>
      <c r="L185" s="243" t="s">
        <v>325</v>
      </c>
      <c r="M185" s="243"/>
      <c r="N185" s="243"/>
      <c r="O185" s="243"/>
      <c r="P185" s="243"/>
      <c r="Q185" s="243"/>
      <c r="R185" s="243"/>
      <c r="S185" s="243"/>
      <c r="T185" s="243"/>
      <c r="U185" s="243"/>
      <c r="V185" s="243"/>
      <c r="W185" s="243"/>
      <c r="X185" s="2589" t="s">
        <v>2677</v>
      </c>
      <c r="Y185" s="244" t="s">
        <v>2678</v>
      </c>
      <c r="Z185" s="245">
        <v>4</v>
      </c>
      <c r="AA185" s="245" t="s">
        <v>398</v>
      </c>
      <c r="AB185" s="245">
        <v>35</v>
      </c>
      <c r="AC185" s="245">
        <v>1</v>
      </c>
      <c r="AD185" s="245" t="s">
        <v>398</v>
      </c>
      <c r="AE185" s="2590" t="s">
        <v>1533</v>
      </c>
      <c r="AF185" s="245">
        <v>1</v>
      </c>
      <c r="AG185" s="245">
        <v>0</v>
      </c>
      <c r="AH185" s="245" t="s">
        <v>2621</v>
      </c>
      <c r="AI185" s="251" t="s">
        <v>398</v>
      </c>
      <c r="AJ185" s="252" t="s">
        <v>398</v>
      </c>
      <c r="AK185" s="254" t="s">
        <v>2679</v>
      </c>
      <c r="AL185" s="248" t="s">
        <v>398</v>
      </c>
      <c r="AM185" s="248" t="s">
        <v>398</v>
      </c>
      <c r="AN185" s="248" t="s">
        <v>398</v>
      </c>
    </row>
    <row r="186" spans="1:40" s="51" customFormat="1" ht="42.75" customHeight="1" outlineLevel="1">
      <c r="A186" s="241"/>
      <c r="B186" s="240"/>
      <c r="C186" s="240"/>
      <c r="D186" s="240"/>
      <c r="E186" s="240"/>
      <c r="F186" s="240"/>
      <c r="G186" s="242" t="s">
        <v>325</v>
      </c>
      <c r="H186" s="242"/>
      <c r="I186" s="243"/>
      <c r="J186" s="243" t="s">
        <v>261</v>
      </c>
      <c r="K186" s="243"/>
      <c r="L186" s="243" t="s">
        <v>325</v>
      </c>
      <c r="M186" s="243"/>
      <c r="N186" s="243"/>
      <c r="O186" s="243"/>
      <c r="P186" s="243"/>
      <c r="Q186" s="243"/>
      <c r="R186" s="243"/>
      <c r="S186" s="243"/>
      <c r="T186" s="243"/>
      <c r="U186" s="243"/>
      <c r="V186" s="243"/>
      <c r="W186" s="243"/>
      <c r="X186" s="2591" t="s">
        <v>2680</v>
      </c>
      <c r="Y186" s="244" t="s">
        <v>2681</v>
      </c>
      <c r="Z186" s="245">
        <v>4</v>
      </c>
      <c r="AA186" s="245" t="s">
        <v>398</v>
      </c>
      <c r="AB186" s="245">
        <v>36</v>
      </c>
      <c r="AC186" s="245">
        <v>1</v>
      </c>
      <c r="AD186" s="245" t="s">
        <v>398</v>
      </c>
      <c r="AE186" s="2592" t="s">
        <v>1533</v>
      </c>
      <c r="AF186" s="245">
        <v>1</v>
      </c>
      <c r="AG186" s="245">
        <v>0</v>
      </c>
      <c r="AH186" s="245" t="s">
        <v>2621</v>
      </c>
      <c r="AI186" s="251" t="s">
        <v>398</v>
      </c>
      <c r="AJ186" s="252" t="s">
        <v>398</v>
      </c>
      <c r="AK186" s="254" t="s">
        <v>2682</v>
      </c>
      <c r="AL186" s="248" t="s">
        <v>398</v>
      </c>
      <c r="AM186" s="248" t="s">
        <v>398</v>
      </c>
      <c r="AN186" s="248" t="s">
        <v>398</v>
      </c>
    </row>
    <row r="187" spans="1:40" s="51" customFormat="1" ht="42.75" customHeight="1" outlineLevel="1">
      <c r="A187" s="241"/>
      <c r="B187" s="240"/>
      <c r="C187" s="240"/>
      <c r="D187" s="240"/>
      <c r="E187" s="240"/>
      <c r="F187" s="240"/>
      <c r="G187" s="242" t="s">
        <v>325</v>
      </c>
      <c r="H187" s="242"/>
      <c r="I187" s="243"/>
      <c r="J187" s="243" t="s">
        <v>261</v>
      </c>
      <c r="K187" s="243"/>
      <c r="L187" s="243" t="s">
        <v>325</v>
      </c>
      <c r="M187" s="243"/>
      <c r="N187" s="243"/>
      <c r="O187" s="243"/>
      <c r="P187" s="243"/>
      <c r="Q187" s="243"/>
      <c r="R187" s="243"/>
      <c r="S187" s="243"/>
      <c r="T187" s="243"/>
      <c r="U187" s="243"/>
      <c r="V187" s="243"/>
      <c r="W187" s="243"/>
      <c r="X187" s="2593" t="s">
        <v>2683</v>
      </c>
      <c r="Y187" s="244" t="s">
        <v>2684</v>
      </c>
      <c r="Z187" s="245">
        <v>4</v>
      </c>
      <c r="AA187" s="245" t="s">
        <v>398</v>
      </c>
      <c r="AB187" s="245">
        <v>37</v>
      </c>
      <c r="AC187" s="245">
        <v>1</v>
      </c>
      <c r="AD187" s="245" t="s">
        <v>398</v>
      </c>
      <c r="AE187" s="2594" t="s">
        <v>1533</v>
      </c>
      <c r="AF187" s="245">
        <v>1</v>
      </c>
      <c r="AG187" s="245">
        <v>0</v>
      </c>
      <c r="AH187" s="245" t="s">
        <v>2621</v>
      </c>
      <c r="AI187" s="251" t="s">
        <v>398</v>
      </c>
      <c r="AJ187" s="252" t="s">
        <v>398</v>
      </c>
      <c r="AK187" s="254" t="s">
        <v>2685</v>
      </c>
      <c r="AL187" s="248" t="s">
        <v>398</v>
      </c>
      <c r="AM187" s="248" t="s">
        <v>398</v>
      </c>
      <c r="AN187" s="248" t="s">
        <v>398</v>
      </c>
    </row>
    <row r="188" spans="1:40" s="51" customFormat="1" ht="28.5" customHeight="1" outlineLevel="1">
      <c r="A188" s="241"/>
      <c r="B188" s="240"/>
      <c r="C188" s="240"/>
      <c r="D188" s="240"/>
      <c r="E188" s="240"/>
      <c r="F188" s="240"/>
      <c r="G188" s="242" t="s">
        <v>325</v>
      </c>
      <c r="H188" s="242"/>
      <c r="I188" s="243"/>
      <c r="J188" s="243" t="s">
        <v>261</v>
      </c>
      <c r="K188" s="243"/>
      <c r="L188" s="243" t="s">
        <v>325</v>
      </c>
      <c r="M188" s="243"/>
      <c r="N188" s="243"/>
      <c r="O188" s="243"/>
      <c r="P188" s="243"/>
      <c r="Q188" s="243"/>
      <c r="R188" s="243"/>
      <c r="S188" s="243"/>
      <c r="T188" s="243"/>
      <c r="U188" s="243"/>
      <c r="V188" s="243"/>
      <c r="W188" s="243"/>
      <c r="X188" s="2595" t="s">
        <v>2686</v>
      </c>
      <c r="Y188" s="244" t="s">
        <v>2687</v>
      </c>
      <c r="Z188" s="245">
        <v>4</v>
      </c>
      <c r="AA188" s="245" t="s">
        <v>398</v>
      </c>
      <c r="AB188" s="245">
        <v>38</v>
      </c>
      <c r="AC188" s="245">
        <v>1</v>
      </c>
      <c r="AD188" s="245" t="s">
        <v>398</v>
      </c>
      <c r="AE188" s="2596" t="s">
        <v>1533</v>
      </c>
      <c r="AF188" s="245">
        <v>1</v>
      </c>
      <c r="AG188" s="245">
        <v>0</v>
      </c>
      <c r="AH188" s="245" t="s">
        <v>2621</v>
      </c>
      <c r="AI188" s="251" t="s">
        <v>398</v>
      </c>
      <c r="AJ188" s="252" t="s">
        <v>398</v>
      </c>
      <c r="AK188" s="254" t="s">
        <v>2688</v>
      </c>
      <c r="AL188" s="248" t="s">
        <v>398</v>
      </c>
      <c r="AM188" s="248" t="s">
        <v>398</v>
      </c>
      <c r="AN188" s="248" t="s">
        <v>398</v>
      </c>
    </row>
    <row r="189" spans="1:40" s="51" customFormat="1" ht="28.5" customHeight="1" outlineLevel="1">
      <c r="A189" s="241"/>
      <c r="B189" s="240"/>
      <c r="C189" s="240"/>
      <c r="D189" s="240"/>
      <c r="E189" s="240"/>
      <c r="F189" s="240"/>
      <c r="G189" s="242" t="s">
        <v>325</v>
      </c>
      <c r="H189" s="242"/>
      <c r="I189" s="243"/>
      <c r="J189" s="243" t="s">
        <v>261</v>
      </c>
      <c r="K189" s="243"/>
      <c r="L189" s="243" t="s">
        <v>325</v>
      </c>
      <c r="M189" s="243"/>
      <c r="N189" s="243"/>
      <c r="O189" s="243"/>
      <c r="P189" s="243"/>
      <c r="Q189" s="243"/>
      <c r="R189" s="243"/>
      <c r="S189" s="243"/>
      <c r="T189" s="243"/>
      <c r="U189" s="243"/>
      <c r="V189" s="243"/>
      <c r="W189" s="243"/>
      <c r="X189" s="2597" t="s">
        <v>2689</v>
      </c>
      <c r="Y189" s="244" t="s">
        <v>2690</v>
      </c>
      <c r="Z189" s="245">
        <v>4</v>
      </c>
      <c r="AA189" s="245" t="s">
        <v>398</v>
      </c>
      <c r="AB189" s="245">
        <v>39</v>
      </c>
      <c r="AC189" s="245">
        <v>1</v>
      </c>
      <c r="AD189" s="245" t="s">
        <v>398</v>
      </c>
      <c r="AE189" s="2598" t="s">
        <v>1533</v>
      </c>
      <c r="AF189" s="245">
        <v>1</v>
      </c>
      <c r="AG189" s="245">
        <v>0</v>
      </c>
      <c r="AH189" s="245" t="s">
        <v>2621</v>
      </c>
      <c r="AI189" s="251" t="s">
        <v>398</v>
      </c>
      <c r="AJ189" s="252" t="s">
        <v>398</v>
      </c>
      <c r="AK189" s="254" t="s">
        <v>2691</v>
      </c>
      <c r="AL189" s="248" t="s">
        <v>398</v>
      </c>
      <c r="AM189" s="248" t="s">
        <v>398</v>
      </c>
      <c r="AN189" s="248" t="s">
        <v>398</v>
      </c>
    </row>
    <row r="190" spans="1:40" s="51" customFormat="1" ht="42.75" customHeight="1" outlineLevel="1">
      <c r="A190" s="241"/>
      <c r="B190" s="240"/>
      <c r="C190" s="240"/>
      <c r="D190" s="240"/>
      <c r="E190" s="240"/>
      <c r="F190" s="240"/>
      <c r="G190" s="242" t="s">
        <v>325</v>
      </c>
      <c r="H190" s="242"/>
      <c r="I190" s="243"/>
      <c r="J190" s="243" t="s">
        <v>261</v>
      </c>
      <c r="K190" s="243"/>
      <c r="L190" s="243" t="s">
        <v>325</v>
      </c>
      <c r="M190" s="243"/>
      <c r="N190" s="243"/>
      <c r="O190" s="243"/>
      <c r="P190" s="243"/>
      <c r="Q190" s="243"/>
      <c r="R190" s="243"/>
      <c r="S190" s="243"/>
      <c r="T190" s="243"/>
      <c r="U190" s="243"/>
      <c r="V190" s="243"/>
      <c r="W190" s="243"/>
      <c r="X190" s="2599" t="s">
        <v>2692</v>
      </c>
      <c r="Y190" s="244" t="s">
        <v>2693</v>
      </c>
      <c r="Z190" s="245">
        <v>5</v>
      </c>
      <c r="AA190" s="245" t="s">
        <v>398</v>
      </c>
      <c r="AB190" s="245">
        <v>40</v>
      </c>
      <c r="AC190" s="245">
        <v>1</v>
      </c>
      <c r="AD190" s="245" t="s">
        <v>398</v>
      </c>
      <c r="AE190" s="2600" t="s">
        <v>1533</v>
      </c>
      <c r="AF190" s="245">
        <v>1</v>
      </c>
      <c r="AG190" s="245">
        <v>0</v>
      </c>
      <c r="AH190" s="245" t="s">
        <v>2621</v>
      </c>
      <c r="AI190" s="251" t="s">
        <v>398</v>
      </c>
      <c r="AJ190" s="252" t="s">
        <v>398</v>
      </c>
      <c r="AK190" s="254" t="s">
        <v>2694</v>
      </c>
      <c r="AL190" s="248" t="s">
        <v>398</v>
      </c>
      <c r="AM190" s="248" t="s">
        <v>398</v>
      </c>
      <c r="AN190" s="248" t="s">
        <v>398</v>
      </c>
    </row>
    <row r="191" spans="1:40" s="51" customFormat="1" ht="28.5" customHeight="1" outlineLevel="1">
      <c r="A191" s="241"/>
      <c r="B191" s="240"/>
      <c r="C191" s="240"/>
      <c r="D191" s="240"/>
      <c r="E191" s="240"/>
      <c r="F191" s="240"/>
      <c r="G191" s="242" t="s">
        <v>325</v>
      </c>
      <c r="H191" s="242"/>
      <c r="I191" s="243"/>
      <c r="J191" s="243" t="s">
        <v>261</v>
      </c>
      <c r="K191" s="243"/>
      <c r="L191" s="243" t="s">
        <v>325</v>
      </c>
      <c r="M191" s="243"/>
      <c r="N191" s="243"/>
      <c r="O191" s="243"/>
      <c r="P191" s="243"/>
      <c r="Q191" s="243"/>
      <c r="R191" s="243"/>
      <c r="S191" s="243"/>
      <c r="T191" s="243"/>
      <c r="U191" s="243"/>
      <c r="V191" s="243"/>
      <c r="W191" s="243"/>
      <c r="X191" s="2601" t="s">
        <v>2695</v>
      </c>
      <c r="Y191" s="244" t="s">
        <v>2696</v>
      </c>
      <c r="Z191" s="245">
        <v>5</v>
      </c>
      <c r="AA191" s="245" t="s">
        <v>398</v>
      </c>
      <c r="AB191" s="245">
        <v>41</v>
      </c>
      <c r="AC191" s="245">
        <v>1</v>
      </c>
      <c r="AD191" s="245" t="s">
        <v>398</v>
      </c>
      <c r="AE191" s="2602" t="s">
        <v>1533</v>
      </c>
      <c r="AF191" s="245">
        <v>1</v>
      </c>
      <c r="AG191" s="245">
        <v>0</v>
      </c>
      <c r="AH191" s="245" t="s">
        <v>2621</v>
      </c>
      <c r="AI191" s="251" t="s">
        <v>398</v>
      </c>
      <c r="AJ191" s="252" t="s">
        <v>398</v>
      </c>
      <c r="AK191" s="254" t="s">
        <v>2697</v>
      </c>
      <c r="AL191" s="248" t="s">
        <v>398</v>
      </c>
      <c r="AM191" s="248" t="s">
        <v>398</v>
      </c>
      <c r="AN191" s="248" t="s">
        <v>398</v>
      </c>
    </row>
    <row r="192" spans="1:40" s="51" customFormat="1" ht="60" customHeight="1" outlineLevel="1">
      <c r="A192" s="241"/>
      <c r="B192" s="240"/>
      <c r="C192" s="240"/>
      <c r="D192" s="240"/>
      <c r="E192" s="240"/>
      <c r="F192" s="240"/>
      <c r="G192" s="242" t="s">
        <v>325</v>
      </c>
      <c r="H192" s="242"/>
      <c r="I192" s="243"/>
      <c r="J192" s="243" t="s">
        <v>261</v>
      </c>
      <c r="K192" s="243"/>
      <c r="L192" s="243" t="s">
        <v>325</v>
      </c>
      <c r="M192" s="243"/>
      <c r="N192" s="243"/>
      <c r="O192" s="243"/>
      <c r="P192" s="243"/>
      <c r="Q192" s="243"/>
      <c r="R192" s="243"/>
      <c r="S192" s="243"/>
      <c r="T192" s="243"/>
      <c r="U192" s="243"/>
      <c r="V192" s="243"/>
      <c r="W192" s="243"/>
      <c r="X192" s="2603" t="s">
        <v>2698</v>
      </c>
      <c r="Y192" s="244" t="s">
        <v>2699</v>
      </c>
      <c r="Z192" s="245">
        <v>5</v>
      </c>
      <c r="AA192" s="245" t="s">
        <v>398</v>
      </c>
      <c r="AB192" s="245">
        <v>42</v>
      </c>
      <c r="AC192" s="245">
        <v>1</v>
      </c>
      <c r="AD192" s="245" t="s">
        <v>398</v>
      </c>
      <c r="AE192" s="2604" t="s">
        <v>1533</v>
      </c>
      <c r="AF192" s="245">
        <v>1</v>
      </c>
      <c r="AG192" s="245">
        <v>0</v>
      </c>
      <c r="AH192" s="245" t="s">
        <v>2621</v>
      </c>
      <c r="AI192" s="251" t="s">
        <v>398</v>
      </c>
      <c r="AJ192" s="252" t="s">
        <v>398</v>
      </c>
      <c r="AK192" s="2605" t="s">
        <v>2700</v>
      </c>
      <c r="AL192" s="248" t="s">
        <v>398</v>
      </c>
      <c r="AM192" s="248" t="s">
        <v>398</v>
      </c>
      <c r="AN192" s="248" t="s">
        <v>398</v>
      </c>
    </row>
    <row r="193" spans="1:40" s="51" customFormat="1" ht="42.75" customHeight="1" outlineLevel="1">
      <c r="A193" s="241"/>
      <c r="B193" s="240"/>
      <c r="C193" s="240"/>
      <c r="D193" s="240"/>
      <c r="E193" s="240"/>
      <c r="F193" s="240"/>
      <c r="G193" s="256" t="s">
        <v>325</v>
      </c>
      <c r="H193" s="242"/>
      <c r="I193" s="243"/>
      <c r="J193" s="257" t="s">
        <v>261</v>
      </c>
      <c r="K193" s="243"/>
      <c r="L193" s="257" t="s">
        <v>325</v>
      </c>
      <c r="M193" s="243"/>
      <c r="N193" s="243"/>
      <c r="O193" s="243"/>
      <c r="P193" s="243"/>
      <c r="Q193" s="243"/>
      <c r="R193" s="243"/>
      <c r="S193" s="243"/>
      <c r="T193" s="243"/>
      <c r="U193" s="243"/>
      <c r="V193" s="243"/>
      <c r="W193" s="243"/>
      <c r="X193" s="2606" t="s">
        <v>2701</v>
      </c>
      <c r="Y193" s="258" t="s">
        <v>2702</v>
      </c>
      <c r="Z193" s="261">
        <v>5</v>
      </c>
      <c r="AA193" s="261" t="s">
        <v>398</v>
      </c>
      <c r="AB193" s="261">
        <v>43</v>
      </c>
      <c r="AC193" s="261">
        <v>1</v>
      </c>
      <c r="AD193" s="261" t="s">
        <v>398</v>
      </c>
      <c r="AE193" s="2607" t="s">
        <v>1533</v>
      </c>
      <c r="AF193" s="261">
        <v>1</v>
      </c>
      <c r="AG193" s="261">
        <v>0</v>
      </c>
      <c r="AH193" s="261" t="s">
        <v>2621</v>
      </c>
      <c r="AI193" s="262" t="s">
        <v>398</v>
      </c>
      <c r="AJ193" s="260" t="s">
        <v>398</v>
      </c>
      <c r="AK193" s="263" t="s">
        <v>2703</v>
      </c>
      <c r="AL193" s="259" t="s">
        <v>398</v>
      </c>
      <c r="AM193" s="259" t="s">
        <v>398</v>
      </c>
      <c r="AN193" s="259" t="s">
        <v>398</v>
      </c>
    </row>
    <row r="194" spans="1:40" s="51" customFormat="1" ht="28.5" customHeight="1" outlineLevel="1">
      <c r="A194" s="241"/>
      <c r="B194" s="240"/>
      <c r="C194" s="240"/>
      <c r="D194" s="240"/>
      <c r="E194" s="240"/>
      <c r="F194" s="240"/>
      <c r="G194" s="242" t="s">
        <v>325</v>
      </c>
      <c r="H194" s="242"/>
      <c r="I194" s="243"/>
      <c r="J194" s="243" t="s">
        <v>261</v>
      </c>
      <c r="K194" s="243"/>
      <c r="L194" s="243" t="s">
        <v>325</v>
      </c>
      <c r="M194" s="243"/>
      <c r="N194" s="243"/>
      <c r="O194" s="243"/>
      <c r="P194" s="243"/>
      <c r="Q194" s="243"/>
      <c r="R194" s="243"/>
      <c r="S194" s="243"/>
      <c r="T194" s="243"/>
      <c r="U194" s="243"/>
      <c r="V194" s="243"/>
      <c r="W194" s="243"/>
      <c r="X194" s="2608" t="s">
        <v>2704</v>
      </c>
      <c r="Y194" s="244" t="s">
        <v>2705</v>
      </c>
      <c r="Z194" s="245">
        <v>5</v>
      </c>
      <c r="AA194" s="245" t="s">
        <v>398</v>
      </c>
      <c r="AB194" s="245">
        <v>44</v>
      </c>
      <c r="AC194" s="245">
        <v>1</v>
      </c>
      <c r="AD194" s="245" t="s">
        <v>398</v>
      </c>
      <c r="AE194" s="2609" t="s">
        <v>1533</v>
      </c>
      <c r="AF194" s="245">
        <v>1</v>
      </c>
      <c r="AG194" s="245">
        <v>0</v>
      </c>
      <c r="AH194" s="245" t="s">
        <v>2621</v>
      </c>
      <c r="AI194" s="251" t="s">
        <v>398</v>
      </c>
      <c r="AJ194" s="252" t="s">
        <v>398</v>
      </c>
      <c r="AK194" s="254" t="s">
        <v>2706</v>
      </c>
      <c r="AL194" s="248" t="s">
        <v>398</v>
      </c>
      <c r="AM194" s="248" t="s">
        <v>398</v>
      </c>
      <c r="AN194" s="248" t="s">
        <v>398</v>
      </c>
    </row>
    <row r="195" spans="1:40" s="51" customFormat="1" ht="28.5" customHeight="1" outlineLevel="1">
      <c r="A195" s="241"/>
      <c r="B195" s="240"/>
      <c r="C195" s="240"/>
      <c r="D195" s="240"/>
      <c r="E195" s="240"/>
      <c r="F195" s="240"/>
      <c r="G195" s="242" t="s">
        <v>325</v>
      </c>
      <c r="H195" s="242"/>
      <c r="I195" s="243"/>
      <c r="J195" s="243" t="s">
        <v>261</v>
      </c>
      <c r="K195" s="243"/>
      <c r="L195" s="243" t="s">
        <v>325</v>
      </c>
      <c r="M195" s="243"/>
      <c r="N195" s="243"/>
      <c r="O195" s="243"/>
      <c r="P195" s="243"/>
      <c r="Q195" s="243"/>
      <c r="R195" s="243"/>
      <c r="S195" s="243"/>
      <c r="T195" s="243"/>
      <c r="U195" s="243"/>
      <c r="V195" s="243"/>
      <c r="W195" s="243"/>
      <c r="X195" s="2610" t="s">
        <v>2707</v>
      </c>
      <c r="Y195" s="244" t="s">
        <v>2708</v>
      </c>
      <c r="Z195" s="245">
        <v>5</v>
      </c>
      <c r="AA195" s="245" t="s">
        <v>398</v>
      </c>
      <c r="AB195" s="245">
        <v>45</v>
      </c>
      <c r="AC195" s="245">
        <v>1</v>
      </c>
      <c r="AD195" s="245" t="s">
        <v>398</v>
      </c>
      <c r="AE195" s="2611" t="s">
        <v>1533</v>
      </c>
      <c r="AF195" s="245">
        <v>1</v>
      </c>
      <c r="AG195" s="245">
        <v>0</v>
      </c>
      <c r="AH195" s="245" t="s">
        <v>2621</v>
      </c>
      <c r="AI195" s="251" t="s">
        <v>398</v>
      </c>
      <c r="AJ195" s="252" t="s">
        <v>398</v>
      </c>
      <c r="AK195" s="254" t="s">
        <v>2709</v>
      </c>
      <c r="AL195" s="248" t="s">
        <v>398</v>
      </c>
      <c r="AM195" s="248" t="s">
        <v>398</v>
      </c>
      <c r="AN195" s="248" t="s">
        <v>398</v>
      </c>
    </row>
    <row r="196" spans="1:40" s="51" customFormat="1" ht="42.75" customHeight="1" outlineLevel="1">
      <c r="A196" s="241"/>
      <c r="B196" s="240"/>
      <c r="C196" s="240"/>
      <c r="D196" s="240"/>
      <c r="E196" s="240"/>
      <c r="F196" s="240"/>
      <c r="G196" s="242" t="s">
        <v>325</v>
      </c>
      <c r="H196" s="242"/>
      <c r="I196" s="243"/>
      <c r="J196" s="243" t="s">
        <v>261</v>
      </c>
      <c r="K196" s="243"/>
      <c r="L196" s="243" t="s">
        <v>325</v>
      </c>
      <c r="M196" s="243"/>
      <c r="N196" s="243"/>
      <c r="O196" s="243"/>
      <c r="P196" s="243"/>
      <c r="Q196" s="243"/>
      <c r="R196" s="243"/>
      <c r="S196" s="243"/>
      <c r="T196" s="243"/>
      <c r="U196" s="243"/>
      <c r="V196" s="243"/>
      <c r="W196" s="243"/>
      <c r="X196" s="2612" t="s">
        <v>2710</v>
      </c>
      <c r="Y196" s="244" t="s">
        <v>2711</v>
      </c>
      <c r="Z196" s="245">
        <v>5</v>
      </c>
      <c r="AA196" s="245" t="s">
        <v>398</v>
      </c>
      <c r="AB196" s="245">
        <v>46</v>
      </c>
      <c r="AC196" s="245">
        <v>1</v>
      </c>
      <c r="AD196" s="245" t="s">
        <v>398</v>
      </c>
      <c r="AE196" s="2613" t="s">
        <v>1533</v>
      </c>
      <c r="AF196" s="245">
        <v>1</v>
      </c>
      <c r="AG196" s="245">
        <v>0</v>
      </c>
      <c r="AH196" s="245" t="s">
        <v>2621</v>
      </c>
      <c r="AI196" s="251" t="s">
        <v>398</v>
      </c>
      <c r="AJ196" s="252" t="s">
        <v>398</v>
      </c>
      <c r="AK196" s="254" t="s">
        <v>2712</v>
      </c>
      <c r="AL196" s="248" t="s">
        <v>398</v>
      </c>
      <c r="AM196" s="248" t="s">
        <v>398</v>
      </c>
      <c r="AN196" s="248" t="s">
        <v>398</v>
      </c>
    </row>
    <row r="197" spans="1:40" s="51" customFormat="1" ht="42.75" customHeight="1" outlineLevel="1">
      <c r="A197" s="241"/>
      <c r="B197" s="240"/>
      <c r="C197" s="240"/>
      <c r="D197" s="240"/>
      <c r="E197" s="240"/>
      <c r="F197" s="240"/>
      <c r="G197" s="242" t="s">
        <v>325</v>
      </c>
      <c r="H197" s="242"/>
      <c r="I197" s="243"/>
      <c r="J197" s="243" t="s">
        <v>261</v>
      </c>
      <c r="K197" s="243"/>
      <c r="L197" s="243" t="s">
        <v>325</v>
      </c>
      <c r="M197" s="243"/>
      <c r="N197" s="243"/>
      <c r="O197" s="243"/>
      <c r="P197" s="243"/>
      <c r="Q197" s="243"/>
      <c r="R197" s="243"/>
      <c r="S197" s="243"/>
      <c r="T197" s="243"/>
      <c r="U197" s="243"/>
      <c r="V197" s="243"/>
      <c r="W197" s="243"/>
      <c r="X197" s="2614" t="s">
        <v>2713</v>
      </c>
      <c r="Y197" s="244" t="s">
        <v>2714</v>
      </c>
      <c r="Z197" s="245">
        <v>5</v>
      </c>
      <c r="AA197" s="245" t="s">
        <v>398</v>
      </c>
      <c r="AB197" s="245">
        <v>47</v>
      </c>
      <c r="AC197" s="245">
        <v>1</v>
      </c>
      <c r="AD197" s="245" t="s">
        <v>398</v>
      </c>
      <c r="AE197" s="2615" t="s">
        <v>1533</v>
      </c>
      <c r="AF197" s="245">
        <v>1</v>
      </c>
      <c r="AG197" s="245">
        <v>0</v>
      </c>
      <c r="AH197" s="245" t="s">
        <v>2621</v>
      </c>
      <c r="AI197" s="251" t="s">
        <v>398</v>
      </c>
      <c r="AJ197" s="252" t="s">
        <v>398</v>
      </c>
      <c r="AK197" s="254" t="s">
        <v>2715</v>
      </c>
      <c r="AL197" s="248" t="s">
        <v>398</v>
      </c>
      <c r="AM197" s="248" t="s">
        <v>398</v>
      </c>
      <c r="AN197" s="248" t="s">
        <v>398</v>
      </c>
    </row>
    <row r="198" spans="1:40" s="51" customFormat="1" ht="28.5" customHeight="1" outlineLevel="1">
      <c r="A198" s="241"/>
      <c r="B198" s="240"/>
      <c r="C198" s="240"/>
      <c r="D198" s="240"/>
      <c r="E198" s="240"/>
      <c r="F198" s="240"/>
      <c r="G198" s="242" t="s">
        <v>325</v>
      </c>
      <c r="H198" s="242"/>
      <c r="I198" s="243"/>
      <c r="J198" s="243" t="s">
        <v>261</v>
      </c>
      <c r="K198" s="243"/>
      <c r="L198" s="243" t="s">
        <v>325</v>
      </c>
      <c r="M198" s="243"/>
      <c r="N198" s="243"/>
      <c r="O198" s="243"/>
      <c r="P198" s="243"/>
      <c r="Q198" s="243"/>
      <c r="R198" s="243"/>
      <c r="S198" s="243"/>
      <c r="T198" s="243"/>
      <c r="U198" s="243"/>
      <c r="V198" s="243"/>
      <c r="W198" s="243"/>
      <c r="X198" s="2616" t="s">
        <v>2716</v>
      </c>
      <c r="Y198" s="244" t="s">
        <v>2717</v>
      </c>
      <c r="Z198" s="245">
        <v>6</v>
      </c>
      <c r="AA198" s="245" t="s">
        <v>398</v>
      </c>
      <c r="AB198" s="253">
        <v>52</v>
      </c>
      <c r="AC198" s="245">
        <v>1</v>
      </c>
      <c r="AD198" s="245" t="s">
        <v>398</v>
      </c>
      <c r="AE198" s="2617" t="s">
        <v>1533</v>
      </c>
      <c r="AF198" s="245">
        <v>1</v>
      </c>
      <c r="AG198" s="245">
        <v>0</v>
      </c>
      <c r="AH198" s="245" t="s">
        <v>2621</v>
      </c>
      <c r="AI198" s="251" t="s">
        <v>398</v>
      </c>
      <c r="AJ198" s="252" t="s">
        <v>398</v>
      </c>
      <c r="AK198" s="254" t="s">
        <v>2718</v>
      </c>
      <c r="AL198" s="248" t="s">
        <v>398</v>
      </c>
      <c r="AM198" s="248" t="s">
        <v>398</v>
      </c>
      <c r="AN198" s="248" t="s">
        <v>398</v>
      </c>
    </row>
    <row r="199" spans="1:40" s="51" customFormat="1" ht="28.5" customHeight="1" outlineLevel="1">
      <c r="A199" s="241"/>
      <c r="B199" s="240"/>
      <c r="C199" s="240"/>
      <c r="D199" s="240"/>
      <c r="E199" s="240"/>
      <c r="F199" s="240"/>
      <c r="G199" s="256" t="s">
        <v>325</v>
      </c>
      <c r="H199" s="242"/>
      <c r="I199" s="243"/>
      <c r="J199" s="257" t="s">
        <v>261</v>
      </c>
      <c r="K199" s="243"/>
      <c r="L199" s="257" t="s">
        <v>325</v>
      </c>
      <c r="M199" s="243"/>
      <c r="N199" s="243"/>
      <c r="O199" s="243"/>
      <c r="P199" s="243"/>
      <c r="Q199" s="243"/>
      <c r="R199" s="243"/>
      <c r="S199" s="243"/>
      <c r="T199" s="243"/>
      <c r="U199" s="243"/>
      <c r="V199" s="243"/>
      <c r="W199" s="243"/>
      <c r="X199" s="2618" t="s">
        <v>2719</v>
      </c>
      <c r="Y199" s="258" t="s">
        <v>2720</v>
      </c>
      <c r="Z199" s="261">
        <v>6</v>
      </c>
      <c r="AA199" s="261" t="s">
        <v>398</v>
      </c>
      <c r="AB199" s="264">
        <v>53</v>
      </c>
      <c r="AC199" s="261">
        <v>1</v>
      </c>
      <c r="AD199" s="261" t="s">
        <v>398</v>
      </c>
      <c r="AE199" s="2619" t="s">
        <v>1533</v>
      </c>
      <c r="AF199" s="261">
        <v>1</v>
      </c>
      <c r="AG199" s="261">
        <v>0</v>
      </c>
      <c r="AH199" s="261" t="s">
        <v>2621</v>
      </c>
      <c r="AI199" s="262" t="s">
        <v>398</v>
      </c>
      <c r="AJ199" s="260" t="s">
        <v>398</v>
      </c>
      <c r="AK199" s="263" t="s">
        <v>2721</v>
      </c>
      <c r="AL199" s="259" t="s">
        <v>398</v>
      </c>
      <c r="AM199" s="259" t="s">
        <v>398</v>
      </c>
      <c r="AN199" s="259" t="s">
        <v>398</v>
      </c>
    </row>
    <row r="200" spans="1:40" s="51" customFormat="1" ht="27.95" customHeight="1">
      <c r="A200" s="742">
        <v>17</v>
      </c>
      <c r="B200" s="821" t="s">
        <v>2722</v>
      </c>
      <c r="C200" s="743" t="s">
        <v>2723</v>
      </c>
      <c r="D200" s="743" t="s">
        <v>259</v>
      </c>
      <c r="E200" s="743">
        <v>8</v>
      </c>
      <c r="F200" s="743" t="s">
        <v>260</v>
      </c>
      <c r="G200" s="742" t="s">
        <v>325</v>
      </c>
      <c r="H200" s="742"/>
      <c r="I200" s="744"/>
      <c r="J200" s="744" t="s">
        <v>261</v>
      </c>
      <c r="K200" s="744"/>
      <c r="L200" s="744" t="s">
        <v>325</v>
      </c>
      <c r="M200" s="744"/>
      <c r="N200" s="744"/>
      <c r="O200" s="744"/>
      <c r="P200" s="744"/>
      <c r="Q200" s="744"/>
      <c r="R200" s="744"/>
      <c r="S200" s="744"/>
      <c r="T200" s="744"/>
      <c r="U200" s="744"/>
      <c r="V200" s="744"/>
      <c r="W200" s="744"/>
      <c r="X200" s="743" t="s">
        <v>2724</v>
      </c>
      <c r="Y200" s="746"/>
      <c r="Z200" s="745"/>
      <c r="AA200" s="745"/>
      <c r="AB200" s="745"/>
      <c r="AC200" s="745"/>
      <c r="AD200" s="745"/>
      <c r="AE200" s="743" t="s">
        <v>2724</v>
      </c>
      <c r="AF200" s="747"/>
      <c r="AG200" s="744"/>
      <c r="AH200" s="745"/>
      <c r="AI200" s="748"/>
      <c r="AJ200" s="745"/>
    </row>
    <row r="201" spans="1:40" s="51" customFormat="1" ht="31.5" customHeight="1" outlineLevel="1">
      <c r="A201" s="62"/>
      <c r="B201" s="50"/>
      <c r="C201" s="50"/>
      <c r="D201" s="50"/>
      <c r="E201" s="50"/>
      <c r="F201" s="50"/>
      <c r="G201" s="63" t="s">
        <v>325</v>
      </c>
      <c r="H201" s="63"/>
      <c r="I201" s="55"/>
      <c r="J201" s="55" t="s">
        <v>261</v>
      </c>
      <c r="K201" s="55"/>
      <c r="L201" s="55" t="s">
        <v>325</v>
      </c>
      <c r="M201" s="55"/>
      <c r="N201" s="55"/>
      <c r="O201" s="55"/>
      <c r="P201" s="55"/>
      <c r="Q201" s="55"/>
      <c r="R201" s="55"/>
      <c r="S201" s="55"/>
      <c r="T201" s="55"/>
      <c r="U201" s="55"/>
      <c r="V201" s="55"/>
      <c r="W201" s="55"/>
      <c r="X201" s="70" t="s">
        <v>2502</v>
      </c>
      <c r="Y201" s="750" t="s">
        <v>2725</v>
      </c>
      <c r="Z201" s="74"/>
      <c r="AA201" s="74"/>
      <c r="AB201" s="75">
        <v>0</v>
      </c>
      <c r="AC201" s="75">
        <v>16</v>
      </c>
      <c r="AD201" s="75"/>
      <c r="AE201" s="76" t="s">
        <v>2505</v>
      </c>
      <c r="AF201" s="298">
        <v>0.01</v>
      </c>
      <c r="AG201" s="74">
        <v>-300</v>
      </c>
      <c r="AH201" s="71" t="s">
        <v>2506</v>
      </c>
      <c r="AI201" s="78">
        <v>0</v>
      </c>
      <c r="AJ201" s="822" t="s">
        <v>2507</v>
      </c>
    </row>
    <row r="202" spans="1:40" s="51" customFormat="1" ht="85.5" customHeight="1" outlineLevel="1">
      <c r="A202" s="62"/>
      <c r="B202" s="50"/>
      <c r="C202" s="50"/>
      <c r="D202" s="50"/>
      <c r="E202" s="50"/>
      <c r="F202" s="50"/>
      <c r="G202" s="63" t="s">
        <v>325</v>
      </c>
      <c r="H202" s="63"/>
      <c r="I202" s="55"/>
      <c r="J202" s="55" t="s">
        <v>261</v>
      </c>
      <c r="K202" s="55"/>
      <c r="L202" s="55" t="s">
        <v>325</v>
      </c>
      <c r="M202" s="55"/>
      <c r="N202" s="55"/>
      <c r="O202" s="55"/>
      <c r="P202" s="55"/>
      <c r="Q202" s="55"/>
      <c r="R202" s="55"/>
      <c r="S202" s="55"/>
      <c r="T202" s="55"/>
      <c r="U202" s="55"/>
      <c r="V202" s="55"/>
      <c r="W202" s="55"/>
      <c r="X202" s="823" t="s">
        <v>2726</v>
      </c>
      <c r="Y202" s="750" t="s">
        <v>2727</v>
      </c>
      <c r="Z202" s="756"/>
      <c r="AA202" s="756"/>
      <c r="AB202" s="824">
        <v>16</v>
      </c>
      <c r="AC202" s="824">
        <v>16</v>
      </c>
      <c r="AD202" s="824"/>
      <c r="AE202" s="2620" t="s">
        <v>2510</v>
      </c>
      <c r="AF202" s="826">
        <v>0.1</v>
      </c>
      <c r="AG202" s="756">
        <v>-1000</v>
      </c>
      <c r="AH202" s="827" t="s">
        <v>2511</v>
      </c>
      <c r="AI202" s="828">
        <v>0</v>
      </c>
      <c r="AJ202" s="822" t="s">
        <v>98</v>
      </c>
    </row>
    <row r="203" spans="1:40" s="50" customFormat="1" ht="42.75" customHeight="1" outlineLevel="1">
      <c r="A203" s="62"/>
      <c r="G203" s="63" t="s">
        <v>325</v>
      </c>
      <c r="H203" s="63"/>
      <c r="I203" s="55"/>
      <c r="J203" s="55" t="s">
        <v>261</v>
      </c>
      <c r="K203" s="55"/>
      <c r="L203" s="55" t="s">
        <v>325</v>
      </c>
      <c r="M203" s="55"/>
      <c r="N203" s="55"/>
      <c r="O203" s="55"/>
      <c r="P203" s="55"/>
      <c r="Q203" s="55"/>
      <c r="R203" s="55"/>
      <c r="S203" s="55"/>
      <c r="T203" s="55"/>
      <c r="U203" s="55"/>
      <c r="V203" s="55"/>
      <c r="W203" s="55"/>
      <c r="X203" s="823" t="s">
        <v>2513</v>
      </c>
      <c r="Y203" s="750" t="s">
        <v>2591</v>
      </c>
      <c r="Z203" s="756"/>
      <c r="AA203" s="756"/>
      <c r="AB203" s="824">
        <v>32</v>
      </c>
      <c r="AC203" s="824">
        <v>16</v>
      </c>
      <c r="AD203" s="824"/>
      <c r="AE203" s="2621" t="s">
        <v>2515</v>
      </c>
      <c r="AF203" s="826">
        <v>0.1</v>
      </c>
      <c r="AG203" s="756">
        <v>0</v>
      </c>
      <c r="AH203" s="756" t="s">
        <v>2365</v>
      </c>
      <c r="AI203" s="828">
        <v>0</v>
      </c>
      <c r="AJ203" s="822" t="s">
        <v>1007</v>
      </c>
    </row>
    <row r="204" spans="1:40" s="51" customFormat="1" ht="27.95" customHeight="1">
      <c r="A204" s="742">
        <v>18</v>
      </c>
      <c r="B204" s="821" t="s">
        <v>2722</v>
      </c>
      <c r="C204" s="743" t="s">
        <v>2728</v>
      </c>
      <c r="D204" s="743" t="s">
        <v>401</v>
      </c>
      <c r="E204" s="743">
        <v>8</v>
      </c>
      <c r="F204" s="743" t="s">
        <v>260</v>
      </c>
      <c r="G204" s="742" t="s">
        <v>325</v>
      </c>
      <c r="H204" s="742"/>
      <c r="I204" s="744"/>
      <c r="J204" s="744" t="s">
        <v>261</v>
      </c>
      <c r="K204" s="744"/>
      <c r="L204" s="744" t="s">
        <v>325</v>
      </c>
      <c r="M204" s="744"/>
      <c r="N204" s="744"/>
      <c r="O204" s="744"/>
      <c r="P204" s="744"/>
      <c r="Q204" s="744"/>
      <c r="R204" s="744"/>
      <c r="S204" s="744"/>
      <c r="T204" s="744"/>
      <c r="U204" s="744"/>
      <c r="V204" s="744"/>
      <c r="W204" s="744"/>
      <c r="X204" s="743" t="s">
        <v>2729</v>
      </c>
      <c r="Y204" s="746"/>
      <c r="Z204" s="745"/>
      <c r="AA204" s="745"/>
      <c r="AB204" s="745"/>
      <c r="AC204" s="745"/>
      <c r="AD204" s="745"/>
      <c r="AE204" s="743" t="s">
        <v>2729</v>
      </c>
      <c r="AF204" s="747"/>
      <c r="AG204" s="744"/>
      <c r="AH204" s="745"/>
      <c r="AI204" s="748"/>
      <c r="AJ204" s="745"/>
    </row>
    <row r="205" spans="1:40" s="51" customFormat="1" ht="27.95" customHeight="1" outlineLevel="1">
      <c r="A205" s="62"/>
      <c r="B205" s="50"/>
      <c r="C205" s="50"/>
      <c r="D205" s="50"/>
      <c r="E205" s="50"/>
      <c r="F205" s="50"/>
      <c r="G205" s="63" t="s">
        <v>325</v>
      </c>
      <c r="H205" s="63"/>
      <c r="I205" s="55"/>
      <c r="J205" s="55" t="s">
        <v>261</v>
      </c>
      <c r="K205" s="55"/>
      <c r="L205" s="55" t="s">
        <v>325</v>
      </c>
      <c r="M205" s="55"/>
      <c r="N205" s="55"/>
      <c r="O205" s="55"/>
      <c r="P205" s="55"/>
      <c r="Q205" s="55"/>
      <c r="R205" s="55"/>
      <c r="S205" s="55"/>
      <c r="T205" s="55"/>
      <c r="U205" s="55"/>
      <c r="V205" s="55"/>
      <c r="W205" s="55"/>
      <c r="X205" s="2622" t="s">
        <v>2518</v>
      </c>
      <c r="Y205" s="750" t="s">
        <v>2730</v>
      </c>
      <c r="Z205" s="70"/>
      <c r="AA205" s="70"/>
      <c r="AB205" s="756">
        <v>0</v>
      </c>
      <c r="AC205" s="756">
        <v>16</v>
      </c>
      <c r="AD205" s="71"/>
      <c r="AE205" s="70"/>
      <c r="AF205" s="299"/>
      <c r="AG205" s="71"/>
      <c r="AH205" s="70"/>
      <c r="AI205" s="79"/>
      <c r="AJ205" s="756"/>
    </row>
    <row r="206" spans="1:40" s="51" customFormat="1" ht="27.95" customHeight="1" outlineLevel="1">
      <c r="A206" s="62"/>
      <c r="B206" s="50"/>
      <c r="C206" s="50"/>
      <c r="D206" s="50"/>
      <c r="E206" s="50"/>
      <c r="F206" s="50"/>
      <c r="G206" s="63" t="s">
        <v>325</v>
      </c>
      <c r="H206" s="63"/>
      <c r="I206" s="55"/>
      <c r="J206" s="55" t="s">
        <v>261</v>
      </c>
      <c r="K206" s="55"/>
      <c r="L206" s="55" t="s">
        <v>325</v>
      </c>
      <c r="M206" s="55"/>
      <c r="N206" s="55"/>
      <c r="O206" s="55"/>
      <c r="P206" s="55"/>
      <c r="Q206" s="55"/>
      <c r="R206" s="55"/>
      <c r="S206" s="55"/>
      <c r="T206" s="55"/>
      <c r="U206" s="55"/>
      <c r="V206" s="55"/>
      <c r="W206" s="55"/>
      <c r="X206" s="2623" t="s">
        <v>534</v>
      </c>
      <c r="Y206" s="750" t="s">
        <v>2731</v>
      </c>
      <c r="Z206" s="823"/>
      <c r="AA206" s="823"/>
      <c r="AB206" s="756">
        <v>16</v>
      </c>
      <c r="AC206" s="756">
        <v>8</v>
      </c>
      <c r="AD206" s="756"/>
      <c r="AE206" s="823"/>
      <c r="AF206" s="826"/>
      <c r="AG206" s="756"/>
      <c r="AH206" s="823"/>
      <c r="AI206" s="829"/>
      <c r="AJ206" s="756" t="s">
        <v>536</v>
      </c>
    </row>
    <row r="207" spans="1:40" s="51" customFormat="1" ht="16.5" customHeight="1" outlineLevel="1">
      <c r="A207" s="62"/>
      <c r="B207" s="50"/>
      <c r="C207" s="50"/>
      <c r="D207" s="50"/>
      <c r="E207" s="50"/>
      <c r="F207" s="50"/>
      <c r="G207" s="63" t="s">
        <v>325</v>
      </c>
      <c r="H207" s="63"/>
      <c r="I207" s="55"/>
      <c r="J207" s="55" t="s">
        <v>261</v>
      </c>
      <c r="K207" s="55"/>
      <c r="L207" s="55" t="s">
        <v>325</v>
      </c>
      <c r="M207" s="55"/>
      <c r="N207" s="55"/>
      <c r="O207" s="55"/>
      <c r="P207" s="55"/>
      <c r="Q207" s="55"/>
      <c r="R207" s="55"/>
      <c r="S207" s="55"/>
      <c r="T207" s="55"/>
      <c r="U207" s="55"/>
      <c r="V207" s="55"/>
      <c r="W207" s="55"/>
      <c r="X207" s="2624" t="s">
        <v>537</v>
      </c>
      <c r="Y207" s="750" t="s">
        <v>2732</v>
      </c>
      <c r="Z207" s="823"/>
      <c r="AA207" s="823"/>
      <c r="AB207" s="756">
        <v>24</v>
      </c>
      <c r="AC207" s="756">
        <v>8</v>
      </c>
      <c r="AD207" s="756"/>
      <c r="AE207" s="823"/>
      <c r="AF207" s="826"/>
      <c r="AG207" s="756"/>
      <c r="AH207" s="823"/>
      <c r="AI207" s="829"/>
      <c r="AJ207" s="756" t="s">
        <v>2522</v>
      </c>
    </row>
    <row r="208" spans="1:40" s="51" customFormat="1" ht="28.5" customHeight="1" outlineLevel="1">
      <c r="A208" s="62"/>
      <c r="B208" s="50"/>
      <c r="C208" s="50"/>
      <c r="D208" s="50"/>
      <c r="E208" s="50"/>
      <c r="F208" s="50"/>
      <c r="G208" s="63" t="s">
        <v>325</v>
      </c>
      <c r="H208" s="63"/>
      <c r="I208" s="55"/>
      <c r="J208" s="55" t="s">
        <v>261</v>
      </c>
      <c r="K208" s="55"/>
      <c r="L208" s="55" t="s">
        <v>325</v>
      </c>
      <c r="M208" s="55"/>
      <c r="N208" s="55"/>
      <c r="O208" s="55"/>
      <c r="P208" s="55"/>
      <c r="Q208" s="55"/>
      <c r="R208" s="55"/>
      <c r="S208" s="55"/>
      <c r="T208" s="55"/>
      <c r="U208" s="55"/>
      <c r="V208" s="55"/>
      <c r="W208" s="55"/>
      <c r="X208" s="2625" t="s">
        <v>2523</v>
      </c>
      <c r="Y208" s="750" t="s">
        <v>2733</v>
      </c>
      <c r="Z208" s="823"/>
      <c r="AA208" s="823"/>
      <c r="AB208" s="756">
        <v>32</v>
      </c>
      <c r="AC208" s="756">
        <v>8</v>
      </c>
      <c r="AD208" s="756"/>
      <c r="AE208" s="823"/>
      <c r="AF208" s="826"/>
      <c r="AG208" s="756"/>
      <c r="AH208" s="823"/>
      <c r="AI208" s="829"/>
      <c r="AJ208" s="756" t="s">
        <v>542</v>
      </c>
    </row>
    <row r="209" spans="1:40" s="50" customFormat="1" ht="28.5" customHeight="1" outlineLevel="1">
      <c r="A209" s="62"/>
      <c r="G209" s="63" t="s">
        <v>325</v>
      </c>
      <c r="H209" s="63"/>
      <c r="I209" s="55"/>
      <c r="J209" s="55" t="s">
        <v>261</v>
      </c>
      <c r="K209" s="55"/>
      <c r="L209" s="55" t="s">
        <v>325</v>
      </c>
      <c r="M209" s="55"/>
      <c r="N209" s="55"/>
      <c r="O209" s="55"/>
      <c r="P209" s="55"/>
      <c r="Q209" s="55"/>
      <c r="R209" s="55"/>
      <c r="S209" s="55"/>
      <c r="T209" s="55"/>
      <c r="U209" s="55"/>
      <c r="V209" s="55"/>
      <c r="W209" s="55"/>
      <c r="X209" s="2626" t="s">
        <v>543</v>
      </c>
      <c r="Y209" s="750" t="s">
        <v>2734</v>
      </c>
      <c r="Z209" s="823"/>
      <c r="AA209" s="823"/>
      <c r="AB209" s="756">
        <v>40</v>
      </c>
      <c r="AC209" s="756">
        <v>24</v>
      </c>
      <c r="AD209" s="756"/>
      <c r="AE209" s="823"/>
      <c r="AF209" s="826"/>
      <c r="AG209" s="756"/>
      <c r="AH209" s="823"/>
      <c r="AI209" s="829"/>
      <c r="AJ209" s="756" t="s">
        <v>545</v>
      </c>
    </row>
    <row r="210" spans="1:40" s="50" customFormat="1" ht="14.25" customHeight="1">
      <c r="A210" s="742">
        <v>19</v>
      </c>
      <c r="B210" s="821" t="s">
        <v>2735</v>
      </c>
      <c r="C210" s="743" t="s">
        <v>2736</v>
      </c>
      <c r="D210" s="743" t="s">
        <v>401</v>
      </c>
      <c r="E210" s="743">
        <v>8</v>
      </c>
      <c r="F210" s="743" t="s">
        <v>260</v>
      </c>
      <c r="G210" s="742" t="s">
        <v>325</v>
      </c>
      <c r="H210" s="742"/>
      <c r="I210" s="744"/>
      <c r="J210" s="744" t="s">
        <v>261</v>
      </c>
      <c r="K210" s="744"/>
      <c r="L210" s="744" t="s">
        <v>325</v>
      </c>
      <c r="M210" s="744"/>
      <c r="N210" s="744"/>
      <c r="O210" s="744"/>
      <c r="P210" s="744"/>
      <c r="Q210" s="744"/>
      <c r="R210" s="744"/>
      <c r="S210" s="744"/>
      <c r="T210" s="744"/>
      <c r="U210" s="744"/>
      <c r="V210" s="744"/>
      <c r="W210" s="744"/>
      <c r="X210" s="743" t="s">
        <v>2737</v>
      </c>
      <c r="Y210" s="746"/>
      <c r="Z210" s="745"/>
      <c r="AA210" s="745"/>
      <c r="AB210" s="745"/>
      <c r="AC210" s="745"/>
      <c r="AD210" s="745"/>
      <c r="AE210" s="743" t="s">
        <v>2737</v>
      </c>
      <c r="AF210" s="747"/>
      <c r="AG210" s="744"/>
      <c r="AH210" s="745"/>
      <c r="AI210" s="748"/>
      <c r="AJ210" s="745"/>
    </row>
    <row r="211" spans="1:40" ht="45.75" customHeight="1">
      <c r="A211" s="1500"/>
      <c r="B211" s="1500"/>
      <c r="C211" s="1500"/>
      <c r="D211" s="1500"/>
      <c r="E211" s="1500"/>
      <c r="F211" s="1500"/>
      <c r="G211" s="1363" t="s">
        <v>325</v>
      </c>
      <c r="H211" s="1500"/>
      <c r="I211" s="1500"/>
      <c r="J211" s="1500" t="s">
        <v>261</v>
      </c>
      <c r="K211" s="1500"/>
      <c r="L211" s="1500" t="s">
        <v>325</v>
      </c>
      <c r="M211" s="1500"/>
      <c r="N211" s="1500"/>
      <c r="O211" s="1500"/>
      <c r="P211" s="1500"/>
      <c r="Q211" s="1500"/>
      <c r="R211" s="1500"/>
      <c r="S211" s="1500"/>
      <c r="T211" s="1500"/>
      <c r="U211" s="1389"/>
      <c r="V211" s="117"/>
      <c r="W211" s="117"/>
      <c r="X211" s="2627" t="s">
        <v>549</v>
      </c>
      <c r="Y211" s="484" t="s">
        <v>2738</v>
      </c>
      <c r="Z211" s="484">
        <v>0</v>
      </c>
      <c r="AA211" s="1512">
        <v>0</v>
      </c>
      <c r="AB211" s="1548">
        <f>Z211*8+AA211</f>
        <v>0</v>
      </c>
      <c r="AC211" s="1512">
        <v>8</v>
      </c>
      <c r="AD211" s="1527"/>
      <c r="AE211" s="1538" t="s">
        <v>551</v>
      </c>
      <c r="AF211" s="134"/>
      <c r="AG211" s="134"/>
      <c r="AH211" s="134"/>
      <c r="AI211" s="134"/>
      <c r="AJ211" s="134"/>
      <c r="AK211" s="1389"/>
      <c r="AL211" s="364"/>
      <c r="AM211" s="1363"/>
      <c r="AN211" s="1363"/>
    </row>
    <row r="212" spans="1:40" s="50" customFormat="1" ht="28.5" customHeight="1" outlineLevel="1">
      <c r="G212" s="63" t="s">
        <v>325</v>
      </c>
      <c r="H212" s="63"/>
      <c r="I212" s="55"/>
      <c r="J212" s="55" t="s">
        <v>261</v>
      </c>
      <c r="K212" s="55"/>
      <c r="L212" s="55" t="s">
        <v>325</v>
      </c>
      <c r="M212" s="55"/>
      <c r="N212" s="55"/>
      <c r="O212" s="55"/>
      <c r="P212" s="55"/>
      <c r="Q212" s="55"/>
      <c r="R212" s="55"/>
      <c r="S212" s="55"/>
      <c r="T212" s="55"/>
      <c r="U212" s="55"/>
      <c r="V212" s="55"/>
      <c r="W212" s="55"/>
      <c r="X212" s="2628" t="s">
        <v>552</v>
      </c>
      <c r="Y212" s="750" t="s">
        <v>2739</v>
      </c>
      <c r="Z212" s="70">
        <v>1</v>
      </c>
      <c r="AA212" s="70"/>
      <c r="AB212" s="71">
        <v>8</v>
      </c>
      <c r="AC212" s="71">
        <v>8</v>
      </c>
      <c r="AD212" s="71"/>
      <c r="AE212" s="70" t="s">
        <v>2531</v>
      </c>
      <c r="AF212" s="299"/>
      <c r="AG212" s="71"/>
      <c r="AH212" s="70"/>
      <c r="AI212" s="79"/>
      <c r="AJ212" s="756"/>
    </row>
    <row r="213" spans="1:40" s="50" customFormat="1" ht="28.5" customHeight="1" outlineLevel="1">
      <c r="G213" s="63" t="s">
        <v>325</v>
      </c>
      <c r="H213" s="63"/>
      <c r="I213" s="55"/>
      <c r="J213" s="55" t="s">
        <v>261</v>
      </c>
      <c r="K213" s="55"/>
      <c r="L213" s="55" t="s">
        <v>325</v>
      </c>
      <c r="M213" s="55"/>
      <c r="N213" s="55"/>
      <c r="O213" s="55"/>
      <c r="P213" s="55"/>
      <c r="Q213" s="55"/>
      <c r="R213" s="55"/>
      <c r="S213" s="55"/>
      <c r="T213" s="55"/>
      <c r="U213" s="55"/>
      <c r="V213" s="55"/>
      <c r="W213" s="55"/>
      <c r="X213" s="2629" t="s">
        <v>555</v>
      </c>
      <c r="Y213" s="750" t="s">
        <v>2740</v>
      </c>
      <c r="Z213" s="823">
        <v>2</v>
      </c>
      <c r="AA213" s="823"/>
      <c r="AB213" s="756">
        <v>16</v>
      </c>
      <c r="AC213" s="756">
        <v>8</v>
      </c>
      <c r="AD213" s="756"/>
      <c r="AE213" s="823" t="s">
        <v>2533</v>
      </c>
      <c r="AF213" s="826"/>
      <c r="AG213" s="756"/>
      <c r="AH213" s="823"/>
      <c r="AI213" s="829"/>
      <c r="AJ213" s="756"/>
    </row>
    <row r="214" spans="1:40" s="50" customFormat="1" ht="28.5" customHeight="1" outlineLevel="1">
      <c r="G214" s="63" t="s">
        <v>325</v>
      </c>
      <c r="H214" s="63"/>
      <c r="I214" s="55"/>
      <c r="J214" s="55" t="s">
        <v>261</v>
      </c>
      <c r="K214" s="55"/>
      <c r="L214" s="55" t="s">
        <v>325</v>
      </c>
      <c r="M214" s="55"/>
      <c r="N214" s="55"/>
      <c r="O214" s="55"/>
      <c r="P214" s="55"/>
      <c r="Q214" s="55"/>
      <c r="R214" s="55"/>
      <c r="S214" s="55"/>
      <c r="T214" s="55"/>
      <c r="U214" s="55"/>
      <c r="V214" s="55"/>
      <c r="W214" s="55"/>
      <c r="X214" s="2630" t="s">
        <v>558</v>
      </c>
      <c r="Y214" s="750" t="s">
        <v>2741</v>
      </c>
      <c r="Z214" s="823">
        <v>3</v>
      </c>
      <c r="AA214" s="823"/>
      <c r="AB214" s="756">
        <v>24</v>
      </c>
      <c r="AC214" s="756">
        <v>8</v>
      </c>
      <c r="AD214" s="756"/>
      <c r="AE214" s="823" t="s">
        <v>2533</v>
      </c>
      <c r="AF214" s="826"/>
      <c r="AG214" s="756"/>
      <c r="AH214" s="823"/>
      <c r="AI214" s="829"/>
      <c r="AJ214" s="756"/>
    </row>
    <row r="215" spans="1:40" s="50" customFormat="1" ht="28.5" customHeight="1" outlineLevel="1">
      <c r="G215" s="63" t="s">
        <v>325</v>
      </c>
      <c r="H215" s="63"/>
      <c r="I215" s="55"/>
      <c r="J215" s="55" t="s">
        <v>261</v>
      </c>
      <c r="K215" s="55"/>
      <c r="L215" s="55" t="s">
        <v>325</v>
      </c>
      <c r="M215" s="55"/>
      <c r="N215" s="55"/>
      <c r="O215" s="55"/>
      <c r="P215" s="55"/>
      <c r="Q215" s="55"/>
      <c r="R215" s="55"/>
      <c r="S215" s="55"/>
      <c r="T215" s="55"/>
      <c r="U215" s="55"/>
      <c r="V215" s="55"/>
      <c r="W215" s="55"/>
      <c r="X215" s="2631" t="s">
        <v>561</v>
      </c>
      <c r="Y215" s="750" t="s">
        <v>2742</v>
      </c>
      <c r="Z215" s="823">
        <v>4</v>
      </c>
      <c r="AA215" s="823"/>
      <c r="AB215" s="756">
        <f>AB214+AC214</f>
        <v>32</v>
      </c>
      <c r="AC215" s="756">
        <v>8</v>
      </c>
      <c r="AD215" s="756"/>
      <c r="AE215" s="823" t="s">
        <v>2536</v>
      </c>
      <c r="AF215" s="826"/>
      <c r="AG215" s="756"/>
      <c r="AH215" s="823"/>
      <c r="AI215" s="829"/>
      <c r="AJ215" s="756"/>
    </row>
    <row r="216" spans="1:40" s="50" customFormat="1" ht="28.5" customHeight="1" outlineLevel="1">
      <c r="G216" s="63" t="s">
        <v>325</v>
      </c>
      <c r="H216" s="63"/>
      <c r="I216" s="55"/>
      <c r="J216" s="55" t="s">
        <v>261</v>
      </c>
      <c r="K216" s="55"/>
      <c r="L216" s="55" t="s">
        <v>325</v>
      </c>
      <c r="M216" s="55"/>
      <c r="N216" s="55"/>
      <c r="O216" s="55"/>
      <c r="P216" s="55"/>
      <c r="Q216" s="55"/>
      <c r="R216" s="55"/>
      <c r="S216" s="55"/>
      <c r="T216" s="55"/>
      <c r="U216" s="55"/>
      <c r="V216" s="55"/>
      <c r="W216" s="55"/>
      <c r="X216" s="2632" t="s">
        <v>564</v>
      </c>
      <c r="Y216" s="750" t="s">
        <v>2743</v>
      </c>
      <c r="Z216" s="823">
        <v>5</v>
      </c>
      <c r="AA216" s="823"/>
      <c r="AB216" s="756">
        <f>AB215+AC215</f>
        <v>40</v>
      </c>
      <c r="AC216" s="756">
        <v>8</v>
      </c>
      <c r="AD216" s="756"/>
      <c r="AE216" s="823" t="s">
        <v>2531</v>
      </c>
      <c r="AF216" s="826"/>
      <c r="AG216" s="756"/>
      <c r="AH216" s="823"/>
      <c r="AI216" s="829"/>
      <c r="AJ216" s="756"/>
    </row>
    <row r="217" spans="1:40" s="50" customFormat="1" ht="28.5" customHeight="1" outlineLevel="1">
      <c r="G217" s="63" t="s">
        <v>325</v>
      </c>
      <c r="H217" s="63"/>
      <c r="I217" s="55"/>
      <c r="J217" s="55" t="s">
        <v>261</v>
      </c>
      <c r="K217" s="55"/>
      <c r="L217" s="55" t="s">
        <v>325</v>
      </c>
      <c r="M217" s="55"/>
      <c r="N217" s="55"/>
      <c r="O217" s="55"/>
      <c r="P217" s="55"/>
      <c r="Q217" s="55"/>
      <c r="R217" s="55"/>
      <c r="S217" s="55"/>
      <c r="T217" s="55"/>
      <c r="U217" s="55"/>
      <c r="V217" s="55"/>
      <c r="W217" s="55"/>
      <c r="X217" s="2633" t="s">
        <v>567</v>
      </c>
      <c r="Y217" s="750" t="s">
        <v>2744</v>
      </c>
      <c r="Z217" s="823">
        <v>6</v>
      </c>
      <c r="AA217" s="823"/>
      <c r="AB217" s="756">
        <f>AB216+AC216</f>
        <v>48</v>
      </c>
      <c r="AC217" s="756">
        <v>8</v>
      </c>
      <c r="AD217" s="756"/>
      <c r="AE217" s="817" t="s">
        <v>2539</v>
      </c>
      <c r="AF217" s="826"/>
      <c r="AG217" s="756"/>
      <c r="AH217" s="823"/>
      <c r="AI217" s="829"/>
      <c r="AJ217" s="756"/>
    </row>
    <row r="218" spans="1:40" s="50" customFormat="1" ht="28.5" customHeight="1" outlineLevel="1">
      <c r="G218" s="63" t="s">
        <v>325</v>
      </c>
      <c r="H218" s="63"/>
      <c r="I218" s="55"/>
      <c r="J218" s="55" t="s">
        <v>261</v>
      </c>
      <c r="K218" s="55"/>
      <c r="L218" s="55" t="s">
        <v>325</v>
      </c>
      <c r="M218" s="55"/>
      <c r="N218" s="55"/>
      <c r="O218" s="55"/>
      <c r="P218" s="55"/>
      <c r="Q218" s="55"/>
      <c r="R218" s="55"/>
      <c r="S218" s="55"/>
      <c r="T218" s="55"/>
      <c r="U218" s="55"/>
      <c r="V218" s="55"/>
      <c r="W218" s="55"/>
      <c r="X218" s="2634" t="s">
        <v>570</v>
      </c>
      <c r="Y218" s="750" t="s">
        <v>2745</v>
      </c>
      <c r="Z218" s="823">
        <v>7</v>
      </c>
      <c r="AA218" s="823"/>
      <c r="AB218" s="756">
        <f>AB217+AC217</f>
        <v>56</v>
      </c>
      <c r="AC218" s="756">
        <v>8</v>
      </c>
      <c r="AD218" s="756"/>
      <c r="AE218" s="817" t="s">
        <v>2539</v>
      </c>
      <c r="AF218" s="826"/>
      <c r="AG218" s="756"/>
      <c r="AH218" s="823"/>
      <c r="AI218" s="829"/>
      <c r="AJ218" s="756"/>
    </row>
    <row r="219" spans="1:40" s="51" customFormat="1" ht="27.95" customHeight="1">
      <c r="A219" s="742">
        <v>20</v>
      </c>
      <c r="B219" s="821" t="s">
        <v>2722</v>
      </c>
      <c r="C219" s="743" t="s">
        <v>2746</v>
      </c>
      <c r="D219" s="743" t="s">
        <v>401</v>
      </c>
      <c r="E219" s="743">
        <v>8</v>
      </c>
      <c r="F219" s="743" t="s">
        <v>260</v>
      </c>
      <c r="G219" s="742" t="s">
        <v>325</v>
      </c>
      <c r="H219" s="742"/>
      <c r="I219" s="744"/>
      <c r="J219" s="744" t="s">
        <v>261</v>
      </c>
      <c r="K219" s="744"/>
      <c r="L219" s="744" t="s">
        <v>325</v>
      </c>
      <c r="M219" s="744"/>
      <c r="N219" s="744"/>
      <c r="O219" s="744"/>
      <c r="P219" s="744"/>
      <c r="Q219" s="744"/>
      <c r="R219" s="744"/>
      <c r="S219" s="744"/>
      <c r="T219" s="744"/>
      <c r="U219" s="744"/>
      <c r="V219" s="744"/>
      <c r="W219" s="744"/>
      <c r="X219" s="743" t="s">
        <v>2747</v>
      </c>
      <c r="Y219" s="746"/>
      <c r="Z219" s="745"/>
      <c r="AA219" s="745"/>
      <c r="AB219" s="745"/>
      <c r="AC219" s="745"/>
      <c r="AD219" s="745"/>
      <c r="AE219" s="743" t="s">
        <v>2747</v>
      </c>
      <c r="AF219" s="747"/>
      <c r="AG219" s="744"/>
      <c r="AH219" s="745"/>
      <c r="AI219" s="748"/>
      <c r="AJ219" s="745"/>
    </row>
    <row r="220" spans="1:40" ht="45.75" customHeight="1">
      <c r="A220" s="1500"/>
      <c r="B220" s="1500"/>
      <c r="C220" s="1500"/>
      <c r="D220" s="1500"/>
      <c r="E220" s="1500"/>
      <c r="F220" s="1500"/>
      <c r="G220" s="1363" t="s">
        <v>325</v>
      </c>
      <c r="H220" s="1500"/>
      <c r="I220" s="1500"/>
      <c r="J220" s="1500" t="s">
        <v>261</v>
      </c>
      <c r="K220" s="1500"/>
      <c r="L220" s="1500" t="s">
        <v>325</v>
      </c>
      <c r="M220" s="1500"/>
      <c r="N220" s="1500"/>
      <c r="O220" s="1500"/>
      <c r="P220" s="1500"/>
      <c r="Q220" s="1500"/>
      <c r="R220" s="1500"/>
      <c r="S220" s="1500"/>
      <c r="T220" s="1500"/>
      <c r="U220" s="1389"/>
      <c r="V220" s="117"/>
      <c r="W220" s="117"/>
      <c r="X220" s="2635" t="s">
        <v>576</v>
      </c>
      <c r="Y220" s="684" t="s">
        <v>2748</v>
      </c>
      <c r="Z220" s="484">
        <v>0</v>
      </c>
      <c r="AA220" s="1512">
        <v>0</v>
      </c>
      <c r="AB220" s="1548">
        <f>Z220*8+AA220</f>
        <v>0</v>
      </c>
      <c r="AC220" s="1512">
        <v>8</v>
      </c>
      <c r="AD220" s="1512"/>
      <c r="AE220" s="1538" t="s">
        <v>578</v>
      </c>
      <c r="AF220" s="1538"/>
      <c r="AG220" s="1538"/>
      <c r="AH220" s="1538"/>
      <c r="AI220" s="1538"/>
      <c r="AJ220" s="1512"/>
      <c r="AK220" s="1500"/>
      <c r="AL220" s="364"/>
      <c r="AM220" s="1363"/>
      <c r="AN220" s="1363"/>
    </row>
    <row r="221" spans="1:40" s="51" customFormat="1" ht="27.95" customHeight="1" outlineLevel="1">
      <c r="A221" s="62"/>
      <c r="B221" s="50"/>
      <c r="C221" s="50"/>
      <c r="D221" s="50"/>
      <c r="E221" s="50"/>
      <c r="F221" s="50"/>
      <c r="G221" s="63" t="s">
        <v>325</v>
      </c>
      <c r="H221" s="63"/>
      <c r="I221" s="55"/>
      <c r="J221" s="55" t="s">
        <v>261</v>
      </c>
      <c r="K221" s="55"/>
      <c r="L221" s="55" t="s">
        <v>325</v>
      </c>
      <c r="M221" s="55"/>
      <c r="N221" s="55"/>
      <c r="O221" s="55"/>
      <c r="P221" s="55"/>
      <c r="Q221" s="55"/>
      <c r="R221" s="55"/>
      <c r="S221" s="55"/>
      <c r="T221" s="55"/>
      <c r="U221" s="55"/>
      <c r="V221" s="55"/>
      <c r="W221" s="55"/>
      <c r="X221" s="2636" t="s">
        <v>2544</v>
      </c>
      <c r="Y221" s="13" t="s">
        <v>2749</v>
      </c>
      <c r="Z221" s="70">
        <v>1</v>
      </c>
      <c r="AA221" s="70"/>
      <c r="AB221" s="71">
        <v>8</v>
      </c>
      <c r="AC221" s="71">
        <v>8</v>
      </c>
      <c r="AD221" s="71"/>
      <c r="AE221" s="70" t="s">
        <v>2531</v>
      </c>
      <c r="AF221" s="299"/>
      <c r="AG221" s="71"/>
      <c r="AH221" s="70"/>
      <c r="AI221" s="79"/>
      <c r="AJ221" s="756"/>
    </row>
    <row r="222" spans="1:40" s="51" customFormat="1" ht="27.95" customHeight="1" outlineLevel="1">
      <c r="A222" s="62"/>
      <c r="B222" s="50"/>
      <c r="C222" s="50"/>
      <c r="D222" s="50"/>
      <c r="E222" s="50"/>
      <c r="F222" s="50"/>
      <c r="G222" s="63" t="s">
        <v>325</v>
      </c>
      <c r="H222" s="63"/>
      <c r="I222" s="55"/>
      <c r="J222" s="55" t="s">
        <v>261</v>
      </c>
      <c r="K222" s="55"/>
      <c r="L222" s="55" t="s">
        <v>325</v>
      </c>
      <c r="M222" s="55"/>
      <c r="N222" s="55"/>
      <c r="O222" s="55"/>
      <c r="P222" s="55"/>
      <c r="Q222" s="55"/>
      <c r="R222" s="55"/>
      <c r="S222" s="55"/>
      <c r="T222" s="55"/>
      <c r="U222" s="55"/>
      <c r="V222" s="55"/>
      <c r="W222" s="55"/>
      <c r="X222" s="2637" t="s">
        <v>2546</v>
      </c>
      <c r="Y222" s="13" t="s">
        <v>2750</v>
      </c>
      <c r="Z222" s="823">
        <v>2</v>
      </c>
      <c r="AA222" s="823"/>
      <c r="AB222" s="756">
        <v>16</v>
      </c>
      <c r="AC222" s="756">
        <v>8</v>
      </c>
      <c r="AD222" s="756"/>
      <c r="AE222" s="823" t="s">
        <v>2533</v>
      </c>
      <c r="AF222" s="826"/>
      <c r="AG222" s="756"/>
      <c r="AH222" s="823"/>
      <c r="AI222" s="829"/>
      <c r="AJ222" s="756"/>
    </row>
    <row r="223" spans="1:40" s="51" customFormat="1" ht="42.75" customHeight="1" outlineLevel="1">
      <c r="A223" s="62"/>
      <c r="B223" s="50"/>
      <c r="C223" s="50"/>
      <c r="D223" s="50"/>
      <c r="E223" s="50"/>
      <c r="F223" s="50"/>
      <c r="G223" s="63" t="s">
        <v>325</v>
      </c>
      <c r="H223" s="63"/>
      <c r="I223" s="55"/>
      <c r="J223" s="55" t="s">
        <v>261</v>
      </c>
      <c r="K223" s="55"/>
      <c r="L223" s="55" t="s">
        <v>325</v>
      </c>
      <c r="M223" s="55"/>
      <c r="N223" s="55"/>
      <c r="O223" s="55"/>
      <c r="P223" s="55"/>
      <c r="Q223" s="55"/>
      <c r="R223" s="55"/>
      <c r="S223" s="55"/>
      <c r="T223" s="55"/>
      <c r="U223" s="55"/>
      <c r="V223" s="55"/>
      <c r="W223" s="55"/>
      <c r="X223" s="2638" t="s">
        <v>2548</v>
      </c>
      <c r="Y223" s="13" t="s">
        <v>2751</v>
      </c>
      <c r="Z223" s="823">
        <v>3</v>
      </c>
      <c r="AA223" s="823"/>
      <c r="AB223" s="756">
        <f>AB222+AC222</f>
        <v>24</v>
      </c>
      <c r="AC223" s="756">
        <v>8</v>
      </c>
      <c r="AD223" s="756"/>
      <c r="AE223" s="823" t="s">
        <v>2533</v>
      </c>
      <c r="AF223" s="826"/>
      <c r="AG223" s="756"/>
      <c r="AH223" s="823"/>
      <c r="AI223" s="829"/>
      <c r="AJ223" s="756"/>
    </row>
    <row r="224" spans="1:40" s="485" customFormat="1" ht="14.25" customHeight="1">
      <c r="A224" s="830">
        <v>21</v>
      </c>
      <c r="B224" s="831" t="s">
        <v>2752</v>
      </c>
      <c r="C224" s="831" t="s">
        <v>2753</v>
      </c>
      <c r="D224" s="831" t="s">
        <v>2754</v>
      </c>
      <c r="E224" s="831">
        <v>8</v>
      </c>
      <c r="F224" s="831" t="s">
        <v>260</v>
      </c>
      <c r="G224" s="830" t="s">
        <v>261</v>
      </c>
      <c r="H224" s="830"/>
      <c r="I224" s="832"/>
      <c r="J224" s="832"/>
      <c r="K224" s="832"/>
      <c r="L224" s="832"/>
      <c r="M224" s="832" t="s">
        <v>325</v>
      </c>
      <c r="N224" s="832"/>
      <c r="O224" s="832"/>
      <c r="P224" s="832"/>
      <c r="Q224" s="832"/>
      <c r="R224" s="832"/>
      <c r="S224" s="832"/>
      <c r="T224" s="832"/>
      <c r="U224" s="832"/>
      <c r="V224" s="832"/>
      <c r="W224" s="832"/>
      <c r="X224" s="831" t="s">
        <v>2755</v>
      </c>
      <c r="Y224" s="833"/>
      <c r="Z224" s="834"/>
      <c r="AA224" s="834"/>
      <c r="AB224" s="834"/>
      <c r="AC224" s="834"/>
      <c r="AD224" s="834"/>
      <c r="AE224" s="831" t="s">
        <v>2755</v>
      </c>
      <c r="AF224" s="835"/>
      <c r="AG224" s="832"/>
      <c r="AH224" s="834"/>
      <c r="AI224" s="836"/>
      <c r="AJ224" s="834"/>
    </row>
    <row r="225" spans="1:37" s="485" customFormat="1" ht="28.5" customHeight="1" outlineLevel="1">
      <c r="G225" s="486" t="s">
        <v>261</v>
      </c>
      <c r="H225" s="486"/>
      <c r="I225" s="69"/>
      <c r="J225" s="69"/>
      <c r="K225" s="69"/>
      <c r="L225" s="69"/>
      <c r="M225" s="69" t="s">
        <v>325</v>
      </c>
      <c r="N225" s="69"/>
      <c r="O225" s="69"/>
      <c r="P225" s="69"/>
      <c r="Q225" s="69"/>
      <c r="R225" s="69"/>
      <c r="S225" s="69"/>
      <c r="T225" s="69"/>
      <c r="U225" s="69"/>
      <c r="V225" s="69"/>
      <c r="W225" s="69"/>
      <c r="X225" s="2639" t="s">
        <v>2756</v>
      </c>
      <c r="Y225" s="837" t="s">
        <v>2757</v>
      </c>
      <c r="Z225" s="487"/>
      <c r="AA225" s="487"/>
      <c r="AB225" s="838">
        <v>0</v>
      </c>
      <c r="AC225" s="838">
        <v>1</v>
      </c>
      <c r="AD225" s="487"/>
      <c r="AE225" s="487" t="s">
        <v>2758</v>
      </c>
      <c r="AF225" s="488"/>
      <c r="AG225" s="122"/>
      <c r="AH225" s="122"/>
      <c r="AI225" s="489"/>
      <c r="AJ225" s="839"/>
    </row>
    <row r="226" spans="1:37" s="485" customFormat="1" ht="28.5" customHeight="1" outlineLevel="1">
      <c r="G226" s="486" t="s">
        <v>261</v>
      </c>
      <c r="H226" s="486"/>
      <c r="I226" s="69"/>
      <c r="J226" s="69"/>
      <c r="K226" s="69"/>
      <c r="L226" s="69"/>
      <c r="M226" s="69" t="s">
        <v>325</v>
      </c>
      <c r="N226" s="69"/>
      <c r="O226" s="69"/>
      <c r="P226" s="69"/>
      <c r="Q226" s="69"/>
      <c r="R226" s="69"/>
      <c r="S226" s="69"/>
      <c r="T226" s="69"/>
      <c r="U226" s="69"/>
      <c r="V226" s="69"/>
      <c r="W226" s="69"/>
      <c r="X226" s="2640" t="s">
        <v>2759</v>
      </c>
      <c r="Y226" s="837" t="s">
        <v>2760</v>
      </c>
      <c r="Z226" s="841"/>
      <c r="AA226" s="841"/>
      <c r="AB226" s="838">
        <v>2</v>
      </c>
      <c r="AC226" s="838">
        <v>1</v>
      </c>
      <c r="AD226" s="841"/>
      <c r="AE226" s="841" t="s">
        <v>2761</v>
      </c>
      <c r="AF226" s="842"/>
      <c r="AG226" s="843"/>
      <c r="AH226" s="843"/>
      <c r="AI226" s="844"/>
      <c r="AJ226" s="839"/>
    </row>
    <row r="227" spans="1:37" s="485" customFormat="1" ht="57" customHeight="1" outlineLevel="1">
      <c r="G227" s="486"/>
      <c r="H227" s="486"/>
      <c r="I227" s="69"/>
      <c r="J227" s="69"/>
      <c r="K227" s="69"/>
      <c r="L227" s="69"/>
      <c r="M227" s="69"/>
      <c r="N227" s="69"/>
      <c r="O227" s="69"/>
      <c r="P227" s="69"/>
      <c r="Q227" s="69"/>
      <c r="R227" s="69"/>
      <c r="S227" s="69"/>
      <c r="T227" s="69"/>
      <c r="U227" s="69"/>
      <c r="V227" s="69"/>
      <c r="W227" s="69"/>
      <c r="X227" s="2641" t="s">
        <v>677</v>
      </c>
      <c r="Y227" s="490" t="s">
        <v>2762</v>
      </c>
      <c r="Z227" s="372" t="s">
        <v>398</v>
      </c>
      <c r="AA227" s="372" t="s">
        <v>398</v>
      </c>
      <c r="AB227" s="838">
        <v>4</v>
      </c>
      <c r="AC227" s="838">
        <v>2</v>
      </c>
      <c r="AD227" s="372" t="s">
        <v>398</v>
      </c>
      <c r="AE227" s="2642" t="s">
        <v>679</v>
      </c>
      <c r="AF227" s="842"/>
      <c r="AG227" s="843"/>
      <c r="AH227" s="841"/>
      <c r="AI227" s="844"/>
      <c r="AJ227" s="839"/>
      <c r="AK227" s="491">
        <v>20260106</v>
      </c>
    </row>
    <row r="228" spans="1:37" s="485" customFormat="1" ht="28.5" customHeight="1" outlineLevel="1">
      <c r="G228" s="486" t="s">
        <v>261</v>
      </c>
      <c r="H228" s="486"/>
      <c r="I228" s="69"/>
      <c r="J228" s="69"/>
      <c r="K228" s="69"/>
      <c r="L228" s="69"/>
      <c r="M228" s="69" t="s">
        <v>325</v>
      </c>
      <c r="N228" s="69"/>
      <c r="O228" s="69"/>
      <c r="P228" s="69"/>
      <c r="Q228" s="69"/>
      <c r="R228" s="69"/>
      <c r="S228" s="69"/>
      <c r="T228" s="69"/>
      <c r="U228" s="69"/>
      <c r="V228" s="69"/>
      <c r="W228" s="69"/>
      <c r="X228" s="2643" t="s">
        <v>2763</v>
      </c>
      <c r="Y228" s="837" t="s">
        <v>2764</v>
      </c>
      <c r="Z228" s="841"/>
      <c r="AA228" s="841"/>
      <c r="AB228" s="838">
        <v>8</v>
      </c>
      <c r="AC228" s="838">
        <v>16</v>
      </c>
      <c r="AD228" s="841" t="s">
        <v>474</v>
      </c>
      <c r="AE228" s="841" t="s">
        <v>2765</v>
      </c>
      <c r="AF228" s="842">
        <v>1</v>
      </c>
      <c r="AG228" s="843">
        <v>0</v>
      </c>
      <c r="AH228" s="845" t="s">
        <v>2766</v>
      </c>
      <c r="AI228" s="844">
        <v>0</v>
      </c>
      <c r="AJ228" s="839" t="s">
        <v>477</v>
      </c>
    </row>
    <row r="229" spans="1:37" s="485" customFormat="1" ht="28.5" customHeight="1" outlineLevel="1">
      <c r="G229" s="486" t="s">
        <v>261</v>
      </c>
      <c r="H229" s="486"/>
      <c r="I229" s="69"/>
      <c r="J229" s="69"/>
      <c r="K229" s="69"/>
      <c r="L229" s="69"/>
      <c r="M229" s="69" t="s">
        <v>325</v>
      </c>
      <c r="N229" s="69"/>
      <c r="O229" s="69"/>
      <c r="P229" s="69"/>
      <c r="Q229" s="69"/>
      <c r="R229" s="69"/>
      <c r="S229" s="69"/>
      <c r="T229" s="69"/>
      <c r="U229" s="69"/>
      <c r="V229" s="69"/>
      <c r="W229" s="69"/>
      <c r="X229" s="2644" t="s">
        <v>2767</v>
      </c>
      <c r="Y229" s="837" t="s">
        <v>2768</v>
      </c>
      <c r="Z229" s="841"/>
      <c r="AA229" s="841"/>
      <c r="AB229" s="838">
        <v>24</v>
      </c>
      <c r="AC229" s="838">
        <v>16</v>
      </c>
      <c r="AD229" s="841" t="s">
        <v>407</v>
      </c>
      <c r="AE229" s="841" t="s">
        <v>2769</v>
      </c>
      <c r="AF229" s="842">
        <v>1</v>
      </c>
      <c r="AG229" s="843">
        <v>0</v>
      </c>
      <c r="AH229" s="841" t="s">
        <v>2770</v>
      </c>
      <c r="AI229" s="844">
        <v>360</v>
      </c>
      <c r="AJ229" s="839" t="s">
        <v>2771</v>
      </c>
    </row>
    <row r="230" spans="1:37" s="485" customFormat="1" ht="14.25" customHeight="1" outlineLevel="1">
      <c r="G230" s="486"/>
      <c r="H230" s="486"/>
      <c r="I230" s="69"/>
      <c r="J230" s="69"/>
      <c r="K230" s="69"/>
      <c r="L230" s="69"/>
      <c r="M230" s="69"/>
      <c r="N230" s="69"/>
      <c r="O230" s="69"/>
      <c r="P230" s="69"/>
      <c r="Q230" s="69"/>
      <c r="R230" s="69"/>
      <c r="S230" s="69"/>
      <c r="T230" s="69"/>
      <c r="U230" s="69"/>
      <c r="V230" s="69"/>
      <c r="W230" s="69"/>
      <c r="X230" s="840"/>
      <c r="Y230" s="837"/>
      <c r="Z230" s="841"/>
      <c r="AA230" s="841"/>
      <c r="AB230" s="838"/>
      <c r="AC230" s="838"/>
      <c r="AD230" s="841"/>
      <c r="AE230" s="841"/>
      <c r="AF230" s="842"/>
      <c r="AG230" s="843"/>
      <c r="AH230" s="841"/>
      <c r="AI230" s="844"/>
      <c r="AJ230" s="839"/>
    </row>
    <row r="231" spans="1:37" s="50" customFormat="1" ht="14.25" customHeight="1">
      <c r="A231" s="742">
        <v>21</v>
      </c>
      <c r="B231" s="743" t="s">
        <v>2752</v>
      </c>
      <c r="C231" s="743" t="s">
        <v>2772</v>
      </c>
      <c r="D231" s="743" t="s">
        <v>2754</v>
      </c>
      <c r="E231" s="743">
        <v>8</v>
      </c>
      <c r="F231" s="743" t="s">
        <v>260</v>
      </c>
      <c r="G231" s="742" t="s">
        <v>261</v>
      </c>
      <c r="H231" s="742"/>
      <c r="I231" s="744"/>
      <c r="J231" s="744"/>
      <c r="K231" s="744" t="s">
        <v>325</v>
      </c>
      <c r="L231" s="744"/>
      <c r="M231" s="744" t="s">
        <v>325</v>
      </c>
      <c r="N231" s="744"/>
      <c r="O231" s="744"/>
      <c r="P231" s="744"/>
      <c r="Q231" s="744"/>
      <c r="R231" s="744"/>
      <c r="S231" s="744"/>
      <c r="T231" s="744"/>
      <c r="U231" s="744"/>
      <c r="V231" s="744"/>
      <c r="W231" s="744"/>
      <c r="X231" s="743" t="s">
        <v>2773</v>
      </c>
      <c r="Y231" s="746"/>
      <c r="Z231" s="745"/>
      <c r="AA231" s="745"/>
      <c r="AB231" s="745"/>
      <c r="AC231" s="745"/>
      <c r="AD231" s="745"/>
      <c r="AE231" s="743" t="s">
        <v>2773</v>
      </c>
      <c r="AF231" s="747"/>
      <c r="AG231" s="744"/>
      <c r="AH231" s="745"/>
      <c r="AI231" s="748"/>
      <c r="AJ231" s="745"/>
      <c r="AK231" s="50" t="s">
        <v>2774</v>
      </c>
    </row>
    <row r="232" spans="1:37" s="50" customFormat="1" ht="28.5" customHeight="1" outlineLevel="1">
      <c r="G232" s="63" t="s">
        <v>261</v>
      </c>
      <c r="H232" s="63"/>
      <c r="I232" s="55"/>
      <c r="J232" s="55"/>
      <c r="K232" s="55"/>
      <c r="L232" s="55"/>
      <c r="M232" s="55" t="s">
        <v>325</v>
      </c>
      <c r="N232" s="55"/>
      <c r="O232" s="55"/>
      <c r="P232" s="55"/>
      <c r="Q232" s="55"/>
      <c r="R232" s="55"/>
      <c r="S232" s="55"/>
      <c r="T232" s="55"/>
      <c r="U232" s="55"/>
      <c r="V232" s="55"/>
      <c r="W232" s="55"/>
      <c r="X232" s="2645" t="s">
        <v>2756</v>
      </c>
      <c r="Y232" s="750" t="s">
        <v>2757</v>
      </c>
      <c r="Z232" s="76"/>
      <c r="AA232" s="76"/>
      <c r="AB232" s="751">
        <v>0</v>
      </c>
      <c r="AC232" s="751">
        <v>1</v>
      </c>
      <c r="AD232" s="76"/>
      <c r="AE232" s="76" t="s">
        <v>2758</v>
      </c>
      <c r="AF232" s="299"/>
      <c r="AG232" s="71"/>
      <c r="AH232" s="71"/>
      <c r="AI232" s="86"/>
      <c r="AJ232" s="822"/>
    </row>
    <row r="233" spans="1:37" s="50" customFormat="1" ht="28.5" customHeight="1" outlineLevel="1">
      <c r="G233" s="63" t="s">
        <v>261</v>
      </c>
      <c r="H233" s="63"/>
      <c r="I233" s="55"/>
      <c r="J233" s="55"/>
      <c r="K233" s="55"/>
      <c r="L233" s="55"/>
      <c r="M233" s="55" t="s">
        <v>325</v>
      </c>
      <c r="N233" s="55"/>
      <c r="O233" s="55"/>
      <c r="P233" s="55"/>
      <c r="Q233" s="55"/>
      <c r="R233" s="55"/>
      <c r="S233" s="55"/>
      <c r="T233" s="55"/>
      <c r="U233" s="55"/>
      <c r="V233" s="55"/>
      <c r="W233" s="55"/>
      <c r="X233" s="2646" t="s">
        <v>2759</v>
      </c>
      <c r="Y233" s="750" t="s">
        <v>2760</v>
      </c>
      <c r="Z233" s="825"/>
      <c r="AA233" s="825"/>
      <c r="AB233" s="751">
        <v>2</v>
      </c>
      <c r="AC233" s="751">
        <v>1</v>
      </c>
      <c r="AD233" s="825"/>
      <c r="AE233" s="825" t="s">
        <v>2761</v>
      </c>
      <c r="AF233" s="826"/>
      <c r="AG233" s="756"/>
      <c r="AH233" s="756"/>
      <c r="AI233" s="828"/>
      <c r="AJ233" s="822"/>
    </row>
    <row r="234" spans="1:37" s="50" customFormat="1" ht="57" customHeight="1" outlineLevel="1">
      <c r="G234" s="63"/>
      <c r="H234" s="63"/>
      <c r="I234" s="55"/>
      <c r="J234" s="55"/>
      <c r="K234" s="55"/>
      <c r="L234" s="55"/>
      <c r="M234" s="55"/>
      <c r="N234" s="55"/>
      <c r="O234" s="55"/>
      <c r="P234" s="55"/>
      <c r="Q234" s="55"/>
      <c r="R234" s="55"/>
      <c r="S234" s="55"/>
      <c r="T234" s="55"/>
      <c r="U234" s="55"/>
      <c r="V234" s="55"/>
      <c r="W234" s="55"/>
      <c r="X234" s="2647" t="s">
        <v>677</v>
      </c>
      <c r="Y234" s="370" t="s">
        <v>2762</v>
      </c>
      <c r="Z234" s="367" t="s">
        <v>398</v>
      </c>
      <c r="AA234" s="367" t="s">
        <v>398</v>
      </c>
      <c r="AB234" s="751">
        <v>4</v>
      </c>
      <c r="AC234" s="751">
        <v>2</v>
      </c>
      <c r="AD234" s="367" t="s">
        <v>398</v>
      </c>
      <c r="AE234" s="2648" t="s">
        <v>679</v>
      </c>
      <c r="AF234" s="826"/>
      <c r="AG234" s="756"/>
      <c r="AH234" s="825"/>
      <c r="AI234" s="828"/>
      <c r="AJ234" s="822"/>
      <c r="AK234" s="483">
        <v>20260106</v>
      </c>
    </row>
    <row r="235" spans="1:37" s="50" customFormat="1" ht="28.5" customHeight="1" outlineLevel="1">
      <c r="G235" s="63" t="s">
        <v>261</v>
      </c>
      <c r="H235" s="63"/>
      <c r="I235" s="55"/>
      <c r="J235" s="55"/>
      <c r="K235" s="55"/>
      <c r="L235" s="55"/>
      <c r="M235" s="55" t="s">
        <v>325</v>
      </c>
      <c r="N235" s="55"/>
      <c r="O235" s="55"/>
      <c r="P235" s="55"/>
      <c r="Q235" s="55"/>
      <c r="R235" s="55"/>
      <c r="S235" s="55"/>
      <c r="T235" s="55"/>
      <c r="U235" s="55"/>
      <c r="V235" s="55"/>
      <c r="W235" s="55"/>
      <c r="X235" s="2649" t="s">
        <v>2763</v>
      </c>
      <c r="Y235" s="750" t="s">
        <v>2764</v>
      </c>
      <c r="Z235" s="825"/>
      <c r="AA235" s="825"/>
      <c r="AB235" s="751">
        <v>8</v>
      </c>
      <c r="AC235" s="751">
        <v>16</v>
      </c>
      <c r="AD235" s="825" t="s">
        <v>474</v>
      </c>
      <c r="AE235" s="825" t="s">
        <v>2765</v>
      </c>
      <c r="AF235" s="826">
        <v>1</v>
      </c>
      <c r="AG235" s="756">
        <v>0</v>
      </c>
      <c r="AH235" s="846" t="s">
        <v>2766</v>
      </c>
      <c r="AI235" s="828">
        <v>0</v>
      </c>
      <c r="AJ235" s="822" t="s">
        <v>477</v>
      </c>
    </row>
    <row r="236" spans="1:37" s="50" customFormat="1" ht="28.5" customHeight="1" outlineLevel="1">
      <c r="G236" s="63" t="s">
        <v>261</v>
      </c>
      <c r="H236" s="63"/>
      <c r="I236" s="55"/>
      <c r="J236" s="55"/>
      <c r="K236" s="55"/>
      <c r="L236" s="55"/>
      <c r="M236" s="55" t="s">
        <v>325</v>
      </c>
      <c r="N236" s="55"/>
      <c r="O236" s="55"/>
      <c r="P236" s="55"/>
      <c r="Q236" s="55"/>
      <c r="R236" s="55"/>
      <c r="S236" s="55"/>
      <c r="T236" s="55"/>
      <c r="U236" s="55"/>
      <c r="V236" s="55"/>
      <c r="W236" s="55"/>
      <c r="X236" s="2650" t="s">
        <v>2767</v>
      </c>
      <c r="Y236" s="750" t="s">
        <v>2768</v>
      </c>
      <c r="Z236" s="825"/>
      <c r="AA236" s="825"/>
      <c r="AB236" s="751">
        <v>24</v>
      </c>
      <c r="AC236" s="751">
        <v>16</v>
      </c>
      <c r="AD236" s="825" t="s">
        <v>407</v>
      </c>
      <c r="AE236" s="825" t="s">
        <v>2769</v>
      </c>
      <c r="AF236" s="826">
        <v>1</v>
      </c>
      <c r="AG236" s="756">
        <v>0</v>
      </c>
      <c r="AH236" s="825" t="s">
        <v>2770</v>
      </c>
      <c r="AI236" s="828">
        <v>360</v>
      </c>
      <c r="AJ236" s="822" t="s">
        <v>2771</v>
      </c>
    </row>
    <row r="237" spans="1:37" s="50" customFormat="1" ht="44.1" customHeight="1" outlineLevel="1">
      <c r="G237" s="63" t="s">
        <v>261</v>
      </c>
      <c r="H237" s="63"/>
      <c r="I237" s="55"/>
      <c r="J237" s="55"/>
      <c r="K237" s="55" t="s">
        <v>325</v>
      </c>
      <c r="L237" s="55"/>
      <c r="M237" s="55" t="s">
        <v>325</v>
      </c>
      <c r="N237" s="55"/>
      <c r="O237" s="55"/>
      <c r="P237" s="55"/>
      <c r="Q237" s="55"/>
      <c r="R237" s="55"/>
      <c r="S237" s="55"/>
      <c r="T237" s="55"/>
      <c r="U237" s="55"/>
      <c r="V237" s="55"/>
      <c r="W237" s="55"/>
      <c r="X237" s="823" t="s">
        <v>2775</v>
      </c>
      <c r="Y237" s="13" t="s">
        <v>2776</v>
      </c>
      <c r="Z237" s="76">
        <v>5</v>
      </c>
      <c r="AA237" s="76"/>
      <c r="AB237" s="71">
        <v>40</v>
      </c>
      <c r="AC237" s="71">
        <v>8</v>
      </c>
      <c r="AD237" s="76"/>
      <c r="AE237" s="823" t="s">
        <v>2775</v>
      </c>
      <c r="AF237" s="299">
        <v>1</v>
      </c>
      <c r="AG237" s="71">
        <v>0</v>
      </c>
      <c r="AH237" s="847" t="s">
        <v>2777</v>
      </c>
      <c r="AI237" s="50" t="s">
        <v>617</v>
      </c>
      <c r="AJ237" s="848" t="s">
        <v>452</v>
      </c>
    </row>
    <row r="238" spans="1:37" s="50" customFormat="1" ht="14.25" customHeight="1">
      <c r="A238" s="742">
        <v>22</v>
      </c>
      <c r="B238" s="743" t="s">
        <v>2778</v>
      </c>
      <c r="C238" s="743" t="s">
        <v>2779</v>
      </c>
      <c r="D238" s="743" t="s">
        <v>922</v>
      </c>
      <c r="E238" s="743">
        <v>8</v>
      </c>
      <c r="F238" s="743" t="s">
        <v>260</v>
      </c>
      <c r="G238" s="742" t="s">
        <v>325</v>
      </c>
      <c r="H238" s="742"/>
      <c r="I238" s="744"/>
      <c r="J238" s="744"/>
      <c r="K238" s="744"/>
      <c r="L238" s="744"/>
      <c r="M238" s="744" t="s">
        <v>261</v>
      </c>
      <c r="N238" s="744"/>
      <c r="O238" s="744"/>
      <c r="P238" s="744"/>
      <c r="Q238" s="744"/>
      <c r="R238" s="744"/>
      <c r="S238" s="744"/>
      <c r="T238" s="744"/>
      <c r="U238" s="744"/>
      <c r="V238" s="744"/>
      <c r="W238" s="744"/>
      <c r="X238" s="743" t="s">
        <v>2780</v>
      </c>
      <c r="Y238" s="746"/>
      <c r="Z238" s="745"/>
      <c r="AA238" s="745"/>
      <c r="AB238" s="745"/>
      <c r="AC238" s="745"/>
      <c r="AD238" s="745"/>
      <c r="AE238" s="743" t="s">
        <v>2780</v>
      </c>
      <c r="AF238" s="747"/>
      <c r="AG238" s="744"/>
      <c r="AH238" s="745"/>
      <c r="AI238" s="748"/>
      <c r="AJ238" s="745"/>
    </row>
    <row r="239" spans="1:37" s="50" customFormat="1" ht="28.5" customHeight="1" outlineLevel="1">
      <c r="B239" s="59"/>
      <c r="C239" s="59"/>
      <c r="D239" s="59"/>
      <c r="E239" s="59"/>
      <c r="F239" s="59"/>
      <c r="G239" s="80" t="s">
        <v>325</v>
      </c>
      <c r="H239" s="80"/>
      <c r="I239" s="80"/>
      <c r="J239" s="55"/>
      <c r="K239" s="55"/>
      <c r="L239" s="55"/>
      <c r="M239" s="55" t="s">
        <v>261</v>
      </c>
      <c r="N239" s="55"/>
      <c r="O239" s="55"/>
      <c r="P239" s="55"/>
      <c r="Q239" s="55"/>
      <c r="R239" s="55"/>
      <c r="S239" s="55"/>
      <c r="T239" s="55"/>
      <c r="U239" s="55"/>
      <c r="V239" s="55"/>
      <c r="W239" s="55"/>
      <c r="X239" s="70" t="s">
        <v>2781</v>
      </c>
      <c r="Y239" s="750" t="s">
        <v>2782</v>
      </c>
      <c r="Z239" s="70">
        <v>0</v>
      </c>
      <c r="AA239" s="70"/>
      <c r="AB239" s="71">
        <v>0</v>
      </c>
      <c r="AC239" s="71">
        <v>1</v>
      </c>
      <c r="AD239" s="70"/>
      <c r="AE239" s="2651" t="s">
        <v>2783</v>
      </c>
      <c r="AF239" s="299">
        <v>1</v>
      </c>
      <c r="AG239" s="71">
        <v>0</v>
      </c>
      <c r="AH239" s="70" t="s">
        <v>444</v>
      </c>
      <c r="AI239" s="79" t="s">
        <v>444</v>
      </c>
      <c r="AJ239" s="756" t="s">
        <v>444</v>
      </c>
    </row>
    <row r="240" spans="1:37" s="50" customFormat="1" ht="28.5" customHeight="1" outlineLevel="1">
      <c r="B240" s="59"/>
      <c r="C240" s="59"/>
      <c r="D240" s="59"/>
      <c r="E240" s="59"/>
      <c r="F240" s="59"/>
      <c r="G240" s="80" t="s">
        <v>325</v>
      </c>
      <c r="H240" s="80"/>
      <c r="I240" s="80"/>
      <c r="J240" s="55"/>
      <c r="K240" s="55"/>
      <c r="L240" s="55"/>
      <c r="M240" s="55" t="s">
        <v>261</v>
      </c>
      <c r="N240" s="55"/>
      <c r="O240" s="55"/>
      <c r="P240" s="55"/>
      <c r="Q240" s="55"/>
      <c r="R240" s="55"/>
      <c r="S240" s="55"/>
      <c r="T240" s="55"/>
      <c r="U240" s="55"/>
      <c r="V240" s="55"/>
      <c r="W240" s="55"/>
      <c r="X240" s="823" t="s">
        <v>2784</v>
      </c>
      <c r="Y240" s="750" t="s">
        <v>2785</v>
      </c>
      <c r="Z240" s="823">
        <v>0</v>
      </c>
      <c r="AA240" s="823"/>
      <c r="AB240" s="756">
        <v>1</v>
      </c>
      <c r="AC240" s="756">
        <v>1</v>
      </c>
      <c r="AD240" s="823"/>
      <c r="AE240" s="2652" t="s">
        <v>2786</v>
      </c>
      <c r="AF240" s="826">
        <v>1</v>
      </c>
      <c r="AG240" s="756">
        <v>0</v>
      </c>
      <c r="AH240" s="823" t="s">
        <v>444</v>
      </c>
      <c r="AI240" s="829" t="s">
        <v>444</v>
      </c>
      <c r="AJ240" s="756" t="s">
        <v>444</v>
      </c>
    </row>
    <row r="241" spans="1:38" s="50" customFormat="1" ht="81.75" customHeight="1" outlineLevel="1">
      <c r="B241" s="59"/>
      <c r="C241" s="59"/>
      <c r="D241" s="59"/>
      <c r="E241" s="59"/>
      <c r="F241" s="59"/>
      <c r="G241" s="80" t="s">
        <v>325</v>
      </c>
      <c r="H241" s="80"/>
      <c r="I241" s="80"/>
      <c r="J241" s="55"/>
      <c r="K241" s="55"/>
      <c r="L241" s="55"/>
      <c r="M241" s="55" t="s">
        <v>261</v>
      </c>
      <c r="N241" s="55"/>
      <c r="O241" s="55"/>
      <c r="P241" s="55"/>
      <c r="Q241" s="55"/>
      <c r="R241" s="55"/>
      <c r="S241" s="55"/>
      <c r="T241" s="55"/>
      <c r="U241" s="55"/>
      <c r="V241" s="55"/>
      <c r="W241" s="55"/>
      <c r="X241" s="823" t="s">
        <v>2787</v>
      </c>
      <c r="Y241" s="750" t="s">
        <v>2788</v>
      </c>
      <c r="Z241" s="823">
        <v>0</v>
      </c>
      <c r="AA241" s="823"/>
      <c r="AB241" s="756">
        <v>2</v>
      </c>
      <c r="AC241" s="756">
        <v>2</v>
      </c>
      <c r="AD241" s="823"/>
      <c r="AE241" s="2653" t="s">
        <v>2789</v>
      </c>
      <c r="AF241" s="826">
        <v>1</v>
      </c>
      <c r="AG241" s="756">
        <v>0</v>
      </c>
      <c r="AH241" s="823" t="s">
        <v>444</v>
      </c>
      <c r="AI241" s="829" t="s">
        <v>444</v>
      </c>
      <c r="AJ241" s="756" t="s">
        <v>444</v>
      </c>
      <c r="AK241" s="483">
        <v>20260106</v>
      </c>
    </row>
    <row r="242" spans="1:38" s="50" customFormat="1" ht="57" customHeight="1" outlineLevel="1">
      <c r="B242" s="59"/>
      <c r="C242" s="59"/>
      <c r="D242" s="59"/>
      <c r="E242" s="59"/>
      <c r="F242" s="59"/>
      <c r="G242" s="80" t="s">
        <v>325</v>
      </c>
      <c r="H242" s="80"/>
      <c r="I242" s="80"/>
      <c r="J242" s="55"/>
      <c r="K242" s="55"/>
      <c r="L242" s="55"/>
      <c r="M242" s="55" t="s">
        <v>261</v>
      </c>
      <c r="N242" s="55"/>
      <c r="O242" s="55"/>
      <c r="P242" s="55"/>
      <c r="Q242" s="55"/>
      <c r="R242" s="55"/>
      <c r="S242" s="55"/>
      <c r="T242" s="55"/>
      <c r="U242" s="55"/>
      <c r="V242" s="55"/>
      <c r="W242" s="55"/>
      <c r="X242" s="2654" t="s">
        <v>677</v>
      </c>
      <c r="Y242" s="370" t="s">
        <v>2790</v>
      </c>
      <c r="Z242" s="484">
        <v>0</v>
      </c>
      <c r="AA242" s="484" t="s">
        <v>398</v>
      </c>
      <c r="AB242" s="756">
        <v>4</v>
      </c>
      <c r="AC242" s="756">
        <v>2</v>
      </c>
      <c r="AD242" s="367" t="s">
        <v>398</v>
      </c>
      <c r="AE242" s="2655" t="s">
        <v>679</v>
      </c>
      <c r="AF242" s="826"/>
      <c r="AG242" s="756"/>
      <c r="AH242" s="825"/>
      <c r="AI242" s="828"/>
      <c r="AJ242" s="822"/>
      <c r="AK242" s="483">
        <v>20260106</v>
      </c>
    </row>
    <row r="243" spans="1:38" s="50" customFormat="1" ht="28.5" customHeight="1" outlineLevel="1">
      <c r="B243" s="59"/>
      <c r="C243" s="59"/>
      <c r="D243" s="59"/>
      <c r="E243" s="59"/>
      <c r="F243" s="59"/>
      <c r="G243" s="80" t="s">
        <v>325</v>
      </c>
      <c r="H243" s="80"/>
      <c r="I243" s="80"/>
      <c r="J243" s="55"/>
      <c r="K243" s="55"/>
      <c r="L243" s="55"/>
      <c r="M243" s="55" t="s">
        <v>261</v>
      </c>
      <c r="N243" s="55"/>
      <c r="O243" s="55"/>
      <c r="P243" s="55"/>
      <c r="Q243" s="55"/>
      <c r="R243" s="55"/>
      <c r="S243" s="55"/>
      <c r="T243" s="55"/>
      <c r="U243" s="55"/>
      <c r="V243" s="55"/>
      <c r="W243" s="55"/>
      <c r="X243" s="823" t="s">
        <v>2791</v>
      </c>
      <c r="Y243" s="750" t="s">
        <v>2792</v>
      </c>
      <c r="Z243" s="849">
        <v>1</v>
      </c>
      <c r="AA243" s="849"/>
      <c r="AB243" s="756">
        <v>8</v>
      </c>
      <c r="AC243" s="756">
        <v>16</v>
      </c>
      <c r="AD243" s="850" t="s">
        <v>474</v>
      </c>
      <c r="AE243" s="823" t="s">
        <v>2793</v>
      </c>
      <c r="AF243" s="826">
        <v>1</v>
      </c>
      <c r="AG243" s="756">
        <v>0</v>
      </c>
      <c r="AH243" s="823" t="s">
        <v>2794</v>
      </c>
      <c r="AI243" s="829" t="s">
        <v>444</v>
      </c>
      <c r="AJ243" s="756" t="s">
        <v>477</v>
      </c>
    </row>
    <row r="244" spans="1:38" s="50" customFormat="1" ht="28.5" customHeight="1" outlineLevel="1">
      <c r="B244" s="59"/>
      <c r="C244" s="59"/>
      <c r="D244" s="59"/>
      <c r="E244" s="59"/>
      <c r="F244" s="59"/>
      <c r="G244" s="80" t="s">
        <v>325</v>
      </c>
      <c r="H244" s="80"/>
      <c r="I244" s="80"/>
      <c r="J244" s="55"/>
      <c r="K244" s="55"/>
      <c r="L244" s="55"/>
      <c r="M244" s="55" t="s">
        <v>261</v>
      </c>
      <c r="N244" s="55"/>
      <c r="O244" s="55"/>
      <c r="P244" s="55"/>
      <c r="Q244" s="55"/>
      <c r="R244" s="55"/>
      <c r="S244" s="55"/>
      <c r="T244" s="55"/>
      <c r="U244" s="55"/>
      <c r="V244" s="55"/>
      <c r="W244" s="55"/>
      <c r="X244" s="2656" t="s">
        <v>2795</v>
      </c>
      <c r="Y244" s="750" t="s">
        <v>2796</v>
      </c>
      <c r="Z244" s="823">
        <v>3</v>
      </c>
      <c r="AA244" s="823"/>
      <c r="AB244" s="756">
        <v>24</v>
      </c>
      <c r="AC244" s="756">
        <v>16</v>
      </c>
      <c r="AD244" s="823"/>
      <c r="AE244" s="823" t="s">
        <v>2797</v>
      </c>
      <c r="AF244" s="826">
        <v>1</v>
      </c>
      <c r="AG244" s="756">
        <v>0</v>
      </c>
      <c r="AH244" s="823" t="s">
        <v>2798</v>
      </c>
      <c r="AI244" s="829" t="s">
        <v>444</v>
      </c>
      <c r="AJ244" s="756" t="s">
        <v>2771</v>
      </c>
    </row>
    <row r="245" spans="1:38" s="50" customFormat="1" ht="28.5" customHeight="1" outlineLevel="1">
      <c r="B245" s="59"/>
      <c r="C245" s="59"/>
      <c r="D245" s="59"/>
      <c r="E245" s="59"/>
      <c r="F245" s="59"/>
      <c r="G245" s="80" t="s">
        <v>325</v>
      </c>
      <c r="H245" s="80"/>
      <c r="I245" s="80"/>
      <c r="J245" s="55"/>
      <c r="K245" s="55"/>
      <c r="L245" s="55"/>
      <c r="M245" s="55" t="s">
        <v>261</v>
      </c>
      <c r="N245" s="55"/>
      <c r="O245" s="55"/>
      <c r="P245" s="55"/>
      <c r="Q245" s="55"/>
      <c r="R245" s="55"/>
      <c r="S245" s="55"/>
      <c r="T245" s="55"/>
      <c r="U245" s="55"/>
      <c r="V245" s="55"/>
      <c r="W245" s="55"/>
      <c r="X245" s="823" t="s">
        <v>2799</v>
      </c>
      <c r="Y245" s="750" t="s">
        <v>2800</v>
      </c>
      <c r="Z245" s="823">
        <v>5</v>
      </c>
      <c r="AA245" s="823"/>
      <c r="AB245" s="756">
        <v>40</v>
      </c>
      <c r="AC245" s="756">
        <v>8</v>
      </c>
      <c r="AD245" s="850" t="s">
        <v>474</v>
      </c>
      <c r="AE245" s="823" t="s">
        <v>2801</v>
      </c>
      <c r="AF245" s="826">
        <v>0.1</v>
      </c>
      <c r="AG245" s="756">
        <v>0</v>
      </c>
      <c r="AH245" s="823" t="s">
        <v>2802</v>
      </c>
      <c r="AI245" s="829" t="s">
        <v>444</v>
      </c>
      <c r="AJ245" s="756" t="s">
        <v>2803</v>
      </c>
    </row>
    <row r="246" spans="1:38" s="50" customFormat="1" ht="28.5" customHeight="1" outlineLevel="1">
      <c r="B246" s="59"/>
      <c r="C246" s="59"/>
      <c r="D246" s="59"/>
      <c r="E246" s="59"/>
      <c r="F246" s="59"/>
      <c r="G246" s="80" t="s">
        <v>325</v>
      </c>
      <c r="H246" s="80"/>
      <c r="I246" s="80"/>
      <c r="J246" s="55"/>
      <c r="K246" s="55"/>
      <c r="L246" s="55"/>
      <c r="M246" s="55" t="s">
        <v>261</v>
      </c>
      <c r="N246" s="55"/>
      <c r="O246" s="55"/>
      <c r="P246" s="55"/>
      <c r="Q246" s="55"/>
      <c r="R246" s="55"/>
      <c r="S246" s="55"/>
      <c r="T246" s="55"/>
      <c r="U246" s="55"/>
      <c r="V246" s="55"/>
      <c r="W246" s="55"/>
      <c r="X246" s="823" t="s">
        <v>2804</v>
      </c>
      <c r="Y246" s="750" t="s">
        <v>2805</v>
      </c>
      <c r="Z246" s="823">
        <v>6</v>
      </c>
      <c r="AA246" s="823"/>
      <c r="AB246" s="756">
        <v>48</v>
      </c>
      <c r="AC246" s="756">
        <v>8</v>
      </c>
      <c r="AD246" s="850" t="s">
        <v>474</v>
      </c>
      <c r="AE246" s="823" t="s">
        <v>2806</v>
      </c>
      <c r="AF246" s="826">
        <v>1</v>
      </c>
      <c r="AG246" s="756">
        <v>0</v>
      </c>
      <c r="AH246" s="823" t="s">
        <v>2807</v>
      </c>
      <c r="AI246" s="829" t="s">
        <v>444</v>
      </c>
      <c r="AJ246" s="756" t="s">
        <v>508</v>
      </c>
    </row>
    <row r="247" spans="1:38" s="50" customFormat="1" ht="28.5" customHeight="1" outlineLevel="1">
      <c r="A247" s="59"/>
      <c r="B247" s="59"/>
      <c r="C247" s="59"/>
      <c r="D247" s="59"/>
      <c r="E247" s="59"/>
      <c r="F247" s="59"/>
      <c r="G247" s="80" t="s">
        <v>325</v>
      </c>
      <c r="H247" s="80"/>
      <c r="I247" s="80"/>
      <c r="J247" s="55"/>
      <c r="K247" s="55"/>
      <c r="L247" s="55"/>
      <c r="M247" s="55" t="s">
        <v>261</v>
      </c>
      <c r="N247" s="55"/>
      <c r="O247" s="55"/>
      <c r="P247" s="55"/>
      <c r="Q247" s="55"/>
      <c r="R247" s="55"/>
      <c r="S247" s="55"/>
      <c r="T247" s="55"/>
      <c r="U247" s="55"/>
      <c r="V247" s="55"/>
      <c r="W247" s="55"/>
      <c r="X247" s="823" t="s">
        <v>2808</v>
      </c>
      <c r="Y247" s="750" t="s">
        <v>2809</v>
      </c>
      <c r="Z247" s="823">
        <v>7</v>
      </c>
      <c r="AA247" s="823"/>
      <c r="AB247" s="756">
        <v>56</v>
      </c>
      <c r="AC247" s="756">
        <v>1</v>
      </c>
      <c r="AD247" s="823"/>
      <c r="AE247" s="2657" t="s">
        <v>2810</v>
      </c>
      <c r="AF247" s="826">
        <v>1</v>
      </c>
      <c r="AG247" s="756">
        <v>0</v>
      </c>
      <c r="AH247" s="823" t="s">
        <v>444</v>
      </c>
      <c r="AI247" s="829" t="s">
        <v>444</v>
      </c>
      <c r="AJ247" s="756" t="s">
        <v>444</v>
      </c>
    </row>
    <row r="248" spans="1:38" s="50" customFormat="1" ht="28.5" customHeight="1" outlineLevel="1">
      <c r="A248" s="59"/>
      <c r="B248" s="59"/>
      <c r="C248" s="59"/>
      <c r="D248" s="59"/>
      <c r="E248" s="59"/>
      <c r="F248" s="59"/>
      <c r="G248" s="80" t="s">
        <v>325</v>
      </c>
      <c r="H248" s="80"/>
      <c r="I248" s="80"/>
      <c r="J248" s="55"/>
      <c r="K248" s="55"/>
      <c r="L248" s="55"/>
      <c r="M248" s="55" t="s">
        <v>261</v>
      </c>
      <c r="N248" s="55"/>
      <c r="O248" s="55"/>
      <c r="P248" s="55"/>
      <c r="Q248" s="55"/>
      <c r="R248" s="55"/>
      <c r="S248" s="55"/>
      <c r="T248" s="55"/>
      <c r="U248" s="55"/>
      <c r="V248" s="55"/>
      <c r="W248" s="55"/>
      <c r="X248" s="823" t="s">
        <v>2811</v>
      </c>
      <c r="Y248" s="750" t="s">
        <v>2812</v>
      </c>
      <c r="Z248" s="823">
        <v>7</v>
      </c>
      <c r="AA248" s="823"/>
      <c r="AB248" s="756">
        <v>57</v>
      </c>
      <c r="AC248" s="756">
        <v>1</v>
      </c>
      <c r="AD248" s="823"/>
      <c r="AE248" s="2658" t="s">
        <v>2813</v>
      </c>
      <c r="AF248" s="826">
        <v>1</v>
      </c>
      <c r="AG248" s="756">
        <v>0</v>
      </c>
      <c r="AH248" s="823" t="s">
        <v>444</v>
      </c>
      <c r="AI248" s="829" t="s">
        <v>444</v>
      </c>
      <c r="AJ248" s="756" t="s">
        <v>444</v>
      </c>
    </row>
    <row r="249" spans="1:38" s="50" customFormat="1" ht="28.5" customHeight="1" outlineLevel="1">
      <c r="A249" s="59"/>
      <c r="B249" s="59"/>
      <c r="C249" s="59"/>
      <c r="D249" s="59"/>
      <c r="E249" s="59"/>
      <c r="F249" s="59"/>
      <c r="G249" s="80" t="s">
        <v>325</v>
      </c>
      <c r="H249" s="80"/>
      <c r="I249" s="80"/>
      <c r="J249" s="55"/>
      <c r="K249" s="55"/>
      <c r="L249" s="55"/>
      <c r="M249" s="55" t="s">
        <v>261</v>
      </c>
      <c r="N249" s="55"/>
      <c r="O249" s="55"/>
      <c r="P249" s="55"/>
      <c r="Q249" s="55"/>
      <c r="R249" s="55"/>
      <c r="S249" s="55"/>
      <c r="T249" s="55"/>
      <c r="U249" s="55"/>
      <c r="V249" s="55"/>
      <c r="W249" s="55"/>
      <c r="X249" s="823" t="s">
        <v>2814</v>
      </c>
      <c r="Y249" s="750" t="s">
        <v>2815</v>
      </c>
      <c r="Z249" s="823">
        <v>7</v>
      </c>
      <c r="AA249" s="823"/>
      <c r="AB249" s="756">
        <v>58</v>
      </c>
      <c r="AC249" s="756">
        <v>1</v>
      </c>
      <c r="AD249" s="823"/>
      <c r="AE249" s="2659" t="s">
        <v>2816</v>
      </c>
      <c r="AF249" s="826">
        <v>1</v>
      </c>
      <c r="AG249" s="756">
        <v>0</v>
      </c>
      <c r="AH249" s="823" t="s">
        <v>444</v>
      </c>
      <c r="AI249" s="829" t="s">
        <v>444</v>
      </c>
      <c r="AJ249" s="756" t="s">
        <v>444</v>
      </c>
    </row>
    <row r="250" spans="1:38" s="50" customFormat="1" ht="28.5" customHeight="1" outlineLevel="1">
      <c r="A250" s="59"/>
      <c r="B250" s="59"/>
      <c r="C250" s="59"/>
      <c r="D250" s="59"/>
      <c r="E250" s="59"/>
      <c r="F250" s="59"/>
      <c r="G250" s="80" t="s">
        <v>325</v>
      </c>
      <c r="H250" s="80"/>
      <c r="I250" s="80"/>
      <c r="J250" s="55"/>
      <c r="K250" s="55"/>
      <c r="L250" s="55"/>
      <c r="M250" s="55" t="s">
        <v>261</v>
      </c>
      <c r="N250" s="55"/>
      <c r="O250" s="55"/>
      <c r="P250" s="55"/>
      <c r="Q250" s="55"/>
      <c r="R250" s="55"/>
      <c r="S250" s="55"/>
      <c r="T250" s="55"/>
      <c r="U250" s="55"/>
      <c r="V250" s="55"/>
      <c r="W250" s="55"/>
      <c r="X250" s="823" t="s">
        <v>2817</v>
      </c>
      <c r="Y250" s="750" t="s">
        <v>2818</v>
      </c>
      <c r="Z250" s="823">
        <v>7</v>
      </c>
      <c r="AA250" s="823"/>
      <c r="AB250" s="756">
        <v>59</v>
      </c>
      <c r="AC250" s="756">
        <v>1</v>
      </c>
      <c r="AD250" s="823"/>
      <c r="AE250" s="2660" t="s">
        <v>2819</v>
      </c>
      <c r="AF250" s="826">
        <v>1</v>
      </c>
      <c r="AG250" s="756">
        <v>0</v>
      </c>
      <c r="AH250" s="823" t="s">
        <v>444</v>
      </c>
      <c r="AI250" s="829" t="s">
        <v>444</v>
      </c>
      <c r="AJ250" s="756" t="s">
        <v>444</v>
      </c>
    </row>
    <row r="251" spans="1:38" s="50" customFormat="1" ht="272.25" customHeight="1" outlineLevel="1">
      <c r="A251" s="59"/>
      <c r="B251" s="59"/>
      <c r="C251" s="59"/>
      <c r="D251" s="59"/>
      <c r="E251" s="59"/>
      <c r="F251" s="59"/>
      <c r="G251" s="80" t="s">
        <v>325</v>
      </c>
      <c r="H251" s="80"/>
      <c r="I251" s="80"/>
      <c r="J251" s="55"/>
      <c r="K251" s="55"/>
      <c r="L251" s="55"/>
      <c r="M251" s="55" t="s">
        <v>261</v>
      </c>
      <c r="N251" s="55"/>
      <c r="O251" s="55"/>
      <c r="P251" s="55"/>
      <c r="Q251" s="55"/>
      <c r="R251" s="55"/>
      <c r="S251" s="55"/>
      <c r="T251" s="55"/>
      <c r="U251" s="55"/>
      <c r="V251" s="55"/>
      <c r="W251" s="55"/>
      <c r="X251" s="2661" t="s">
        <v>2820</v>
      </c>
      <c r="Y251" s="750" t="s">
        <v>2821</v>
      </c>
      <c r="Z251" s="823">
        <v>7</v>
      </c>
      <c r="AA251" s="823"/>
      <c r="AB251" s="756">
        <v>60</v>
      </c>
      <c r="AC251" s="756">
        <v>4</v>
      </c>
      <c r="AD251" s="823"/>
      <c r="AE251" s="803" t="s">
        <v>2822</v>
      </c>
      <c r="AF251" s="826">
        <v>1</v>
      </c>
      <c r="AG251" s="756">
        <v>0</v>
      </c>
      <c r="AH251" s="823" t="s">
        <v>2823</v>
      </c>
      <c r="AI251" s="829" t="s">
        <v>444</v>
      </c>
      <c r="AJ251" s="756" t="s">
        <v>444</v>
      </c>
      <c r="AK251" s="50">
        <v>20240815</v>
      </c>
      <c r="AL251" s="87">
        <v>20250717</v>
      </c>
    </row>
    <row r="252" spans="1:38" s="50" customFormat="1" ht="14.25" customHeight="1" outlineLevel="1">
      <c r="A252" s="742">
        <v>23</v>
      </c>
      <c r="B252" s="743" t="s">
        <v>2824</v>
      </c>
      <c r="C252" s="743" t="s">
        <v>2825</v>
      </c>
      <c r="D252" s="743" t="s">
        <v>401</v>
      </c>
      <c r="E252" s="743">
        <v>8</v>
      </c>
      <c r="F252" s="743" t="s">
        <v>260</v>
      </c>
      <c r="G252" s="744"/>
      <c r="H252" s="744"/>
      <c r="I252" s="744"/>
      <c r="J252" s="744"/>
      <c r="K252" s="744"/>
      <c r="L252" s="742" t="s">
        <v>325</v>
      </c>
      <c r="M252" s="744" t="s">
        <v>261</v>
      </c>
      <c r="N252" s="744"/>
      <c r="O252" s="744"/>
      <c r="P252" s="744"/>
      <c r="Q252" s="744"/>
      <c r="R252" s="744"/>
      <c r="S252" s="744"/>
      <c r="T252" s="744"/>
      <c r="U252" s="744"/>
      <c r="V252" s="744"/>
      <c r="W252" s="744"/>
      <c r="X252" s="743" t="s">
        <v>2826</v>
      </c>
      <c r="Y252" s="746"/>
      <c r="Z252" s="745"/>
      <c r="AA252" s="745"/>
      <c r="AB252" s="745"/>
      <c r="AC252" s="745"/>
      <c r="AD252" s="745"/>
      <c r="AE252" s="743" t="s">
        <v>2826</v>
      </c>
      <c r="AF252" s="747"/>
      <c r="AG252" s="744"/>
      <c r="AH252" s="745"/>
      <c r="AI252" s="748"/>
      <c r="AJ252" s="745"/>
      <c r="AK252" s="50">
        <v>20260106</v>
      </c>
    </row>
    <row r="253" spans="1:38" s="50" customFormat="1" ht="28.5" customHeight="1" outlineLevel="1">
      <c r="B253" s="59"/>
      <c r="C253" s="59"/>
      <c r="D253" s="59"/>
      <c r="E253" s="59"/>
      <c r="F253" s="59"/>
      <c r="G253" s="55"/>
      <c r="H253" s="55"/>
      <c r="I253" s="80"/>
      <c r="J253" s="55"/>
      <c r="K253" s="55"/>
      <c r="L253" s="80" t="s">
        <v>325</v>
      </c>
      <c r="M253" s="55" t="s">
        <v>261</v>
      </c>
      <c r="N253" s="55"/>
      <c r="O253" s="55"/>
      <c r="P253" s="55"/>
      <c r="Q253" s="55"/>
      <c r="R253" s="55"/>
      <c r="S253" s="55"/>
      <c r="T253" s="55"/>
      <c r="U253" s="55"/>
      <c r="V253" s="55"/>
      <c r="W253" s="55"/>
      <c r="X253" s="70" t="s">
        <v>2827</v>
      </c>
      <c r="Y253" s="81" t="s">
        <v>849</v>
      </c>
      <c r="Z253" s="70">
        <v>0</v>
      </c>
      <c r="AA253" s="70"/>
      <c r="AB253" s="71">
        <v>0</v>
      </c>
      <c r="AC253" s="71">
        <v>8</v>
      </c>
      <c r="AD253" s="70"/>
      <c r="AE253" s="70" t="s">
        <v>2828</v>
      </c>
      <c r="AF253" s="299"/>
      <c r="AG253" s="71"/>
      <c r="AH253" s="70"/>
      <c r="AI253" s="79"/>
      <c r="AJ253" s="756"/>
    </row>
    <row r="254" spans="1:38" s="50" customFormat="1" ht="28.5" customHeight="1" outlineLevel="1">
      <c r="B254" s="59"/>
      <c r="C254" s="59"/>
      <c r="D254" s="59"/>
      <c r="E254" s="59"/>
      <c r="F254" s="59"/>
      <c r="G254" s="55"/>
      <c r="H254" s="55"/>
      <c r="I254" s="80"/>
      <c r="J254" s="55"/>
      <c r="K254" s="55"/>
      <c r="L254" s="80" t="s">
        <v>325</v>
      </c>
      <c r="M254" s="55" t="s">
        <v>261</v>
      </c>
      <c r="N254" s="55"/>
      <c r="O254" s="55"/>
      <c r="P254" s="55"/>
      <c r="Q254" s="55"/>
      <c r="R254" s="55"/>
      <c r="S254" s="55"/>
      <c r="T254" s="55"/>
      <c r="U254" s="55"/>
      <c r="V254" s="55"/>
      <c r="W254" s="55"/>
      <c r="X254" s="823" t="s">
        <v>2829</v>
      </c>
      <c r="Y254" s="827" t="s">
        <v>850</v>
      </c>
      <c r="Z254" s="823">
        <v>1</v>
      </c>
      <c r="AA254" s="823"/>
      <c r="AB254" s="756">
        <v>8</v>
      </c>
      <c r="AC254" s="756">
        <v>8</v>
      </c>
      <c r="AD254" s="823"/>
      <c r="AE254" s="823" t="s">
        <v>2531</v>
      </c>
      <c r="AF254" s="826"/>
      <c r="AG254" s="756"/>
      <c r="AH254" s="823"/>
      <c r="AI254" s="829"/>
      <c r="AJ254" s="756"/>
    </row>
    <row r="255" spans="1:38" s="50" customFormat="1" ht="28.5" customHeight="1" outlineLevel="1">
      <c r="B255" s="59"/>
      <c r="C255" s="59"/>
      <c r="D255" s="59"/>
      <c r="E255" s="59"/>
      <c r="F255" s="59"/>
      <c r="G255" s="55"/>
      <c r="H255" s="55"/>
      <c r="I255" s="80"/>
      <c r="J255" s="55"/>
      <c r="K255" s="55"/>
      <c r="L255" s="80" t="s">
        <v>325</v>
      </c>
      <c r="M255" s="55" t="s">
        <v>261</v>
      </c>
      <c r="N255" s="55"/>
      <c r="O255" s="55"/>
      <c r="P255" s="55"/>
      <c r="Q255" s="55"/>
      <c r="R255" s="55"/>
      <c r="S255" s="55"/>
      <c r="T255" s="55"/>
      <c r="U255" s="55"/>
      <c r="V255" s="55"/>
      <c r="W255" s="55"/>
      <c r="X255" s="823" t="s">
        <v>2830</v>
      </c>
      <c r="Y255" s="827" t="s">
        <v>851</v>
      </c>
      <c r="Z255" s="823">
        <v>2</v>
      </c>
      <c r="AA255" s="823"/>
      <c r="AB255" s="756">
        <v>16</v>
      </c>
      <c r="AC255" s="756">
        <v>8</v>
      </c>
      <c r="AD255" s="823"/>
      <c r="AE255" s="823" t="s">
        <v>2533</v>
      </c>
      <c r="AF255" s="826"/>
      <c r="AG255" s="756"/>
      <c r="AH255" s="823"/>
      <c r="AI255" s="829"/>
      <c r="AJ255" s="756"/>
    </row>
    <row r="256" spans="1:38" s="50" customFormat="1" ht="28.5" customHeight="1" outlineLevel="1">
      <c r="B256" s="59"/>
      <c r="C256" s="59"/>
      <c r="D256" s="59"/>
      <c r="E256" s="59"/>
      <c r="F256" s="59"/>
      <c r="G256" s="55"/>
      <c r="H256" s="55"/>
      <c r="I256" s="80"/>
      <c r="J256" s="55"/>
      <c r="K256" s="55"/>
      <c r="L256" s="80" t="s">
        <v>325</v>
      </c>
      <c r="M256" s="55" t="s">
        <v>261</v>
      </c>
      <c r="N256" s="55"/>
      <c r="O256" s="55"/>
      <c r="P256" s="55"/>
      <c r="Q256" s="55"/>
      <c r="R256" s="55"/>
      <c r="S256" s="55"/>
      <c r="T256" s="55"/>
      <c r="U256" s="55"/>
      <c r="V256" s="55"/>
      <c r="W256" s="55"/>
      <c r="X256" s="823" t="s">
        <v>2831</v>
      </c>
      <c r="Y256" s="827" t="s">
        <v>852</v>
      </c>
      <c r="Z256" s="823">
        <v>3</v>
      </c>
      <c r="AA256" s="823"/>
      <c r="AB256" s="71">
        <v>24</v>
      </c>
      <c r="AC256" s="756">
        <v>8</v>
      </c>
      <c r="AD256" s="823"/>
      <c r="AE256" s="823" t="s">
        <v>2533</v>
      </c>
      <c r="AF256" s="826"/>
      <c r="AG256" s="756"/>
      <c r="AH256" s="823"/>
      <c r="AI256" s="829"/>
      <c r="AJ256" s="756"/>
    </row>
    <row r="257" spans="1:36" s="50" customFormat="1" ht="28.5" customHeight="1" outlineLevel="1">
      <c r="B257" s="59"/>
      <c r="C257" s="59"/>
      <c r="D257" s="59"/>
      <c r="E257" s="59"/>
      <c r="F257" s="59"/>
      <c r="G257" s="55"/>
      <c r="H257" s="55"/>
      <c r="I257" s="80"/>
      <c r="J257" s="55"/>
      <c r="K257" s="55"/>
      <c r="L257" s="80" t="s">
        <v>325</v>
      </c>
      <c r="M257" s="55" t="s">
        <v>261</v>
      </c>
      <c r="N257" s="55"/>
      <c r="O257" s="55"/>
      <c r="P257" s="55"/>
      <c r="Q257" s="55"/>
      <c r="R257" s="55"/>
      <c r="S257" s="55"/>
      <c r="T257" s="55"/>
      <c r="U257" s="55"/>
      <c r="V257" s="55"/>
      <c r="W257" s="55"/>
      <c r="X257" s="823" t="s">
        <v>2832</v>
      </c>
      <c r="Y257" s="827" t="s">
        <v>853</v>
      </c>
      <c r="Z257" s="823">
        <v>4</v>
      </c>
      <c r="AA257" s="823"/>
      <c r="AB257" s="756">
        <v>32</v>
      </c>
      <c r="AC257" s="756">
        <v>8</v>
      </c>
      <c r="AD257" s="823"/>
      <c r="AE257" s="823" t="s">
        <v>2536</v>
      </c>
      <c r="AF257" s="826"/>
      <c r="AG257" s="756"/>
      <c r="AH257" s="823"/>
      <c r="AI257" s="829"/>
      <c r="AJ257" s="756"/>
    </row>
    <row r="258" spans="1:36" s="50" customFormat="1" ht="28.5" customHeight="1" outlineLevel="1">
      <c r="B258" s="59"/>
      <c r="C258" s="59"/>
      <c r="D258" s="59"/>
      <c r="E258" s="59"/>
      <c r="F258" s="59"/>
      <c r="G258" s="55"/>
      <c r="H258" s="55"/>
      <c r="I258" s="80"/>
      <c r="J258" s="55"/>
      <c r="K258" s="55"/>
      <c r="L258" s="80" t="s">
        <v>325</v>
      </c>
      <c r="M258" s="55" t="s">
        <v>261</v>
      </c>
      <c r="N258" s="55"/>
      <c r="O258" s="55"/>
      <c r="P258" s="55"/>
      <c r="Q258" s="55"/>
      <c r="R258" s="55"/>
      <c r="S258" s="55"/>
      <c r="T258" s="55"/>
      <c r="U258" s="55"/>
      <c r="V258" s="55"/>
      <c r="W258" s="55"/>
      <c r="X258" s="823" t="s">
        <v>2833</v>
      </c>
      <c r="Y258" s="827" t="s">
        <v>854</v>
      </c>
      <c r="Z258" s="823">
        <v>5</v>
      </c>
      <c r="AA258" s="823"/>
      <c r="AB258" s="756">
        <v>40</v>
      </c>
      <c r="AC258" s="756">
        <v>8</v>
      </c>
      <c r="AD258" s="823"/>
      <c r="AE258" s="823" t="s">
        <v>2531</v>
      </c>
      <c r="AF258" s="826"/>
      <c r="AG258" s="756"/>
      <c r="AH258" s="823"/>
      <c r="AI258" s="829"/>
      <c r="AJ258" s="756"/>
    </row>
    <row r="259" spans="1:36" s="50" customFormat="1" ht="28.5" customHeight="1" outlineLevel="1">
      <c r="B259" s="59"/>
      <c r="C259" s="59"/>
      <c r="D259" s="59"/>
      <c r="E259" s="59"/>
      <c r="F259" s="59"/>
      <c r="G259" s="55"/>
      <c r="H259" s="55"/>
      <c r="I259" s="80"/>
      <c r="J259" s="55"/>
      <c r="K259" s="55"/>
      <c r="L259" s="80" t="s">
        <v>325</v>
      </c>
      <c r="M259" s="55" t="s">
        <v>261</v>
      </c>
      <c r="N259" s="55"/>
      <c r="O259" s="55"/>
      <c r="P259" s="55"/>
      <c r="Q259" s="55"/>
      <c r="R259" s="55"/>
      <c r="S259" s="55"/>
      <c r="T259" s="55"/>
      <c r="U259" s="55"/>
      <c r="V259" s="55"/>
      <c r="W259" s="55"/>
      <c r="X259" s="823" t="s">
        <v>2834</v>
      </c>
      <c r="Y259" s="827" t="s">
        <v>855</v>
      </c>
      <c r="Z259" s="823">
        <v>6</v>
      </c>
      <c r="AA259" s="823"/>
      <c r="AB259" s="71">
        <v>48</v>
      </c>
      <c r="AC259" s="756">
        <v>8</v>
      </c>
      <c r="AD259" s="823"/>
      <c r="AE259" s="817" t="s">
        <v>2835</v>
      </c>
      <c r="AF259" s="826"/>
      <c r="AG259" s="756"/>
      <c r="AH259" s="823"/>
      <c r="AI259" s="829"/>
      <c r="AJ259" s="756"/>
    </row>
    <row r="260" spans="1:36" s="50" customFormat="1" ht="28.5" customHeight="1" outlineLevel="1">
      <c r="A260" s="59"/>
      <c r="B260" s="59"/>
      <c r="C260" s="59"/>
      <c r="D260" s="59"/>
      <c r="E260" s="59"/>
      <c r="F260" s="59"/>
      <c r="G260" s="55"/>
      <c r="H260" s="55"/>
      <c r="I260" s="80"/>
      <c r="J260" s="55"/>
      <c r="K260" s="55"/>
      <c r="L260" s="80" t="s">
        <v>325</v>
      </c>
      <c r="M260" s="55" t="s">
        <v>261</v>
      </c>
      <c r="N260" s="55"/>
      <c r="O260" s="55"/>
      <c r="P260" s="55"/>
      <c r="Q260" s="55"/>
      <c r="R260" s="55"/>
      <c r="S260" s="55"/>
      <c r="T260" s="55"/>
      <c r="U260" s="55"/>
      <c r="V260" s="55"/>
      <c r="W260" s="55"/>
      <c r="X260" s="823" t="s">
        <v>2836</v>
      </c>
      <c r="Y260" s="827" t="s">
        <v>856</v>
      </c>
      <c r="Z260" s="823">
        <v>7</v>
      </c>
      <c r="AA260" s="823"/>
      <c r="AB260" s="756">
        <v>56</v>
      </c>
      <c r="AC260" s="756">
        <v>8</v>
      </c>
      <c r="AD260" s="823"/>
      <c r="AE260" s="817" t="s">
        <v>2835</v>
      </c>
      <c r="AF260" s="826"/>
      <c r="AG260" s="756"/>
      <c r="AH260" s="823"/>
      <c r="AI260" s="829"/>
      <c r="AJ260" s="756"/>
    </row>
    <row r="261" spans="1:36" s="50" customFormat="1" ht="14.25" customHeight="1">
      <c r="A261" s="742">
        <v>24</v>
      </c>
      <c r="B261" s="743" t="s">
        <v>2837</v>
      </c>
      <c r="C261" s="743" t="s">
        <v>2838</v>
      </c>
      <c r="D261" s="743" t="s">
        <v>401</v>
      </c>
      <c r="E261" s="743">
        <v>8</v>
      </c>
      <c r="F261" s="743" t="s">
        <v>260</v>
      </c>
      <c r="G261" s="744"/>
      <c r="H261" s="744"/>
      <c r="I261" s="744"/>
      <c r="J261" s="744"/>
      <c r="K261" s="744"/>
      <c r="L261" s="742" t="s">
        <v>325</v>
      </c>
      <c r="M261" s="744" t="s">
        <v>261</v>
      </c>
      <c r="N261" s="744"/>
      <c r="O261" s="744"/>
      <c r="P261" s="744"/>
      <c r="Q261" s="744"/>
      <c r="R261" s="744"/>
      <c r="S261" s="744"/>
      <c r="T261" s="744"/>
      <c r="U261" s="744"/>
      <c r="V261" s="744"/>
      <c r="W261" s="744"/>
      <c r="X261" s="743" t="s">
        <v>2839</v>
      </c>
      <c r="Y261" s="746"/>
      <c r="Z261" s="745"/>
      <c r="AA261" s="745"/>
      <c r="AB261" s="745"/>
      <c r="AC261" s="745"/>
      <c r="AD261" s="745"/>
      <c r="AE261" s="743" t="s">
        <v>2839</v>
      </c>
      <c r="AF261" s="747"/>
      <c r="AG261" s="744"/>
      <c r="AH261" s="745"/>
      <c r="AI261" s="748"/>
      <c r="AJ261" s="745"/>
    </row>
    <row r="262" spans="1:36" s="50" customFormat="1" ht="28.5" customHeight="1" outlineLevel="1">
      <c r="A262" s="59"/>
      <c r="B262" s="59"/>
      <c r="C262" s="59"/>
      <c r="D262" s="59"/>
      <c r="E262" s="59"/>
      <c r="F262" s="59"/>
      <c r="G262" s="55"/>
      <c r="H262" s="55"/>
      <c r="I262" s="80"/>
      <c r="J262" s="55"/>
      <c r="K262" s="55"/>
      <c r="L262" s="80" t="s">
        <v>325</v>
      </c>
      <c r="M262" s="55" t="s">
        <v>261</v>
      </c>
      <c r="N262" s="55"/>
      <c r="O262" s="55"/>
      <c r="P262" s="55"/>
      <c r="Q262" s="55"/>
      <c r="R262" s="55"/>
      <c r="S262" s="55"/>
      <c r="T262" s="55"/>
      <c r="U262" s="55"/>
      <c r="V262" s="55"/>
      <c r="W262" s="55"/>
      <c r="X262" s="70" t="s">
        <v>2840</v>
      </c>
      <c r="Y262" s="81" t="s">
        <v>588</v>
      </c>
      <c r="Z262" s="70">
        <v>0</v>
      </c>
      <c r="AA262" s="70"/>
      <c r="AB262" s="71">
        <v>0</v>
      </c>
      <c r="AC262" s="71">
        <v>16</v>
      </c>
      <c r="AD262" s="70"/>
      <c r="AE262" s="70"/>
      <c r="AF262" s="299"/>
      <c r="AG262" s="71"/>
      <c r="AH262" s="70"/>
      <c r="AI262" s="79"/>
      <c r="AJ262" s="756"/>
    </row>
    <row r="263" spans="1:36" s="50" customFormat="1" ht="28.5" customHeight="1" outlineLevel="1">
      <c r="A263" s="59"/>
      <c r="B263" s="59"/>
      <c r="C263" s="59"/>
      <c r="D263" s="59"/>
      <c r="E263" s="59"/>
      <c r="F263" s="59"/>
      <c r="G263" s="55"/>
      <c r="H263" s="55"/>
      <c r="I263" s="80"/>
      <c r="J263" s="55"/>
      <c r="K263" s="55"/>
      <c r="L263" s="80" t="s">
        <v>325</v>
      </c>
      <c r="M263" s="55" t="s">
        <v>261</v>
      </c>
      <c r="N263" s="55"/>
      <c r="O263" s="55"/>
      <c r="P263" s="55"/>
      <c r="Q263" s="55"/>
      <c r="R263" s="55"/>
      <c r="S263" s="55"/>
      <c r="T263" s="55"/>
      <c r="U263" s="55"/>
      <c r="V263" s="55"/>
      <c r="W263" s="55"/>
      <c r="X263" s="823" t="s">
        <v>2841</v>
      </c>
      <c r="Y263" s="827" t="s">
        <v>589</v>
      </c>
      <c r="Z263" s="823">
        <v>2</v>
      </c>
      <c r="AA263" s="823"/>
      <c r="AB263" s="756">
        <v>16</v>
      </c>
      <c r="AC263" s="756">
        <v>8</v>
      </c>
      <c r="AD263" s="823"/>
      <c r="AE263" s="823"/>
      <c r="AF263" s="826"/>
      <c r="AG263" s="756"/>
      <c r="AH263" s="823"/>
      <c r="AI263" s="829"/>
      <c r="AJ263" s="756" t="s">
        <v>536</v>
      </c>
    </row>
    <row r="264" spans="1:36" s="50" customFormat="1" ht="28.5" customHeight="1" outlineLevel="1">
      <c r="A264" s="59"/>
      <c r="B264" s="59"/>
      <c r="C264" s="59"/>
      <c r="D264" s="59"/>
      <c r="E264" s="59"/>
      <c r="F264" s="59"/>
      <c r="G264" s="55"/>
      <c r="H264" s="55"/>
      <c r="I264" s="80"/>
      <c r="J264" s="55"/>
      <c r="K264" s="55"/>
      <c r="L264" s="80" t="s">
        <v>325</v>
      </c>
      <c r="M264" s="55" t="s">
        <v>261</v>
      </c>
      <c r="N264" s="55"/>
      <c r="O264" s="55"/>
      <c r="P264" s="55"/>
      <c r="Q264" s="55"/>
      <c r="R264" s="55"/>
      <c r="S264" s="55"/>
      <c r="T264" s="55"/>
      <c r="U264" s="55"/>
      <c r="V264" s="55"/>
      <c r="W264" s="55"/>
      <c r="X264" s="823" t="s">
        <v>2842</v>
      </c>
      <c r="Y264" s="827" t="s">
        <v>590</v>
      </c>
      <c r="Z264" s="823">
        <v>3</v>
      </c>
      <c r="AA264" s="823"/>
      <c r="AB264" s="756">
        <v>24</v>
      </c>
      <c r="AC264" s="756">
        <v>8</v>
      </c>
      <c r="AD264" s="823"/>
      <c r="AE264" s="823"/>
      <c r="AF264" s="826"/>
      <c r="AG264" s="756"/>
      <c r="AH264" s="823"/>
      <c r="AI264" s="829"/>
      <c r="AJ264" s="756" t="s">
        <v>2522</v>
      </c>
    </row>
    <row r="265" spans="1:36" s="50" customFormat="1" ht="28.5" customHeight="1" outlineLevel="1">
      <c r="A265" s="59"/>
      <c r="B265" s="59"/>
      <c r="C265" s="59"/>
      <c r="D265" s="59"/>
      <c r="E265" s="59"/>
      <c r="F265" s="59"/>
      <c r="G265" s="55"/>
      <c r="H265" s="55"/>
      <c r="I265" s="80"/>
      <c r="J265" s="55"/>
      <c r="K265" s="55"/>
      <c r="L265" s="80" t="s">
        <v>325</v>
      </c>
      <c r="M265" s="55" t="s">
        <v>261</v>
      </c>
      <c r="N265" s="55"/>
      <c r="O265" s="55"/>
      <c r="P265" s="55"/>
      <c r="Q265" s="55"/>
      <c r="R265" s="55"/>
      <c r="S265" s="55"/>
      <c r="T265" s="55"/>
      <c r="U265" s="55"/>
      <c r="V265" s="55"/>
      <c r="W265" s="55"/>
      <c r="X265" s="823" t="s">
        <v>2843</v>
      </c>
      <c r="Y265" s="827" t="s">
        <v>591</v>
      </c>
      <c r="Z265" s="823">
        <v>4</v>
      </c>
      <c r="AA265" s="823"/>
      <c r="AB265" s="756">
        <v>32</v>
      </c>
      <c r="AC265" s="756">
        <v>8</v>
      </c>
      <c r="AD265" s="823"/>
      <c r="AE265" s="823"/>
      <c r="AF265" s="826"/>
      <c r="AG265" s="756"/>
      <c r="AH265" s="823"/>
      <c r="AI265" s="829"/>
      <c r="AJ265" s="756" t="s">
        <v>542</v>
      </c>
    </row>
    <row r="266" spans="1:36" s="50" customFormat="1" ht="28.5" customHeight="1" outlineLevel="1">
      <c r="A266" s="59"/>
      <c r="B266" s="59"/>
      <c r="C266" s="59"/>
      <c r="D266" s="59"/>
      <c r="E266" s="59"/>
      <c r="F266" s="59"/>
      <c r="G266" s="55"/>
      <c r="H266" s="55"/>
      <c r="I266" s="80"/>
      <c r="J266" s="55"/>
      <c r="K266" s="55"/>
      <c r="L266" s="80" t="s">
        <v>325</v>
      </c>
      <c r="M266" s="55" t="s">
        <v>261</v>
      </c>
      <c r="N266" s="55"/>
      <c r="O266" s="55"/>
      <c r="P266" s="55"/>
      <c r="Q266" s="55"/>
      <c r="R266" s="55"/>
      <c r="S266" s="55"/>
      <c r="T266" s="55"/>
      <c r="U266" s="55"/>
      <c r="V266" s="55"/>
      <c r="W266" s="55"/>
      <c r="X266" s="823" t="s">
        <v>2844</v>
      </c>
      <c r="Y266" s="827" t="s">
        <v>2845</v>
      </c>
      <c r="Z266" s="823">
        <v>5</v>
      </c>
      <c r="AA266" s="823"/>
      <c r="AB266" s="756">
        <v>40</v>
      </c>
      <c r="AC266" s="756">
        <v>24</v>
      </c>
      <c r="AD266" s="823"/>
      <c r="AE266" s="823"/>
      <c r="AF266" s="826"/>
      <c r="AG266" s="756"/>
      <c r="AH266" s="823"/>
      <c r="AI266" s="829"/>
      <c r="AJ266" s="756" t="s">
        <v>545</v>
      </c>
    </row>
    <row r="267" spans="1:36" s="52" customFormat="1" ht="14.25" customHeight="1">
      <c r="A267" s="851">
        <v>25</v>
      </c>
      <c r="B267" s="852" t="s">
        <v>1714</v>
      </c>
      <c r="C267" s="852" t="s">
        <v>1715</v>
      </c>
      <c r="D267" s="852" t="s">
        <v>617</v>
      </c>
      <c r="E267" s="852">
        <v>8</v>
      </c>
      <c r="F267" s="852" t="s">
        <v>260</v>
      </c>
      <c r="G267" s="853" t="s">
        <v>325</v>
      </c>
      <c r="H267" s="853"/>
      <c r="I267" s="853" t="s">
        <v>325</v>
      </c>
      <c r="J267" s="853" t="s">
        <v>325</v>
      </c>
      <c r="K267" s="853" t="s">
        <v>325</v>
      </c>
      <c r="L267" s="853" t="s">
        <v>261</v>
      </c>
      <c r="M267" s="853" t="s">
        <v>325</v>
      </c>
      <c r="N267" s="853"/>
      <c r="O267" s="853"/>
      <c r="P267" s="853"/>
      <c r="Q267" s="853"/>
      <c r="R267" s="853"/>
      <c r="S267" s="853"/>
      <c r="T267" s="853"/>
      <c r="U267" s="853"/>
      <c r="V267" s="853"/>
      <c r="W267" s="853"/>
      <c r="X267" s="854" t="s">
        <v>1716</v>
      </c>
      <c r="Y267" s="855"/>
      <c r="Z267" s="851"/>
      <c r="AA267" s="851"/>
      <c r="AB267" s="851"/>
      <c r="AC267" s="851"/>
      <c r="AD267" s="851"/>
      <c r="AE267" s="854" t="s">
        <v>1716</v>
      </c>
      <c r="AF267" s="856"/>
      <c r="AG267" s="851"/>
      <c r="AH267" s="851"/>
      <c r="AI267" s="857"/>
      <c r="AJ267" s="851"/>
    </row>
    <row r="268" spans="1:36" ht="14.25" customHeight="1" outlineLevel="1">
      <c r="G268" s="55" t="s">
        <v>325</v>
      </c>
      <c r="I268" s="55" t="s">
        <v>325</v>
      </c>
      <c r="J268" s="55" t="s">
        <v>325</v>
      </c>
      <c r="K268" s="55" t="s">
        <v>325</v>
      </c>
      <c r="L268" s="55" t="s">
        <v>261</v>
      </c>
      <c r="M268" s="55" t="s">
        <v>325</v>
      </c>
      <c r="X268" s="82" t="s">
        <v>619</v>
      </c>
      <c r="Y268" s="83"/>
      <c r="Z268" s="84"/>
      <c r="AA268" s="84"/>
      <c r="AB268" s="85"/>
      <c r="AC268" s="85"/>
      <c r="AD268" s="85"/>
      <c r="AE268" s="85"/>
      <c r="AF268" s="300"/>
      <c r="AG268" s="77"/>
      <c r="AH268" s="85"/>
      <c r="AI268" s="73"/>
      <c r="AJ268" s="763"/>
    </row>
    <row r="269" spans="1:36" ht="14.25" customHeight="1">
      <c r="A269" s="724">
        <v>26</v>
      </c>
      <c r="B269" s="858" t="s">
        <v>2846</v>
      </c>
      <c r="C269" s="858" t="s">
        <v>2847</v>
      </c>
      <c r="D269" s="858" t="s">
        <v>259</v>
      </c>
      <c r="E269" s="858">
        <v>8</v>
      </c>
      <c r="F269" s="858" t="s">
        <v>260</v>
      </c>
      <c r="G269" s="744" t="s">
        <v>261</v>
      </c>
      <c r="H269" s="744"/>
      <c r="I269" s="744"/>
      <c r="J269" s="744"/>
      <c r="K269" s="744" t="s">
        <v>325</v>
      </c>
      <c r="L269" s="744"/>
      <c r="M269" s="744"/>
      <c r="N269" s="744"/>
      <c r="O269" s="744"/>
      <c r="P269" s="744"/>
      <c r="Q269" s="744"/>
      <c r="R269" s="744"/>
      <c r="S269" s="744"/>
      <c r="T269" s="744"/>
      <c r="U269" s="744"/>
      <c r="V269" s="744"/>
      <c r="W269" s="744"/>
      <c r="X269" s="821" t="s">
        <v>2848</v>
      </c>
      <c r="Y269" s="859"/>
      <c r="Z269" s="724"/>
      <c r="AA269" s="724"/>
      <c r="AB269" s="724"/>
      <c r="AC269" s="724"/>
      <c r="AD269" s="724"/>
      <c r="AE269" s="821" t="s">
        <v>2848</v>
      </c>
      <c r="AF269" s="860"/>
      <c r="AG269" s="724"/>
      <c r="AH269" s="724"/>
      <c r="AI269" s="861"/>
      <c r="AJ269" s="724"/>
    </row>
    <row r="270" spans="1:36" ht="114" customHeight="1" outlineLevel="1">
      <c r="A270" s="80"/>
      <c r="B270" s="80"/>
      <c r="C270" s="80"/>
      <c r="D270" s="80"/>
      <c r="E270" s="80"/>
      <c r="F270" s="80"/>
      <c r="G270" s="55" t="s">
        <v>261</v>
      </c>
      <c r="K270" s="55" t="s">
        <v>325</v>
      </c>
      <c r="X270" s="2662" t="s">
        <v>2849</v>
      </c>
      <c r="Y270" s="13" t="s">
        <v>2850</v>
      </c>
      <c r="Z270" s="71">
        <v>0</v>
      </c>
      <c r="AA270" s="71"/>
      <c r="AB270" s="71">
        <v>0</v>
      </c>
      <c r="AC270" s="71">
        <v>4</v>
      </c>
      <c r="AD270" s="71"/>
      <c r="AE270" s="2663" t="s">
        <v>2851</v>
      </c>
      <c r="AF270" s="299"/>
      <c r="AG270" s="71"/>
      <c r="AH270" s="71"/>
      <c r="AI270" s="86"/>
      <c r="AJ270" s="756"/>
    </row>
    <row r="271" spans="1:36" ht="75" customHeight="1" outlineLevel="1">
      <c r="A271" s="80"/>
      <c r="B271" s="80"/>
      <c r="C271" s="80"/>
      <c r="D271" s="80"/>
      <c r="E271" s="80"/>
      <c r="F271" s="80"/>
      <c r="G271" s="55" t="s">
        <v>261</v>
      </c>
      <c r="K271" s="55" t="s">
        <v>325</v>
      </c>
      <c r="X271" s="2664" t="s">
        <v>2852</v>
      </c>
      <c r="Y271" s="13" t="s">
        <v>2853</v>
      </c>
      <c r="Z271" s="756">
        <v>0</v>
      </c>
      <c r="AA271" s="756"/>
      <c r="AB271" s="862">
        <v>4</v>
      </c>
      <c r="AC271" s="756">
        <v>2</v>
      </c>
      <c r="AD271" s="756"/>
      <c r="AE271" s="2665" t="s">
        <v>2854</v>
      </c>
      <c r="AF271" s="826"/>
      <c r="AG271" s="756"/>
      <c r="AH271" s="756"/>
      <c r="AI271" s="828"/>
      <c r="AJ271" s="756"/>
    </row>
    <row r="272" spans="1:36" ht="75" customHeight="1" outlineLevel="1">
      <c r="A272" s="80"/>
      <c r="B272" s="80"/>
      <c r="C272" s="80"/>
      <c r="D272" s="80"/>
      <c r="E272" s="80"/>
      <c r="F272" s="80"/>
      <c r="X272" s="823" t="s">
        <v>2855</v>
      </c>
      <c r="Y272" s="13" t="s">
        <v>2856</v>
      </c>
      <c r="Z272" s="756"/>
      <c r="AA272" s="756"/>
      <c r="AB272" s="475">
        <v>8</v>
      </c>
      <c r="AC272" s="475">
        <v>4</v>
      </c>
      <c r="AD272" s="756"/>
      <c r="AE272" s="2666" t="s">
        <v>2857</v>
      </c>
      <c r="AF272" s="826"/>
      <c r="AG272" s="756"/>
      <c r="AH272" s="756"/>
      <c r="AI272" s="828"/>
      <c r="AJ272" s="756"/>
    </row>
    <row r="273" spans="1:37" ht="75" customHeight="1" outlineLevel="1">
      <c r="A273" s="80"/>
      <c r="B273" s="80"/>
      <c r="C273" s="80"/>
      <c r="D273" s="80"/>
      <c r="E273" s="80"/>
      <c r="F273" s="80"/>
      <c r="X273" s="823" t="s">
        <v>2858</v>
      </c>
      <c r="Y273" s="13" t="s">
        <v>2859</v>
      </c>
      <c r="Z273" s="756"/>
      <c r="AA273" s="756"/>
      <c r="AB273" s="475">
        <v>12</v>
      </c>
      <c r="AC273" s="475">
        <v>4</v>
      </c>
      <c r="AD273" s="756"/>
      <c r="AE273" s="2667" t="s">
        <v>2857</v>
      </c>
      <c r="AF273" s="826"/>
      <c r="AG273" s="756"/>
      <c r="AH273" s="756"/>
      <c r="AI273" s="828"/>
      <c r="AJ273" s="756"/>
    </row>
    <row r="274" spans="1:37" ht="42.75" customHeight="1" outlineLevel="1">
      <c r="A274" s="80"/>
      <c r="B274" s="80"/>
      <c r="C274" s="80"/>
      <c r="D274" s="80"/>
      <c r="E274" s="80"/>
      <c r="F274" s="80"/>
      <c r="G274" s="55" t="s">
        <v>261</v>
      </c>
      <c r="K274" s="55" t="s">
        <v>325</v>
      </c>
      <c r="X274" s="2668" t="s">
        <v>2860</v>
      </c>
      <c r="Y274" s="13" t="s">
        <v>2861</v>
      </c>
      <c r="Z274" s="756">
        <v>2</v>
      </c>
      <c r="AA274" s="756"/>
      <c r="AB274" s="756">
        <v>16</v>
      </c>
      <c r="AC274" s="756">
        <v>1</v>
      </c>
      <c r="AD274" s="756"/>
      <c r="AE274" s="2669" t="s">
        <v>2862</v>
      </c>
      <c r="AF274" s="826"/>
      <c r="AG274" s="756"/>
      <c r="AH274" s="756"/>
      <c r="AI274" s="828"/>
      <c r="AJ274" s="756"/>
    </row>
    <row r="275" spans="1:37" ht="28.5" customHeight="1" outlineLevel="1">
      <c r="A275" s="80"/>
      <c r="B275" s="80"/>
      <c r="C275" s="80"/>
      <c r="D275" s="80"/>
      <c r="E275" s="80"/>
      <c r="F275" s="80"/>
      <c r="G275" s="55" t="s">
        <v>261</v>
      </c>
      <c r="K275" s="55" t="s">
        <v>325</v>
      </c>
      <c r="X275" s="2670" t="s">
        <v>2863</v>
      </c>
      <c r="Y275" s="13" t="s">
        <v>2864</v>
      </c>
      <c r="Z275" s="756">
        <v>2</v>
      </c>
      <c r="AA275" s="756"/>
      <c r="AB275" s="756">
        <v>17</v>
      </c>
      <c r="AC275" s="756">
        <v>1</v>
      </c>
      <c r="AD275" s="756"/>
      <c r="AE275" s="2671" t="s">
        <v>2862</v>
      </c>
      <c r="AF275" s="826"/>
      <c r="AG275" s="756"/>
      <c r="AH275" s="756"/>
      <c r="AI275" s="828"/>
      <c r="AJ275" s="756"/>
    </row>
    <row r="276" spans="1:37" ht="28.5" customHeight="1" outlineLevel="1">
      <c r="A276" s="80"/>
      <c r="B276" s="80"/>
      <c r="C276" s="80"/>
      <c r="D276" s="80"/>
      <c r="E276" s="80"/>
      <c r="F276" s="80"/>
      <c r="G276" s="55" t="s">
        <v>261</v>
      </c>
      <c r="K276" s="55" t="s">
        <v>325</v>
      </c>
      <c r="X276" s="2672" t="s">
        <v>2865</v>
      </c>
      <c r="Y276" s="13" t="s">
        <v>2866</v>
      </c>
      <c r="Z276" s="756">
        <v>2</v>
      </c>
      <c r="AA276" s="756"/>
      <c r="AB276" s="756">
        <v>18</v>
      </c>
      <c r="AC276" s="756">
        <v>1</v>
      </c>
      <c r="AD276" s="756"/>
      <c r="AE276" s="2673" t="s">
        <v>2862</v>
      </c>
      <c r="AF276" s="826"/>
      <c r="AG276" s="756"/>
      <c r="AH276" s="756"/>
      <c r="AI276" s="828"/>
      <c r="AJ276" s="756"/>
      <c r="AK276" s="95"/>
    </row>
    <row r="277" spans="1:37" ht="28.5" customHeight="1" outlineLevel="1">
      <c r="A277" s="80"/>
      <c r="B277" s="80"/>
      <c r="C277" s="80"/>
      <c r="D277" s="80"/>
      <c r="E277" s="80"/>
      <c r="F277" s="80"/>
      <c r="G277" s="55" t="s">
        <v>261</v>
      </c>
      <c r="K277" s="55" t="s">
        <v>325</v>
      </c>
      <c r="X277" s="863" t="s">
        <v>2867</v>
      </c>
      <c r="Y277" s="13" t="s">
        <v>2868</v>
      </c>
      <c r="Z277" s="862">
        <v>2</v>
      </c>
      <c r="AA277" s="862"/>
      <c r="AB277" s="756">
        <v>19</v>
      </c>
      <c r="AC277" s="862">
        <v>1</v>
      </c>
      <c r="AD277" s="862"/>
      <c r="AE277" s="2674" t="s">
        <v>2869</v>
      </c>
      <c r="AF277" s="864"/>
      <c r="AG277" s="862"/>
      <c r="AH277" s="862"/>
      <c r="AI277" s="865"/>
      <c r="AJ277" s="862"/>
      <c r="AK277" s="95"/>
    </row>
    <row r="278" spans="1:37" s="53" customFormat="1" ht="28.5" customHeight="1" outlineLevel="1">
      <c r="A278" s="88"/>
      <c r="B278" s="88"/>
      <c r="C278" s="88"/>
      <c r="D278" s="88"/>
      <c r="E278" s="88"/>
      <c r="F278" s="88"/>
      <c r="G278" s="69" t="s">
        <v>261</v>
      </c>
      <c r="H278" s="69"/>
      <c r="I278" s="69"/>
      <c r="J278" s="69"/>
      <c r="K278" s="69" t="s">
        <v>325</v>
      </c>
      <c r="L278" s="69"/>
      <c r="M278" s="69"/>
      <c r="N278" s="69"/>
      <c r="O278" s="69"/>
      <c r="P278" s="69"/>
      <c r="Q278" s="69"/>
      <c r="R278" s="69"/>
      <c r="S278" s="69"/>
      <c r="T278" s="69"/>
      <c r="U278" s="69"/>
      <c r="V278" s="69"/>
      <c r="W278" s="69"/>
      <c r="X278" s="2675" t="s">
        <v>2870</v>
      </c>
      <c r="Y278" s="13" t="s">
        <v>2871</v>
      </c>
      <c r="Z278" s="843">
        <v>2</v>
      </c>
      <c r="AA278" s="843"/>
      <c r="AB278" s="756">
        <v>20</v>
      </c>
      <c r="AC278" s="843">
        <v>1</v>
      </c>
      <c r="AD278" s="843"/>
      <c r="AE278" s="2676" t="s">
        <v>2872</v>
      </c>
      <c r="AF278" s="842"/>
      <c r="AG278" s="843"/>
      <c r="AH278" s="843"/>
      <c r="AI278" s="844"/>
      <c r="AJ278" s="843"/>
    </row>
    <row r="279" spans="1:37" s="53" customFormat="1" ht="28.5" customHeight="1" outlineLevel="1">
      <c r="A279" s="88"/>
      <c r="B279" s="88"/>
      <c r="C279" s="88"/>
      <c r="D279" s="88"/>
      <c r="E279" s="88"/>
      <c r="F279" s="88"/>
      <c r="G279" s="69" t="s">
        <v>261</v>
      </c>
      <c r="H279" s="69"/>
      <c r="I279" s="69"/>
      <c r="J279" s="69"/>
      <c r="K279" s="69" t="s">
        <v>325</v>
      </c>
      <c r="L279" s="69"/>
      <c r="M279" s="69"/>
      <c r="N279" s="69"/>
      <c r="O279" s="69"/>
      <c r="P279" s="69"/>
      <c r="Q279" s="69"/>
      <c r="R279" s="69"/>
      <c r="S279" s="69"/>
      <c r="T279" s="69"/>
      <c r="U279" s="69"/>
      <c r="V279" s="69"/>
      <c r="W279" s="69"/>
      <c r="X279" s="2677" t="s">
        <v>2873</v>
      </c>
      <c r="Y279" s="13" t="s">
        <v>2874</v>
      </c>
      <c r="Z279" s="843">
        <v>2</v>
      </c>
      <c r="AA279" s="843"/>
      <c r="AB279" s="756">
        <v>21</v>
      </c>
      <c r="AC279" s="843">
        <v>1</v>
      </c>
      <c r="AD279" s="843"/>
      <c r="AE279" s="2678" t="s">
        <v>2875</v>
      </c>
      <c r="AF279" s="842"/>
      <c r="AG279" s="843"/>
      <c r="AH279" s="843"/>
      <c r="AI279" s="844"/>
      <c r="AJ279" s="843"/>
    </row>
    <row r="280" spans="1:37" ht="28.5" customHeight="1" outlineLevel="1">
      <c r="A280" s="80"/>
      <c r="B280" s="80"/>
      <c r="C280" s="80"/>
      <c r="D280" s="80"/>
      <c r="E280" s="80"/>
      <c r="F280" s="80"/>
      <c r="G280" s="55" t="s">
        <v>261</v>
      </c>
      <c r="K280" s="55" t="s">
        <v>325</v>
      </c>
      <c r="X280" s="2679" t="s">
        <v>2876</v>
      </c>
      <c r="Y280" s="13" t="s">
        <v>2877</v>
      </c>
      <c r="Z280" s="756">
        <v>2</v>
      </c>
      <c r="AA280" s="756"/>
      <c r="AB280" s="756">
        <v>22</v>
      </c>
      <c r="AC280" s="756">
        <v>1</v>
      </c>
      <c r="AD280" s="756"/>
      <c r="AE280" s="2680" t="s">
        <v>2872</v>
      </c>
      <c r="AF280" s="826"/>
      <c r="AG280" s="756"/>
      <c r="AH280" s="756"/>
      <c r="AI280" s="828"/>
      <c r="AJ280" s="756"/>
      <c r="AK280" s="54" t="s">
        <v>2878</v>
      </c>
    </row>
    <row r="281" spans="1:37" ht="28.5" customHeight="1" outlineLevel="1">
      <c r="A281" s="80"/>
      <c r="B281" s="80"/>
      <c r="C281" s="80"/>
      <c r="D281" s="80"/>
      <c r="E281" s="80"/>
      <c r="F281" s="80"/>
      <c r="G281" s="55" t="s">
        <v>261</v>
      </c>
      <c r="K281" s="55" t="s">
        <v>325</v>
      </c>
      <c r="X281" s="2681" t="s">
        <v>2879</v>
      </c>
      <c r="Y281" s="13" t="s">
        <v>2880</v>
      </c>
      <c r="Z281" s="756">
        <v>2</v>
      </c>
      <c r="AA281" s="756"/>
      <c r="AB281" s="756">
        <v>23</v>
      </c>
      <c r="AC281" s="756">
        <v>1</v>
      </c>
      <c r="AD281" s="756"/>
      <c r="AE281" s="2682" t="s">
        <v>2875</v>
      </c>
      <c r="AF281" s="826"/>
      <c r="AG281" s="756"/>
      <c r="AH281" s="756"/>
      <c r="AI281" s="828"/>
      <c r="AJ281" s="756"/>
    </row>
    <row r="282" spans="1:37" ht="71.25" customHeight="1" outlineLevel="1">
      <c r="A282" s="80"/>
      <c r="B282" s="80"/>
      <c r="C282" s="80"/>
      <c r="D282" s="80"/>
      <c r="E282" s="80"/>
      <c r="F282" s="80"/>
      <c r="G282" s="55" t="s">
        <v>261</v>
      </c>
      <c r="K282" s="55" t="s">
        <v>325</v>
      </c>
      <c r="X282" s="2683" t="s">
        <v>2881</v>
      </c>
      <c r="Y282" s="13" t="s">
        <v>2882</v>
      </c>
      <c r="Z282" s="756">
        <v>3</v>
      </c>
      <c r="AA282" s="756"/>
      <c r="AB282" s="756">
        <v>24</v>
      </c>
      <c r="AC282" s="756">
        <v>3</v>
      </c>
      <c r="AD282" s="756"/>
      <c r="AE282" s="2684" t="s">
        <v>2883</v>
      </c>
      <c r="AF282" s="826"/>
      <c r="AG282" s="756"/>
      <c r="AH282" s="756"/>
      <c r="AI282" s="828"/>
      <c r="AJ282" s="756"/>
    </row>
    <row r="283" spans="1:37" ht="28.5" customHeight="1" outlineLevel="1">
      <c r="A283" s="80"/>
      <c r="B283" s="80"/>
      <c r="C283" s="80"/>
      <c r="D283" s="80"/>
      <c r="E283" s="80"/>
      <c r="F283" s="80"/>
      <c r="G283" s="55" t="s">
        <v>261</v>
      </c>
      <c r="K283" s="55" t="s">
        <v>325</v>
      </c>
      <c r="X283" s="2685" t="s">
        <v>2884</v>
      </c>
      <c r="Y283" s="13" t="s">
        <v>2885</v>
      </c>
      <c r="Z283" s="756">
        <v>3</v>
      </c>
      <c r="AA283" s="756"/>
      <c r="AB283" s="756">
        <v>27</v>
      </c>
      <c r="AC283" s="756">
        <v>1</v>
      </c>
      <c r="AD283" s="756"/>
      <c r="AE283" s="2686" t="s">
        <v>2292</v>
      </c>
      <c r="AF283" s="826"/>
      <c r="AG283" s="756"/>
      <c r="AH283" s="756"/>
      <c r="AI283" s="828"/>
      <c r="AJ283" s="756"/>
      <c r="AK283" s="54" t="s">
        <v>2886</v>
      </c>
    </row>
    <row r="284" spans="1:37" ht="28.5" customHeight="1" outlineLevel="1">
      <c r="A284" s="80"/>
      <c r="B284" s="80"/>
      <c r="C284" s="80"/>
      <c r="D284" s="80"/>
      <c r="E284" s="80"/>
      <c r="F284" s="80"/>
      <c r="G284" s="55" t="s">
        <v>261</v>
      </c>
      <c r="K284" s="55" t="s">
        <v>325</v>
      </c>
      <c r="X284" s="2687" t="s">
        <v>2887</v>
      </c>
      <c r="Y284" s="13" t="s">
        <v>2888</v>
      </c>
      <c r="Z284" s="756">
        <v>3</v>
      </c>
      <c r="AA284" s="756"/>
      <c r="AB284" s="756">
        <v>28</v>
      </c>
      <c r="AC284" s="756">
        <v>1</v>
      </c>
      <c r="AD284" s="756"/>
      <c r="AE284" s="2688" t="s">
        <v>2292</v>
      </c>
      <c r="AF284" s="826"/>
      <c r="AG284" s="756"/>
      <c r="AH284" s="756"/>
      <c r="AI284" s="828"/>
      <c r="AJ284" s="756"/>
      <c r="AK284" s="54" t="s">
        <v>2886</v>
      </c>
    </row>
    <row r="285" spans="1:37" ht="28.5" customHeight="1" outlineLevel="1">
      <c r="A285" s="80"/>
      <c r="B285" s="80"/>
      <c r="C285" s="80"/>
      <c r="D285" s="80"/>
      <c r="E285" s="80"/>
      <c r="F285" s="80"/>
      <c r="G285" s="55" t="s">
        <v>261</v>
      </c>
      <c r="K285" s="55" t="s">
        <v>325</v>
      </c>
      <c r="X285" s="2689" t="s">
        <v>2889</v>
      </c>
      <c r="Y285" s="13" t="s">
        <v>2890</v>
      </c>
      <c r="Z285" s="756">
        <v>3</v>
      </c>
      <c r="AA285" s="756"/>
      <c r="AB285" s="756">
        <v>29</v>
      </c>
      <c r="AC285" s="756">
        <v>1</v>
      </c>
      <c r="AD285" s="756"/>
      <c r="AE285" s="2690" t="s">
        <v>2292</v>
      </c>
      <c r="AF285" s="826"/>
      <c r="AG285" s="756"/>
      <c r="AH285" s="756"/>
      <c r="AI285" s="828"/>
      <c r="AJ285" s="756"/>
      <c r="AK285" s="54" t="s">
        <v>2886</v>
      </c>
    </row>
    <row r="286" spans="1:37" ht="28.5" customHeight="1" outlineLevel="1">
      <c r="A286" s="80"/>
      <c r="B286" s="80"/>
      <c r="C286" s="80"/>
      <c r="D286" s="80"/>
      <c r="E286" s="80"/>
      <c r="F286" s="80"/>
      <c r="G286" s="55" t="s">
        <v>261</v>
      </c>
      <c r="K286" s="55" t="s">
        <v>325</v>
      </c>
      <c r="X286" s="823" t="s">
        <v>2891</v>
      </c>
      <c r="Y286" s="13" t="s">
        <v>2892</v>
      </c>
      <c r="Z286" s="756">
        <v>4</v>
      </c>
      <c r="AA286" s="756"/>
      <c r="AB286" s="756">
        <v>32</v>
      </c>
      <c r="AC286" s="756">
        <v>8</v>
      </c>
      <c r="AD286" s="756" t="s">
        <v>407</v>
      </c>
      <c r="AE286" s="2691" t="s">
        <v>2893</v>
      </c>
      <c r="AF286" s="826">
        <v>1</v>
      </c>
      <c r="AG286" s="756">
        <v>0</v>
      </c>
      <c r="AH286" s="756" t="s">
        <v>444</v>
      </c>
      <c r="AI286" s="828" t="s">
        <v>444</v>
      </c>
      <c r="AJ286" s="756" t="s">
        <v>904</v>
      </c>
    </row>
    <row r="287" spans="1:37" ht="28.5" customHeight="1" outlineLevel="1">
      <c r="A287" s="80"/>
      <c r="B287" s="80"/>
      <c r="C287" s="80"/>
      <c r="D287" s="80"/>
      <c r="E287" s="80"/>
      <c r="F287" s="80"/>
      <c r="G287" s="55" t="s">
        <v>261</v>
      </c>
      <c r="K287" s="55" t="s">
        <v>325</v>
      </c>
      <c r="X287" s="823" t="s">
        <v>2894</v>
      </c>
      <c r="Y287" s="13" t="s">
        <v>2895</v>
      </c>
      <c r="Z287" s="756">
        <v>5</v>
      </c>
      <c r="AA287" s="756"/>
      <c r="AB287" s="756">
        <v>40</v>
      </c>
      <c r="AC287" s="756">
        <v>8</v>
      </c>
      <c r="AD287" s="756" t="s">
        <v>407</v>
      </c>
      <c r="AE287" s="2692" t="s">
        <v>2893</v>
      </c>
      <c r="AF287" s="826">
        <v>1</v>
      </c>
      <c r="AG287" s="756">
        <v>0</v>
      </c>
      <c r="AH287" s="756" t="s">
        <v>444</v>
      </c>
      <c r="AI287" s="828" t="s">
        <v>444</v>
      </c>
      <c r="AJ287" s="756" t="s">
        <v>904</v>
      </c>
    </row>
    <row r="288" spans="1:37" ht="28.5" customHeight="1" outlineLevel="1">
      <c r="A288" s="80"/>
      <c r="B288" s="80"/>
      <c r="C288" s="80"/>
      <c r="D288" s="80"/>
      <c r="E288" s="80"/>
      <c r="F288" s="80"/>
      <c r="G288" s="55" t="s">
        <v>261</v>
      </c>
      <c r="K288" s="55" t="s">
        <v>325</v>
      </c>
      <c r="X288" s="2693" t="s">
        <v>2896</v>
      </c>
      <c r="Y288" s="13" t="s">
        <v>2897</v>
      </c>
      <c r="Z288" s="756">
        <v>6</v>
      </c>
      <c r="AA288" s="756"/>
      <c r="AB288" s="756">
        <v>48</v>
      </c>
      <c r="AC288" s="756">
        <v>8</v>
      </c>
      <c r="AD288" s="756" t="s">
        <v>407</v>
      </c>
      <c r="AE288" s="823" t="s">
        <v>2898</v>
      </c>
      <c r="AF288" s="826"/>
      <c r="AG288" s="756"/>
      <c r="AH288" s="756"/>
      <c r="AI288" s="828"/>
      <c r="AJ288" s="756"/>
    </row>
    <row r="289" spans="1:38" ht="142.5" customHeight="1" outlineLevel="1">
      <c r="A289" s="80"/>
      <c r="B289" s="80"/>
      <c r="C289" s="80"/>
      <c r="D289" s="80"/>
      <c r="E289" s="80"/>
      <c r="F289" s="80"/>
      <c r="G289" s="55" t="s">
        <v>261</v>
      </c>
      <c r="K289" s="55" t="s">
        <v>325</v>
      </c>
      <c r="X289" s="823" t="s">
        <v>2899</v>
      </c>
      <c r="Y289" s="13" t="s">
        <v>2900</v>
      </c>
      <c r="Z289" s="756">
        <v>7</v>
      </c>
      <c r="AA289" s="756"/>
      <c r="AB289" s="756">
        <v>56</v>
      </c>
      <c r="AC289" s="756">
        <v>8</v>
      </c>
      <c r="AD289" s="756"/>
      <c r="AE289" s="2694" t="s">
        <v>2901</v>
      </c>
      <c r="AF289" s="826"/>
      <c r="AG289" s="756"/>
      <c r="AH289" s="756"/>
      <c r="AI289" s="828"/>
      <c r="AJ289" s="756"/>
    </row>
    <row r="290" spans="1:38" ht="14.25" customHeight="1">
      <c r="A290" s="724">
        <v>27</v>
      </c>
      <c r="B290" s="858" t="s">
        <v>2902</v>
      </c>
      <c r="C290" s="858" t="s">
        <v>2903</v>
      </c>
      <c r="D290" s="858" t="s">
        <v>2754</v>
      </c>
      <c r="E290" s="858">
        <v>8</v>
      </c>
      <c r="F290" s="858" t="s">
        <v>260</v>
      </c>
      <c r="G290" s="744" t="s">
        <v>325</v>
      </c>
      <c r="H290" s="744"/>
      <c r="I290" s="744"/>
      <c r="J290" s="744"/>
      <c r="K290" s="744" t="s">
        <v>261</v>
      </c>
      <c r="L290" s="744"/>
      <c r="M290" s="744"/>
      <c r="N290" s="744"/>
      <c r="O290" s="744"/>
      <c r="P290" s="744"/>
      <c r="Q290" s="744"/>
      <c r="R290" s="744"/>
      <c r="S290" s="744"/>
      <c r="T290" s="744"/>
      <c r="U290" s="744"/>
      <c r="V290" s="744"/>
      <c r="W290" s="744"/>
      <c r="X290" s="821" t="s">
        <v>2904</v>
      </c>
      <c r="Y290" s="859"/>
      <c r="Z290" s="724"/>
      <c r="AA290" s="724"/>
      <c r="AB290" s="724"/>
      <c r="AC290" s="724"/>
      <c r="AD290" s="724"/>
      <c r="AE290" s="821" t="s">
        <v>2904</v>
      </c>
      <c r="AF290" s="860"/>
      <c r="AG290" s="724"/>
      <c r="AH290" s="724"/>
      <c r="AI290" s="861"/>
      <c r="AJ290" s="724"/>
    </row>
    <row r="291" spans="1:38" ht="119.25" customHeight="1" outlineLevel="1">
      <c r="A291" s="59"/>
      <c r="B291" s="59"/>
      <c r="C291" s="59"/>
      <c r="D291" s="59"/>
      <c r="E291" s="59"/>
      <c r="F291" s="59"/>
      <c r="G291" s="55" t="s">
        <v>325</v>
      </c>
      <c r="K291" s="55" t="s">
        <v>261</v>
      </c>
      <c r="X291" s="2695" t="s">
        <v>2905</v>
      </c>
      <c r="Y291" s="750" t="s">
        <v>2906</v>
      </c>
      <c r="Z291" s="92"/>
      <c r="AA291" s="92"/>
      <c r="AB291" s="92">
        <v>0</v>
      </c>
      <c r="AC291" s="92">
        <v>3</v>
      </c>
      <c r="AD291" s="92" t="s">
        <v>407</v>
      </c>
      <c r="AE291" s="2696" t="s">
        <v>2907</v>
      </c>
      <c r="AF291" s="301"/>
      <c r="AG291" s="93"/>
      <c r="AH291" s="93"/>
      <c r="AI291" s="96"/>
      <c r="AJ291" s="867"/>
    </row>
    <row r="292" spans="1:38" ht="57" customHeight="1" outlineLevel="1">
      <c r="A292" s="59"/>
      <c r="B292" s="59"/>
      <c r="C292" s="59"/>
      <c r="D292" s="59"/>
      <c r="E292" s="59"/>
      <c r="F292" s="59"/>
      <c r="G292" s="55" t="s">
        <v>325</v>
      </c>
      <c r="K292" s="55" t="s">
        <v>261</v>
      </c>
      <c r="X292" s="2697" t="s">
        <v>2908</v>
      </c>
      <c r="Y292" s="750" t="s">
        <v>2909</v>
      </c>
      <c r="Z292" s="868"/>
      <c r="AA292" s="92"/>
      <c r="AB292" s="92">
        <v>3</v>
      </c>
      <c r="AC292" s="868">
        <v>2</v>
      </c>
      <c r="AD292" s="868" t="s">
        <v>407</v>
      </c>
      <c r="AE292" s="2698" t="s">
        <v>2910</v>
      </c>
      <c r="AF292" s="869"/>
      <c r="AG292" s="870"/>
      <c r="AH292" s="870"/>
      <c r="AI292" s="871"/>
      <c r="AJ292" s="867"/>
    </row>
    <row r="293" spans="1:38" ht="28.5" customHeight="1" outlineLevel="1">
      <c r="A293" s="59"/>
      <c r="B293" s="59"/>
      <c r="C293" s="59"/>
      <c r="D293" s="59"/>
      <c r="E293" s="59"/>
      <c r="F293" s="59"/>
      <c r="G293" s="55" t="s">
        <v>325</v>
      </c>
      <c r="K293" s="55" t="s">
        <v>261</v>
      </c>
      <c r="X293" s="2699" t="s">
        <v>2911</v>
      </c>
      <c r="Y293" s="750" t="s">
        <v>2912</v>
      </c>
      <c r="Z293" s="868"/>
      <c r="AA293" s="92"/>
      <c r="AB293" s="92">
        <v>5</v>
      </c>
      <c r="AC293" s="868">
        <v>1</v>
      </c>
      <c r="AD293" s="868" t="s">
        <v>407</v>
      </c>
      <c r="AE293" s="2700" t="s">
        <v>2913</v>
      </c>
      <c r="AF293" s="869"/>
      <c r="AG293" s="870"/>
      <c r="AH293" s="870"/>
      <c r="AI293" s="871"/>
      <c r="AJ293" s="867"/>
    </row>
    <row r="294" spans="1:38" ht="60" customHeight="1" outlineLevel="1">
      <c r="A294" s="59"/>
      <c r="B294" s="59"/>
      <c r="C294" s="59"/>
      <c r="D294" s="59"/>
      <c r="E294" s="59"/>
      <c r="F294" s="59"/>
      <c r="G294" s="55" t="s">
        <v>325</v>
      </c>
      <c r="K294" s="55" t="s">
        <v>261</v>
      </c>
      <c r="X294" s="2701" t="s">
        <v>2914</v>
      </c>
      <c r="Y294" s="750" t="s">
        <v>2915</v>
      </c>
      <c r="Z294" s="872"/>
      <c r="AA294" s="92"/>
      <c r="AB294" s="92">
        <v>8</v>
      </c>
      <c r="AC294" s="872">
        <v>2</v>
      </c>
      <c r="AD294" s="872"/>
      <c r="AE294" s="2702" t="s">
        <v>2916</v>
      </c>
      <c r="AF294" s="869"/>
      <c r="AG294" s="873"/>
      <c r="AH294" s="873"/>
      <c r="AI294" s="874"/>
      <c r="AJ294" s="868"/>
      <c r="AK294" s="54" t="s">
        <v>2512</v>
      </c>
    </row>
    <row r="295" spans="1:38" ht="57" customHeight="1" outlineLevel="1">
      <c r="A295" s="59"/>
      <c r="B295" s="59"/>
      <c r="C295" s="59"/>
      <c r="D295" s="59"/>
      <c r="E295" s="59"/>
      <c r="F295" s="59"/>
      <c r="G295" s="55" t="s">
        <v>325</v>
      </c>
      <c r="K295" s="55" t="s">
        <v>261</v>
      </c>
      <c r="X295" s="2703" t="s">
        <v>2917</v>
      </c>
      <c r="Y295" s="750" t="s">
        <v>2918</v>
      </c>
      <c r="Z295" s="868"/>
      <c r="AA295" s="92"/>
      <c r="AB295" s="92">
        <v>10</v>
      </c>
      <c r="AC295" s="868">
        <v>2</v>
      </c>
      <c r="AD295" s="868"/>
      <c r="AE295" s="2704" t="s">
        <v>2916</v>
      </c>
      <c r="AF295" s="869"/>
      <c r="AG295" s="870"/>
      <c r="AH295" s="870"/>
      <c r="AI295" s="871"/>
      <c r="AJ295" s="867"/>
      <c r="AK295" s="54" t="s">
        <v>2512</v>
      </c>
    </row>
    <row r="296" spans="1:38" ht="57" customHeight="1" outlineLevel="1">
      <c r="A296" s="59"/>
      <c r="B296" s="59"/>
      <c r="C296" s="59"/>
      <c r="D296" s="59"/>
      <c r="E296" s="59"/>
      <c r="F296" s="59"/>
      <c r="G296" s="55" t="s">
        <v>325</v>
      </c>
      <c r="K296" s="55" t="s">
        <v>261</v>
      </c>
      <c r="X296" s="2705" t="s">
        <v>2919</v>
      </c>
      <c r="Y296" s="750" t="s">
        <v>2920</v>
      </c>
      <c r="Z296" s="868"/>
      <c r="AA296" s="92"/>
      <c r="AB296" s="92">
        <v>12</v>
      </c>
      <c r="AC296" s="868">
        <v>2</v>
      </c>
      <c r="AD296" s="868"/>
      <c r="AE296" s="2706" t="s">
        <v>2921</v>
      </c>
      <c r="AF296" s="869"/>
      <c r="AG296" s="870"/>
      <c r="AH296" s="870"/>
      <c r="AI296" s="871"/>
      <c r="AJ296" s="867"/>
      <c r="AK296" s="54" t="s">
        <v>2512</v>
      </c>
    </row>
    <row r="297" spans="1:38" s="493" customFormat="1" ht="53.1" customHeight="1" outlineLevel="1">
      <c r="A297" s="177"/>
      <c r="B297" s="177"/>
      <c r="C297" s="177"/>
      <c r="D297" s="177"/>
      <c r="E297" s="177"/>
      <c r="F297" s="177"/>
      <c r="G297" s="98" t="s">
        <v>325</v>
      </c>
      <c r="H297" s="98"/>
      <c r="I297" s="98"/>
      <c r="J297" s="98"/>
      <c r="K297" s="98" t="s">
        <v>261</v>
      </c>
      <c r="L297" s="98"/>
      <c r="M297" s="98"/>
      <c r="N297" s="98"/>
      <c r="O297" s="98"/>
      <c r="P297" s="98"/>
      <c r="Q297" s="98"/>
      <c r="R297" s="98"/>
      <c r="S297" s="98"/>
      <c r="T297" s="98"/>
      <c r="U297" s="98"/>
      <c r="V297" s="98"/>
      <c r="W297" s="98"/>
      <c r="X297" s="2707" t="s">
        <v>2922</v>
      </c>
      <c r="Y297" s="876" t="s">
        <v>2923</v>
      </c>
      <c r="Z297" s="877"/>
      <c r="AA297" s="494"/>
      <c r="AB297" s="494">
        <v>14</v>
      </c>
      <c r="AC297" s="877">
        <v>1</v>
      </c>
      <c r="AD297" s="877" t="s">
        <v>407</v>
      </c>
      <c r="AE297" s="2708" t="s">
        <v>2924</v>
      </c>
      <c r="AF297" s="878"/>
      <c r="AG297" s="879"/>
      <c r="AH297" s="879"/>
      <c r="AI297" s="880"/>
      <c r="AJ297" s="877"/>
      <c r="AK297" s="493" t="s">
        <v>2925</v>
      </c>
      <c r="AL297" s="493">
        <v>20260120</v>
      </c>
    </row>
    <row r="298" spans="1:38" ht="56.1" customHeight="1" outlineLevel="1">
      <c r="A298" s="59"/>
      <c r="B298" s="59"/>
      <c r="C298" s="59"/>
      <c r="D298" s="59"/>
      <c r="E298" s="59"/>
      <c r="F298" s="59"/>
      <c r="G298" s="55" t="s">
        <v>325</v>
      </c>
      <c r="K298" s="55" t="s">
        <v>261</v>
      </c>
      <c r="X298" s="2709" t="s">
        <v>2926</v>
      </c>
      <c r="Y298" s="750" t="s">
        <v>2927</v>
      </c>
      <c r="Z298" s="868"/>
      <c r="AA298" s="92"/>
      <c r="AB298" s="92">
        <v>15</v>
      </c>
      <c r="AC298" s="868">
        <v>1</v>
      </c>
      <c r="AD298" s="868" t="s">
        <v>407</v>
      </c>
      <c r="AE298" s="2710" t="s">
        <v>2928</v>
      </c>
      <c r="AF298" s="869"/>
      <c r="AG298" s="870"/>
      <c r="AH298" s="870"/>
      <c r="AI298" s="871"/>
      <c r="AJ298" s="867"/>
      <c r="AK298" s="54" t="s">
        <v>2512</v>
      </c>
    </row>
    <row r="299" spans="1:38" ht="108" customHeight="1" outlineLevel="1">
      <c r="A299" s="59"/>
      <c r="B299" s="59"/>
      <c r="C299" s="59"/>
      <c r="D299" s="59"/>
      <c r="E299" s="59"/>
      <c r="F299" s="59"/>
      <c r="G299" s="55" t="s">
        <v>325</v>
      </c>
      <c r="K299" s="55" t="s">
        <v>261</v>
      </c>
      <c r="X299" s="2711" t="s">
        <v>2929</v>
      </c>
      <c r="Y299" s="562" t="s">
        <v>2930</v>
      </c>
      <c r="Z299" s="563"/>
      <c r="AA299" s="507"/>
      <c r="AB299" s="507">
        <v>16</v>
      </c>
      <c r="AC299" s="563">
        <v>2</v>
      </c>
      <c r="AD299" s="564" t="s">
        <v>407</v>
      </c>
      <c r="AE299" s="2712" t="s">
        <v>2931</v>
      </c>
      <c r="AF299" s="565"/>
      <c r="AG299" s="566"/>
      <c r="AH299" s="566"/>
      <c r="AI299" s="567"/>
      <c r="AJ299" s="568"/>
    </row>
    <row r="300" spans="1:38" s="493" customFormat="1" ht="42.95" customHeight="1" outlineLevel="1">
      <c r="A300" s="177"/>
      <c r="B300" s="177"/>
      <c r="C300" s="177"/>
      <c r="D300" s="177"/>
      <c r="E300" s="177"/>
      <c r="F300" s="177"/>
      <c r="G300" s="98" t="s">
        <v>325</v>
      </c>
      <c r="H300" s="98"/>
      <c r="I300" s="98"/>
      <c r="J300" s="98"/>
      <c r="K300" s="98" t="s">
        <v>261</v>
      </c>
      <c r="L300" s="98"/>
      <c r="M300" s="98"/>
      <c r="N300" s="98"/>
      <c r="O300" s="98"/>
      <c r="P300" s="98"/>
      <c r="Q300" s="98"/>
      <c r="R300" s="98"/>
      <c r="S300" s="98"/>
      <c r="T300" s="98"/>
      <c r="U300" s="98"/>
      <c r="V300" s="98"/>
      <c r="W300" s="98"/>
      <c r="X300" s="2713" t="s">
        <v>2932</v>
      </c>
      <c r="Y300" s="497"/>
      <c r="Z300" s="498"/>
      <c r="AA300" s="498"/>
      <c r="AB300" s="499"/>
      <c r="AC300" s="498"/>
      <c r="AD300" s="499"/>
      <c r="AE300" s="2714" t="s">
        <v>2933</v>
      </c>
      <c r="AF300" s="505"/>
      <c r="AG300" s="506"/>
      <c r="AH300" s="498"/>
      <c r="AI300" s="499"/>
      <c r="AJ300" s="499"/>
      <c r="AK300" s="881" t="s">
        <v>2925</v>
      </c>
      <c r="AL300" s="493">
        <v>20260120</v>
      </c>
    </row>
    <row r="301" spans="1:38" s="493" customFormat="1" ht="42.95" customHeight="1" outlineLevel="1">
      <c r="A301" s="177"/>
      <c r="B301" s="177"/>
      <c r="C301" s="177"/>
      <c r="D301" s="177"/>
      <c r="E301" s="177"/>
      <c r="F301" s="177"/>
      <c r="G301" s="98"/>
      <c r="H301" s="98"/>
      <c r="I301" s="98"/>
      <c r="J301" s="98"/>
      <c r="K301" s="98"/>
      <c r="L301" s="98"/>
      <c r="M301" s="98"/>
      <c r="N301" s="98"/>
      <c r="O301" s="98"/>
      <c r="P301" s="98"/>
      <c r="Q301" s="98"/>
      <c r="R301" s="98"/>
      <c r="S301" s="98"/>
      <c r="T301" s="98"/>
      <c r="U301" s="98"/>
      <c r="V301" s="98"/>
      <c r="W301" s="98"/>
      <c r="X301" s="2715" t="s">
        <v>2934</v>
      </c>
      <c r="Y301" s="508" t="s">
        <v>2935</v>
      </c>
      <c r="Z301" s="509">
        <v>3</v>
      </c>
      <c r="AA301" s="510"/>
      <c r="AB301" s="511">
        <v>24</v>
      </c>
      <c r="AC301" s="510">
        <v>8</v>
      </c>
      <c r="AD301" s="511" t="s">
        <v>407</v>
      </c>
      <c r="AE301" s="512" t="s">
        <v>2936</v>
      </c>
      <c r="AF301" s="513">
        <v>1</v>
      </c>
      <c r="AG301" s="513">
        <v>-64</v>
      </c>
      <c r="AH301" s="514" t="s">
        <v>2937</v>
      </c>
      <c r="AI301" s="511"/>
      <c r="AJ301" s="513" t="s">
        <v>2075</v>
      </c>
      <c r="AK301" s="493" t="s">
        <v>2938</v>
      </c>
      <c r="AL301" s="493">
        <v>20260120</v>
      </c>
    </row>
    <row r="302" spans="1:38" s="493" customFormat="1" ht="42.95" customHeight="1" outlineLevel="1">
      <c r="A302" s="177"/>
      <c r="B302" s="177"/>
      <c r="C302" s="177"/>
      <c r="D302" s="177"/>
      <c r="E302" s="177"/>
      <c r="F302" s="177"/>
      <c r="G302" s="98"/>
      <c r="H302" s="98"/>
      <c r="I302" s="98"/>
      <c r="J302" s="98"/>
      <c r="K302" s="98"/>
      <c r="L302" s="98"/>
      <c r="M302" s="98"/>
      <c r="N302" s="98"/>
      <c r="O302" s="98"/>
      <c r="P302" s="98"/>
      <c r="Q302" s="98"/>
      <c r="R302" s="98"/>
      <c r="S302" s="98"/>
      <c r="T302" s="98"/>
      <c r="U302" s="98"/>
      <c r="V302" s="98"/>
      <c r="W302" s="98"/>
      <c r="X302" s="2716" t="s">
        <v>2939</v>
      </c>
      <c r="Y302" s="497" t="s">
        <v>2940</v>
      </c>
      <c r="Z302" s="500">
        <v>4</v>
      </c>
      <c r="AA302" s="498"/>
      <c r="AB302" s="499">
        <v>32</v>
      </c>
      <c r="AC302" s="498">
        <v>8</v>
      </c>
      <c r="AD302" s="499" t="s">
        <v>407</v>
      </c>
      <c r="AE302" s="495" t="s">
        <v>2941</v>
      </c>
      <c r="AF302" s="496">
        <v>1</v>
      </c>
      <c r="AG302" s="496">
        <v>0</v>
      </c>
      <c r="AH302" s="496" t="s">
        <v>2942</v>
      </c>
      <c r="AI302" s="499"/>
      <c r="AJ302" s="496" t="s">
        <v>98</v>
      </c>
      <c r="AK302" s="493" t="s">
        <v>2938</v>
      </c>
      <c r="AL302" s="493">
        <v>20260120</v>
      </c>
    </row>
    <row r="303" spans="1:38" s="493" customFormat="1" ht="42.95" customHeight="1" outlineLevel="1">
      <c r="A303" s="177"/>
      <c r="B303" s="177"/>
      <c r="C303" s="177"/>
      <c r="D303" s="177"/>
      <c r="E303" s="177"/>
      <c r="F303" s="177"/>
      <c r="G303" s="98"/>
      <c r="H303" s="98"/>
      <c r="I303" s="98"/>
      <c r="J303" s="98"/>
      <c r="K303" s="98"/>
      <c r="L303" s="98"/>
      <c r="M303" s="98"/>
      <c r="N303" s="98"/>
      <c r="O303" s="98"/>
      <c r="P303" s="98"/>
      <c r="Q303" s="98"/>
      <c r="R303" s="98"/>
      <c r="S303" s="98"/>
      <c r="T303" s="98"/>
      <c r="U303" s="98"/>
      <c r="V303" s="98"/>
      <c r="W303" s="98"/>
      <c r="X303" s="2717" t="s">
        <v>2943</v>
      </c>
      <c r="Y303" s="497" t="s">
        <v>2944</v>
      </c>
      <c r="Z303" s="518">
        <v>5</v>
      </c>
      <c r="AA303" s="519"/>
      <c r="AB303" s="520">
        <v>40</v>
      </c>
      <c r="AC303" s="519">
        <v>8</v>
      </c>
      <c r="AD303" s="520" t="s">
        <v>407</v>
      </c>
      <c r="AE303" s="517" t="s">
        <v>2945</v>
      </c>
      <c r="AF303" s="521">
        <v>1</v>
      </c>
      <c r="AG303" s="521">
        <v>0</v>
      </c>
      <c r="AH303" s="521" t="s">
        <v>2942</v>
      </c>
      <c r="AI303" s="520"/>
      <c r="AJ303" s="521" t="s">
        <v>98</v>
      </c>
      <c r="AK303" s="493" t="s">
        <v>2938</v>
      </c>
      <c r="AL303" s="493">
        <v>20260120</v>
      </c>
    </row>
    <row r="304" spans="1:38" s="527" customFormat="1" ht="42.95" customHeight="1" outlineLevel="1">
      <c r="A304" s="522"/>
      <c r="B304" s="522" t="s">
        <v>2902</v>
      </c>
      <c r="C304" s="523" t="s">
        <v>2946</v>
      </c>
      <c r="D304" s="522" t="s">
        <v>259</v>
      </c>
      <c r="E304" s="522">
        <v>8</v>
      </c>
      <c r="F304" s="882" t="s">
        <v>260</v>
      </c>
      <c r="G304" s="522" t="s">
        <v>325</v>
      </c>
      <c r="H304" s="522"/>
      <c r="I304" s="522"/>
      <c r="J304" s="522"/>
      <c r="K304" s="522" t="s">
        <v>261</v>
      </c>
      <c r="L304" s="522"/>
      <c r="M304" s="524"/>
      <c r="N304" s="524"/>
      <c r="O304" s="524"/>
      <c r="P304" s="524"/>
      <c r="Q304" s="524"/>
      <c r="R304" s="524"/>
      <c r="S304" s="524"/>
      <c r="T304" s="524"/>
      <c r="U304" s="524"/>
      <c r="V304" s="524"/>
      <c r="W304" s="524"/>
      <c r="X304" s="522" t="s">
        <v>2947</v>
      </c>
      <c r="Y304" s="522"/>
      <c r="Z304" s="522"/>
      <c r="AA304" s="522"/>
      <c r="AB304" s="524"/>
      <c r="AC304" s="525"/>
      <c r="AD304" s="525"/>
      <c r="AE304" s="528"/>
      <c r="AF304" s="525"/>
      <c r="AG304" s="525"/>
      <c r="AH304" s="525"/>
      <c r="AI304" s="526"/>
      <c r="AJ304" s="525"/>
      <c r="AL304" s="527">
        <v>20260120</v>
      </c>
    </row>
    <row r="305" spans="1:38" s="493" customFormat="1" ht="42.95" customHeight="1" outlineLevel="1">
      <c r="A305" s="515"/>
      <c r="B305" s="515"/>
      <c r="C305" s="516"/>
      <c r="D305" s="515"/>
      <c r="E305" s="515"/>
      <c r="F305" s="515"/>
      <c r="G305" s="515"/>
      <c r="H305" s="515"/>
      <c r="I305" s="515"/>
      <c r="J305" s="515"/>
      <c r="K305" s="515"/>
      <c r="L305" s="515"/>
      <c r="X305" s="2718" t="s">
        <v>2948</v>
      </c>
      <c r="Y305" s="496" t="s">
        <v>2949</v>
      </c>
      <c r="Z305" s="496">
        <v>0</v>
      </c>
      <c r="AA305" s="496"/>
      <c r="AB305" s="496">
        <v>0</v>
      </c>
      <c r="AC305" s="496">
        <v>16</v>
      </c>
      <c r="AD305" s="225" t="s">
        <v>407</v>
      </c>
      <c r="AE305" s="495" t="s">
        <v>2950</v>
      </c>
      <c r="AF305" s="496">
        <v>0.1</v>
      </c>
      <c r="AG305" s="496">
        <v>0</v>
      </c>
      <c r="AH305" s="496" t="s">
        <v>451</v>
      </c>
      <c r="AI305" s="496"/>
      <c r="AJ305" s="496" t="s">
        <v>452</v>
      </c>
      <c r="AK305" s="493" t="s">
        <v>2938</v>
      </c>
      <c r="AL305" s="493">
        <v>20260120</v>
      </c>
    </row>
    <row r="306" spans="1:38" s="493" customFormat="1" ht="42.95" customHeight="1" outlineLevel="1">
      <c r="A306" s="515"/>
      <c r="B306" s="515"/>
      <c r="C306" s="515"/>
      <c r="D306" s="515"/>
      <c r="E306" s="515"/>
      <c r="F306" s="515"/>
      <c r="G306" s="515"/>
      <c r="H306" s="515"/>
      <c r="I306" s="515"/>
      <c r="J306" s="515"/>
      <c r="K306" s="515"/>
      <c r="L306" s="515"/>
      <c r="X306" s="2719" t="s">
        <v>2951</v>
      </c>
      <c r="Y306" s="496" t="s">
        <v>2952</v>
      </c>
      <c r="Z306" s="496">
        <v>2</v>
      </c>
      <c r="AA306" s="496"/>
      <c r="AB306" s="496">
        <v>16</v>
      </c>
      <c r="AC306" s="496">
        <v>16</v>
      </c>
      <c r="AD306" s="225" t="s">
        <v>407</v>
      </c>
      <c r="AE306" s="495" t="s">
        <v>2953</v>
      </c>
      <c r="AF306" s="496">
        <v>0.1</v>
      </c>
      <c r="AG306" s="496">
        <v>0</v>
      </c>
      <c r="AH306" s="496" t="s">
        <v>451</v>
      </c>
      <c r="AI306" s="496"/>
      <c r="AJ306" s="496" t="s">
        <v>452</v>
      </c>
      <c r="AK306" s="493" t="s">
        <v>2938</v>
      </c>
      <c r="AL306" s="493">
        <v>20260120</v>
      </c>
    </row>
    <row r="307" spans="1:38" s="493" customFormat="1" ht="42.95" customHeight="1" outlineLevel="1">
      <c r="A307" s="515"/>
      <c r="B307" s="515"/>
      <c r="C307" s="515"/>
      <c r="D307" s="515"/>
      <c r="E307" s="515"/>
      <c r="F307" s="515"/>
      <c r="G307" s="515"/>
      <c r="H307" s="515"/>
      <c r="I307" s="515"/>
      <c r="J307" s="515"/>
      <c r="K307" s="515"/>
      <c r="L307" s="515"/>
      <c r="X307" s="2720" t="s">
        <v>2954</v>
      </c>
      <c r="Y307" s="496" t="s">
        <v>2955</v>
      </c>
      <c r="Z307" s="496">
        <v>4</v>
      </c>
      <c r="AA307" s="496"/>
      <c r="AB307" s="496">
        <v>32</v>
      </c>
      <c r="AC307" s="496">
        <v>16</v>
      </c>
      <c r="AD307" s="225" t="s">
        <v>407</v>
      </c>
      <c r="AE307" s="495" t="s">
        <v>2956</v>
      </c>
      <c r="AF307" s="496">
        <v>1</v>
      </c>
      <c r="AG307" s="496">
        <v>0</v>
      </c>
      <c r="AH307" s="496" t="s">
        <v>2957</v>
      </c>
      <c r="AI307" s="496"/>
      <c r="AJ307" s="496"/>
      <c r="AK307" s="493" t="s">
        <v>2938</v>
      </c>
      <c r="AL307" s="493">
        <v>20260120</v>
      </c>
    </row>
    <row r="308" spans="1:38" s="493" customFormat="1" ht="42.95" customHeight="1" outlineLevel="1">
      <c r="A308" s="515"/>
      <c r="B308" s="515"/>
      <c r="C308" s="515"/>
      <c r="D308" s="515"/>
      <c r="E308" s="515"/>
      <c r="F308" s="515"/>
      <c r="G308" s="515"/>
      <c r="H308" s="515"/>
      <c r="I308" s="515"/>
      <c r="J308" s="515"/>
      <c r="K308" s="515"/>
      <c r="L308" s="515"/>
      <c r="X308" s="2721" t="s">
        <v>2958</v>
      </c>
      <c r="Y308" s="496" t="s">
        <v>2959</v>
      </c>
      <c r="Z308" s="496">
        <v>6</v>
      </c>
      <c r="AA308" s="496"/>
      <c r="AB308" s="496">
        <v>48</v>
      </c>
      <c r="AC308" s="496">
        <v>16</v>
      </c>
      <c r="AD308" s="225" t="s">
        <v>407</v>
      </c>
      <c r="AE308" s="495" t="s">
        <v>2960</v>
      </c>
      <c r="AF308" s="496">
        <v>1</v>
      </c>
      <c r="AG308" s="496">
        <v>0</v>
      </c>
      <c r="AH308" s="496" t="s">
        <v>2957</v>
      </c>
      <c r="AI308" s="496"/>
      <c r="AJ308" s="496"/>
      <c r="AK308" s="493" t="s">
        <v>2938</v>
      </c>
      <c r="AL308" s="493">
        <v>20260120</v>
      </c>
    </row>
    <row r="309" spans="1:38" ht="50.1" customHeight="1">
      <c r="A309" s="724">
        <v>28</v>
      </c>
      <c r="B309" s="858" t="s">
        <v>2961</v>
      </c>
      <c r="C309" s="858" t="s">
        <v>2962</v>
      </c>
      <c r="D309" s="858" t="s">
        <v>259</v>
      </c>
      <c r="E309" s="858">
        <v>8</v>
      </c>
      <c r="F309" s="858" t="s">
        <v>260</v>
      </c>
      <c r="G309" s="744" t="s">
        <v>325</v>
      </c>
      <c r="H309" s="744"/>
      <c r="I309" s="744"/>
      <c r="J309" s="744"/>
      <c r="K309" s="744" t="s">
        <v>261</v>
      </c>
      <c r="L309" s="744"/>
      <c r="M309" s="744"/>
      <c r="N309" s="744"/>
      <c r="O309" s="744"/>
      <c r="P309" s="744"/>
      <c r="Q309" s="744"/>
      <c r="R309" s="744"/>
      <c r="S309" s="744"/>
      <c r="T309" s="744"/>
      <c r="U309" s="744"/>
      <c r="V309" s="744"/>
      <c r="W309" s="744"/>
      <c r="X309" s="821" t="s">
        <v>2963</v>
      </c>
      <c r="Y309" s="859"/>
      <c r="Z309" s="724"/>
      <c r="AA309" s="501"/>
      <c r="AB309" s="501"/>
      <c r="AC309" s="501"/>
      <c r="AD309" s="501"/>
      <c r="AE309" s="502"/>
      <c r="AF309" s="503"/>
      <c r="AG309" s="501"/>
      <c r="AH309" s="501"/>
      <c r="AI309" s="504"/>
      <c r="AJ309" s="501"/>
    </row>
    <row r="310" spans="1:38" ht="1.5" customHeight="1">
      <c r="A310" s="89"/>
      <c r="B310" s="90"/>
      <c r="C310" s="90"/>
      <c r="D310" s="90"/>
      <c r="E310" s="90"/>
      <c r="F310" s="90"/>
      <c r="G310" s="91"/>
      <c r="H310" s="91"/>
      <c r="I310" s="91"/>
      <c r="J310" s="91"/>
      <c r="K310" s="91"/>
      <c r="L310" s="91"/>
      <c r="M310" s="91"/>
      <c r="N310" s="91"/>
      <c r="O310" s="91"/>
      <c r="P310" s="91"/>
      <c r="Q310" s="91"/>
      <c r="R310" s="91"/>
      <c r="S310" s="91"/>
      <c r="T310" s="91"/>
      <c r="U310" s="91"/>
      <c r="V310" s="91"/>
      <c r="W310" s="91"/>
      <c r="X310" s="821"/>
      <c r="Y310" s="859"/>
      <c r="Z310" s="724"/>
      <c r="AA310" s="724"/>
      <c r="AB310" s="724"/>
      <c r="AC310" s="724"/>
      <c r="AD310" s="724"/>
      <c r="AE310" s="883"/>
      <c r="AF310" s="860"/>
      <c r="AG310" s="724"/>
      <c r="AH310" s="724"/>
      <c r="AI310" s="861"/>
      <c r="AJ310" s="724"/>
    </row>
    <row r="311" spans="1:38" ht="50.1" customHeight="1" outlineLevel="1">
      <c r="A311" s="59"/>
      <c r="B311" s="59"/>
      <c r="C311" s="59"/>
      <c r="D311" s="59"/>
      <c r="E311" s="59"/>
      <c r="F311" s="59"/>
      <c r="G311" s="55" t="s">
        <v>325</v>
      </c>
      <c r="K311" s="55" t="s">
        <v>261</v>
      </c>
      <c r="L311" s="55" t="s">
        <v>325</v>
      </c>
      <c r="X311" s="2722" t="s">
        <v>2964</v>
      </c>
      <c r="Y311" s="884" t="s">
        <v>2965</v>
      </c>
      <c r="Z311" s="763"/>
      <c r="AA311" s="763"/>
      <c r="AB311" s="749">
        <v>0</v>
      </c>
      <c r="AC311" s="749">
        <v>1</v>
      </c>
      <c r="AD311" s="763"/>
      <c r="AE311" s="885"/>
      <c r="AF311" s="869"/>
      <c r="AG311" s="870"/>
      <c r="AH311" s="870"/>
      <c r="AI311" s="871"/>
      <c r="AJ311" s="867"/>
    </row>
    <row r="312" spans="1:38" ht="50.1" customHeight="1" outlineLevel="1">
      <c r="A312" s="59"/>
      <c r="B312" s="59"/>
      <c r="C312" s="59"/>
      <c r="D312" s="59"/>
      <c r="E312" s="59"/>
      <c r="F312" s="59"/>
      <c r="G312" s="55" t="s">
        <v>325</v>
      </c>
      <c r="K312" s="55" t="s">
        <v>261</v>
      </c>
      <c r="L312" s="55" t="s">
        <v>325</v>
      </c>
      <c r="X312" s="2723" t="s">
        <v>2966</v>
      </c>
      <c r="Y312" s="884" t="s">
        <v>2967</v>
      </c>
      <c r="Z312" s="763"/>
      <c r="AA312" s="763"/>
      <c r="AB312" s="749">
        <v>1</v>
      </c>
      <c r="AC312" s="749">
        <v>1</v>
      </c>
      <c r="AD312" s="763"/>
      <c r="AE312" s="885"/>
      <c r="AF312" s="869"/>
      <c r="AG312" s="870"/>
      <c r="AH312" s="870"/>
      <c r="AI312" s="871"/>
      <c r="AJ312" s="867"/>
    </row>
    <row r="313" spans="1:38" ht="50.1" customHeight="1" outlineLevel="1">
      <c r="A313" s="59"/>
      <c r="B313" s="59"/>
      <c r="C313" s="59"/>
      <c r="D313" s="59"/>
      <c r="E313" s="59"/>
      <c r="F313" s="59"/>
      <c r="G313" s="55" t="s">
        <v>325</v>
      </c>
      <c r="K313" s="55" t="s">
        <v>261</v>
      </c>
      <c r="L313" s="55" t="s">
        <v>325</v>
      </c>
      <c r="X313" s="2724" t="s">
        <v>2968</v>
      </c>
      <c r="Y313" s="884" t="s">
        <v>2969</v>
      </c>
      <c r="Z313" s="763"/>
      <c r="AA313" s="763"/>
      <c r="AB313" s="749">
        <v>2</v>
      </c>
      <c r="AC313" s="749">
        <v>1</v>
      </c>
      <c r="AD313" s="763"/>
      <c r="AE313" s="885"/>
      <c r="AF313" s="869"/>
      <c r="AG313" s="870"/>
      <c r="AH313" s="870"/>
      <c r="AI313" s="871"/>
      <c r="AJ313" s="867"/>
    </row>
    <row r="314" spans="1:38" ht="50.1" customHeight="1" outlineLevel="1">
      <c r="A314" s="59"/>
      <c r="B314" s="59"/>
      <c r="C314" s="59"/>
      <c r="D314" s="59"/>
      <c r="E314" s="59"/>
      <c r="F314" s="59"/>
      <c r="G314" s="55" t="s">
        <v>325</v>
      </c>
      <c r="K314" s="55" t="s">
        <v>261</v>
      </c>
      <c r="L314" s="55" t="s">
        <v>325</v>
      </c>
      <c r="X314" s="2725" t="s">
        <v>2970</v>
      </c>
      <c r="Y314" s="884" t="s">
        <v>2971</v>
      </c>
      <c r="Z314" s="763"/>
      <c r="AA314" s="763"/>
      <c r="AB314" s="749">
        <v>3</v>
      </c>
      <c r="AC314" s="749">
        <v>1</v>
      </c>
      <c r="AD314" s="763"/>
      <c r="AE314" s="885"/>
      <c r="AF314" s="869"/>
      <c r="AG314" s="870"/>
      <c r="AH314" s="870"/>
      <c r="AI314" s="871"/>
      <c r="AJ314" s="867"/>
    </row>
    <row r="315" spans="1:38" s="116" customFormat="1" ht="50.1" customHeight="1" outlineLevel="1">
      <c r="A315" s="175"/>
      <c r="B315" s="175"/>
      <c r="C315" s="175"/>
      <c r="D315" s="175"/>
      <c r="E315" s="175"/>
      <c r="F315" s="175"/>
      <c r="G315" s="238" t="s">
        <v>325</v>
      </c>
      <c r="H315" s="238"/>
      <c r="I315" s="238"/>
      <c r="J315" s="238"/>
      <c r="K315" s="238" t="s">
        <v>261</v>
      </c>
      <c r="L315" s="238" t="s">
        <v>325</v>
      </c>
      <c r="M315" s="238"/>
      <c r="N315" s="238"/>
      <c r="O315" s="238"/>
      <c r="P315" s="238"/>
      <c r="Q315" s="238"/>
      <c r="R315" s="238"/>
      <c r="S315" s="238"/>
      <c r="T315" s="238"/>
      <c r="U315" s="238"/>
      <c r="V315" s="238"/>
      <c r="W315" s="238"/>
      <c r="X315" s="2726" t="s">
        <v>2972</v>
      </c>
      <c r="Y315" s="886" t="s">
        <v>2973</v>
      </c>
      <c r="Z315" s="887"/>
      <c r="AA315" s="887"/>
      <c r="AB315" s="888">
        <v>4</v>
      </c>
      <c r="AC315" s="888">
        <v>1</v>
      </c>
      <c r="AD315" s="887"/>
      <c r="AE315" s="889"/>
      <c r="AF315" s="890"/>
      <c r="AG315" s="870"/>
      <c r="AH315" s="870"/>
      <c r="AI315" s="871"/>
      <c r="AJ315" s="867"/>
    </row>
    <row r="316" spans="1:38" s="493" customFormat="1" ht="50.1" customHeight="1" outlineLevel="1">
      <c r="A316" s="177"/>
      <c r="B316" s="177"/>
      <c r="C316" s="177"/>
      <c r="D316" s="177"/>
      <c r="E316" s="177"/>
      <c r="F316" s="177"/>
      <c r="G316" s="98"/>
      <c r="H316" s="98"/>
      <c r="I316" s="98"/>
      <c r="J316" s="98"/>
      <c r="K316" s="98"/>
      <c r="L316" s="98"/>
      <c r="M316" s="98"/>
      <c r="N316" s="98"/>
      <c r="O316" s="98"/>
      <c r="P316" s="98"/>
      <c r="Q316" s="98"/>
      <c r="R316" s="98"/>
      <c r="S316" s="98"/>
      <c r="T316" s="98"/>
      <c r="U316" s="98"/>
      <c r="V316" s="98"/>
      <c r="W316" s="98"/>
      <c r="X316" s="2727" t="s">
        <v>2974</v>
      </c>
      <c r="Y316" s="891" t="s">
        <v>2975</v>
      </c>
      <c r="Z316" s="892"/>
      <c r="AA316" s="892"/>
      <c r="AB316" s="893">
        <v>5</v>
      </c>
      <c r="AC316" s="893">
        <v>1</v>
      </c>
      <c r="AD316" s="892"/>
      <c r="AE316" s="894"/>
      <c r="AF316" s="878"/>
      <c r="AG316" s="879"/>
      <c r="AH316" s="879"/>
      <c r="AI316" s="880"/>
      <c r="AJ316" s="877"/>
      <c r="AK316" s="493" t="s">
        <v>2938</v>
      </c>
    </row>
    <row r="317" spans="1:38" s="493" customFormat="1" ht="50.1" customHeight="1" outlineLevel="1">
      <c r="A317" s="177"/>
      <c r="B317" s="177"/>
      <c r="C317" s="177"/>
      <c r="D317" s="177"/>
      <c r="E317" s="177"/>
      <c r="F317" s="177"/>
      <c r="G317" s="98"/>
      <c r="H317" s="98"/>
      <c r="I317" s="98"/>
      <c r="J317" s="98"/>
      <c r="K317" s="98"/>
      <c r="L317" s="98"/>
      <c r="M317" s="98"/>
      <c r="N317" s="98"/>
      <c r="O317" s="98"/>
      <c r="P317" s="98"/>
      <c r="Q317" s="98"/>
      <c r="R317" s="98"/>
      <c r="S317" s="98"/>
      <c r="T317" s="98"/>
      <c r="U317" s="98"/>
      <c r="V317" s="98"/>
      <c r="W317" s="98"/>
      <c r="X317" s="2728" t="s">
        <v>2976</v>
      </c>
      <c r="Y317" s="891" t="s">
        <v>2977</v>
      </c>
      <c r="Z317" s="892"/>
      <c r="AA317" s="892"/>
      <c r="AB317" s="893">
        <v>6</v>
      </c>
      <c r="AC317" s="893">
        <v>1</v>
      </c>
      <c r="AD317" s="892"/>
      <c r="AE317" s="894"/>
      <c r="AF317" s="878"/>
      <c r="AG317" s="879"/>
      <c r="AH317" s="879"/>
      <c r="AI317" s="880"/>
      <c r="AJ317" s="877"/>
      <c r="AK317" s="493" t="s">
        <v>2938</v>
      </c>
    </row>
    <row r="318" spans="1:38" ht="50.1" customHeight="1" outlineLevel="1">
      <c r="A318" s="59"/>
      <c r="B318" s="59"/>
      <c r="C318" s="59"/>
      <c r="D318" s="59"/>
      <c r="E318" s="59"/>
      <c r="F318" s="59"/>
      <c r="G318" s="55" t="s">
        <v>325</v>
      </c>
      <c r="K318" s="55" t="s">
        <v>261</v>
      </c>
      <c r="L318" s="55" t="s">
        <v>325</v>
      </c>
      <c r="X318" s="2729" t="s">
        <v>2978</v>
      </c>
      <c r="Y318" s="884" t="s">
        <v>2979</v>
      </c>
      <c r="Z318" s="763"/>
      <c r="AA318" s="763"/>
      <c r="AB318" s="749">
        <v>7</v>
      </c>
      <c r="AC318" s="749">
        <v>1</v>
      </c>
      <c r="AD318" s="763"/>
      <c r="AE318" s="885"/>
      <c r="AF318" s="869"/>
      <c r="AG318" s="870"/>
      <c r="AH318" s="870"/>
      <c r="AI318" s="871"/>
      <c r="AJ318" s="867"/>
    </row>
    <row r="319" spans="1:38" ht="50.1" customHeight="1" outlineLevel="1">
      <c r="A319" s="59"/>
      <c r="B319" s="59"/>
      <c r="C319" s="59"/>
      <c r="D319" s="59"/>
      <c r="E319" s="59"/>
      <c r="F319" s="59"/>
      <c r="G319" s="55" t="s">
        <v>325</v>
      </c>
      <c r="K319" s="55" t="s">
        <v>261</v>
      </c>
      <c r="L319" s="55" t="s">
        <v>325</v>
      </c>
      <c r="X319" s="2730" t="s">
        <v>2980</v>
      </c>
      <c r="Y319" s="884" t="s">
        <v>2981</v>
      </c>
      <c r="Z319" s="763"/>
      <c r="AA319" s="763"/>
      <c r="AB319" s="749">
        <v>8</v>
      </c>
      <c r="AC319" s="749">
        <v>1</v>
      </c>
      <c r="AD319" s="763"/>
      <c r="AE319" s="885"/>
      <c r="AF319" s="869"/>
      <c r="AG319" s="870"/>
      <c r="AH319" s="870"/>
      <c r="AI319" s="871"/>
      <c r="AJ319" s="867"/>
    </row>
    <row r="320" spans="1:38" ht="50.1" customHeight="1" outlineLevel="1">
      <c r="A320" s="59"/>
      <c r="B320" s="59"/>
      <c r="C320" s="59"/>
      <c r="D320" s="59"/>
      <c r="E320" s="59"/>
      <c r="F320" s="59"/>
      <c r="G320" s="55" t="s">
        <v>325</v>
      </c>
      <c r="K320" s="55" t="s">
        <v>261</v>
      </c>
      <c r="L320" s="55" t="s">
        <v>325</v>
      </c>
      <c r="X320" s="2731" t="s">
        <v>2982</v>
      </c>
      <c r="Y320" s="884" t="s">
        <v>2983</v>
      </c>
      <c r="Z320" s="763"/>
      <c r="AA320" s="763"/>
      <c r="AB320" s="749">
        <v>9</v>
      </c>
      <c r="AC320" s="749">
        <v>1</v>
      </c>
      <c r="AD320" s="763"/>
      <c r="AE320" s="885"/>
      <c r="AF320" s="869"/>
      <c r="AG320" s="870"/>
      <c r="AH320" s="870"/>
      <c r="AI320" s="871"/>
      <c r="AJ320" s="867"/>
    </row>
    <row r="321" spans="1:36" ht="50.1" customHeight="1" outlineLevel="1">
      <c r="A321" s="59"/>
      <c r="B321" s="59"/>
      <c r="C321" s="59"/>
      <c r="D321" s="59"/>
      <c r="E321" s="59"/>
      <c r="F321" s="59"/>
      <c r="G321" s="55" t="s">
        <v>325</v>
      </c>
      <c r="K321" s="55" t="s">
        <v>261</v>
      </c>
      <c r="L321" s="55" t="s">
        <v>325</v>
      </c>
      <c r="X321" s="2732" t="s">
        <v>2984</v>
      </c>
      <c r="Y321" s="884" t="s">
        <v>2985</v>
      </c>
      <c r="Z321" s="763"/>
      <c r="AA321" s="763"/>
      <c r="AB321" s="749">
        <v>10</v>
      </c>
      <c r="AC321" s="749">
        <v>1</v>
      </c>
      <c r="AD321" s="763"/>
      <c r="AE321" s="885"/>
      <c r="AF321" s="869"/>
      <c r="AG321" s="870"/>
      <c r="AH321" s="870"/>
      <c r="AI321" s="871"/>
      <c r="AJ321" s="867"/>
    </row>
    <row r="322" spans="1:36" ht="50.1" customHeight="1" outlineLevel="1">
      <c r="A322" s="59"/>
      <c r="B322" s="59"/>
      <c r="C322" s="59"/>
      <c r="D322" s="59"/>
      <c r="E322" s="59"/>
      <c r="F322" s="59"/>
      <c r="G322" s="55" t="s">
        <v>325</v>
      </c>
      <c r="K322" s="55" t="s">
        <v>261</v>
      </c>
      <c r="L322" s="55" t="s">
        <v>325</v>
      </c>
      <c r="X322" s="2733" t="s">
        <v>2986</v>
      </c>
      <c r="Y322" s="884" t="s">
        <v>2987</v>
      </c>
      <c r="Z322" s="763"/>
      <c r="AA322" s="763"/>
      <c r="AB322" s="749">
        <v>11</v>
      </c>
      <c r="AC322" s="749">
        <v>1</v>
      </c>
      <c r="AD322" s="763"/>
      <c r="AE322" s="885"/>
      <c r="AF322" s="869"/>
      <c r="AG322" s="870"/>
      <c r="AH322" s="870"/>
      <c r="AI322" s="871"/>
      <c r="AJ322" s="867"/>
    </row>
    <row r="323" spans="1:36" ht="50.1" customHeight="1" outlineLevel="1">
      <c r="A323" s="59"/>
      <c r="B323" s="59"/>
      <c r="C323" s="59"/>
      <c r="D323" s="59"/>
      <c r="E323" s="59"/>
      <c r="F323" s="59"/>
      <c r="G323" s="55" t="s">
        <v>325</v>
      </c>
      <c r="K323" s="55" t="s">
        <v>261</v>
      </c>
      <c r="L323" s="55" t="s">
        <v>325</v>
      </c>
      <c r="X323" s="2734" t="s">
        <v>2988</v>
      </c>
      <c r="Y323" s="884" t="s">
        <v>2989</v>
      </c>
      <c r="Z323" s="763"/>
      <c r="AA323" s="763"/>
      <c r="AB323" s="749">
        <v>12</v>
      </c>
      <c r="AC323" s="749">
        <v>1</v>
      </c>
      <c r="AD323" s="763"/>
      <c r="AE323" s="885"/>
      <c r="AF323" s="869"/>
      <c r="AG323" s="870"/>
      <c r="AH323" s="870"/>
      <c r="AI323" s="871"/>
      <c r="AJ323" s="867"/>
    </row>
    <row r="324" spans="1:36" ht="50.1" customHeight="1" outlineLevel="1">
      <c r="A324" s="59"/>
      <c r="B324" s="59"/>
      <c r="C324" s="59"/>
      <c r="D324" s="59"/>
      <c r="E324" s="59"/>
      <c r="F324" s="59"/>
      <c r="G324" s="55" t="s">
        <v>325</v>
      </c>
      <c r="K324" s="55" t="s">
        <v>261</v>
      </c>
      <c r="L324" s="55" t="s">
        <v>325</v>
      </c>
      <c r="X324" s="2735" t="s">
        <v>2990</v>
      </c>
      <c r="Y324" s="884" t="s">
        <v>2991</v>
      </c>
      <c r="Z324" s="763"/>
      <c r="AA324" s="763"/>
      <c r="AB324" s="749">
        <v>13</v>
      </c>
      <c r="AC324" s="749">
        <v>1</v>
      </c>
      <c r="AD324" s="763"/>
      <c r="AE324" s="885"/>
      <c r="AF324" s="869"/>
      <c r="AG324" s="870"/>
      <c r="AH324" s="870"/>
      <c r="AI324" s="871"/>
      <c r="AJ324" s="867"/>
    </row>
    <row r="325" spans="1:36" ht="50.1" customHeight="1" outlineLevel="1">
      <c r="A325" s="59"/>
      <c r="B325" s="59"/>
      <c r="C325" s="59"/>
      <c r="D325" s="59"/>
      <c r="E325" s="59"/>
      <c r="F325" s="59"/>
      <c r="G325" s="55" t="s">
        <v>325</v>
      </c>
      <c r="K325" s="55" t="s">
        <v>261</v>
      </c>
      <c r="L325" s="55" t="s">
        <v>325</v>
      </c>
      <c r="X325" s="2736" t="s">
        <v>2992</v>
      </c>
      <c r="Y325" s="884" t="s">
        <v>2993</v>
      </c>
      <c r="Z325" s="763"/>
      <c r="AA325" s="763"/>
      <c r="AB325" s="749">
        <v>14</v>
      </c>
      <c r="AC325" s="749">
        <v>1</v>
      </c>
      <c r="AD325" s="763"/>
      <c r="AE325" s="885"/>
      <c r="AF325" s="869"/>
      <c r="AG325" s="870"/>
      <c r="AH325" s="870"/>
      <c r="AI325" s="871"/>
      <c r="AJ325" s="867"/>
    </row>
    <row r="326" spans="1:36" ht="50.1" customHeight="1" outlineLevel="1">
      <c r="A326" s="59"/>
      <c r="B326" s="59"/>
      <c r="C326" s="59"/>
      <c r="D326" s="59"/>
      <c r="E326" s="59"/>
      <c r="F326" s="59"/>
      <c r="G326" s="55" t="s">
        <v>325</v>
      </c>
      <c r="K326" s="55" t="s">
        <v>261</v>
      </c>
      <c r="L326" s="55" t="s">
        <v>325</v>
      </c>
      <c r="X326" s="2737" t="s">
        <v>2994</v>
      </c>
      <c r="Y326" s="884" t="s">
        <v>2995</v>
      </c>
      <c r="Z326" s="763"/>
      <c r="AA326" s="763"/>
      <c r="AB326" s="749">
        <v>15</v>
      </c>
      <c r="AC326" s="749">
        <v>1</v>
      </c>
      <c r="AD326" s="763"/>
      <c r="AE326" s="885"/>
      <c r="AF326" s="869"/>
      <c r="AG326" s="870"/>
      <c r="AH326" s="870"/>
      <c r="AI326" s="871"/>
      <c r="AJ326" s="867"/>
    </row>
    <row r="327" spans="1:36" ht="50.1" customHeight="1" outlineLevel="1">
      <c r="A327" s="59"/>
      <c r="B327" s="59"/>
      <c r="C327" s="59"/>
      <c r="D327" s="59"/>
      <c r="E327" s="59"/>
      <c r="F327" s="59"/>
      <c r="G327" s="55" t="s">
        <v>325</v>
      </c>
      <c r="K327" s="55" t="s">
        <v>261</v>
      </c>
      <c r="L327" s="55" t="s">
        <v>325</v>
      </c>
      <c r="X327" s="2738" t="s">
        <v>2996</v>
      </c>
      <c r="Y327" s="884" t="s">
        <v>2997</v>
      </c>
      <c r="Z327" s="763"/>
      <c r="AA327" s="763"/>
      <c r="AB327" s="749">
        <v>16</v>
      </c>
      <c r="AC327" s="749">
        <v>1</v>
      </c>
      <c r="AD327" s="763"/>
      <c r="AE327" s="885"/>
      <c r="AF327" s="869"/>
      <c r="AG327" s="870"/>
      <c r="AH327" s="870"/>
      <c r="AI327" s="871"/>
      <c r="AJ327" s="867"/>
    </row>
    <row r="328" spans="1:36" ht="50.1" customHeight="1" outlineLevel="1">
      <c r="A328" s="59"/>
      <c r="B328" s="59"/>
      <c r="C328" s="59"/>
      <c r="D328" s="59"/>
      <c r="E328" s="59"/>
      <c r="F328" s="59"/>
      <c r="G328" s="55" t="s">
        <v>325</v>
      </c>
      <c r="K328" s="55" t="s">
        <v>261</v>
      </c>
      <c r="L328" s="55" t="s">
        <v>325</v>
      </c>
      <c r="X328" s="2739" t="s">
        <v>2998</v>
      </c>
      <c r="Y328" s="884" t="s">
        <v>2999</v>
      </c>
      <c r="Z328" s="763"/>
      <c r="AA328" s="763"/>
      <c r="AB328" s="749">
        <v>17</v>
      </c>
      <c r="AC328" s="749">
        <v>1</v>
      </c>
      <c r="AD328" s="763"/>
      <c r="AE328" s="885"/>
      <c r="AF328" s="869"/>
      <c r="AG328" s="870"/>
      <c r="AH328" s="870"/>
      <c r="AI328" s="871"/>
      <c r="AJ328" s="867"/>
    </row>
    <row r="329" spans="1:36" ht="50.1" customHeight="1" outlineLevel="1">
      <c r="A329" s="59"/>
      <c r="B329" s="59"/>
      <c r="C329" s="59"/>
      <c r="D329" s="59"/>
      <c r="E329" s="59"/>
      <c r="F329" s="59"/>
      <c r="G329" s="55" t="s">
        <v>325</v>
      </c>
      <c r="K329" s="55" t="s">
        <v>261</v>
      </c>
      <c r="L329" s="55" t="s">
        <v>325</v>
      </c>
      <c r="X329" s="2740" t="s">
        <v>3000</v>
      </c>
      <c r="Y329" s="884" t="s">
        <v>3001</v>
      </c>
      <c r="Z329" s="763"/>
      <c r="AA329" s="763"/>
      <c r="AB329" s="749">
        <v>18</v>
      </c>
      <c r="AC329" s="749">
        <v>1</v>
      </c>
      <c r="AD329" s="763"/>
      <c r="AE329" s="885"/>
      <c r="AF329" s="869"/>
      <c r="AG329" s="870"/>
      <c r="AH329" s="870"/>
      <c r="AI329" s="871"/>
      <c r="AJ329" s="867"/>
    </row>
    <row r="330" spans="1:36" ht="50.1" customHeight="1" outlineLevel="1">
      <c r="A330" s="59"/>
      <c r="B330" s="59"/>
      <c r="C330" s="59"/>
      <c r="D330" s="59"/>
      <c r="E330" s="59"/>
      <c r="F330" s="59"/>
      <c r="G330" s="55" t="s">
        <v>325</v>
      </c>
      <c r="K330" s="55" t="s">
        <v>261</v>
      </c>
      <c r="L330" s="55" t="s">
        <v>325</v>
      </c>
      <c r="X330" s="2741" t="s">
        <v>3002</v>
      </c>
      <c r="Y330" s="884" t="s">
        <v>3003</v>
      </c>
      <c r="Z330" s="763"/>
      <c r="AA330" s="763"/>
      <c r="AB330" s="749">
        <v>19</v>
      </c>
      <c r="AC330" s="749">
        <v>1</v>
      </c>
      <c r="AD330" s="763"/>
      <c r="AE330" s="885"/>
      <c r="AF330" s="869"/>
      <c r="AG330" s="870"/>
      <c r="AH330" s="870"/>
      <c r="AI330" s="871"/>
      <c r="AJ330" s="867"/>
    </row>
    <row r="331" spans="1:36" ht="50.1" customHeight="1" outlineLevel="1">
      <c r="A331" s="59"/>
      <c r="B331" s="59"/>
      <c r="C331" s="59"/>
      <c r="D331" s="59"/>
      <c r="E331" s="59"/>
      <c r="F331" s="59"/>
      <c r="G331" s="55" t="s">
        <v>325</v>
      </c>
      <c r="K331" s="55" t="s">
        <v>261</v>
      </c>
      <c r="L331" s="55" t="s">
        <v>325</v>
      </c>
      <c r="X331" s="2742" t="s">
        <v>3004</v>
      </c>
      <c r="Y331" s="884" t="s">
        <v>3005</v>
      </c>
      <c r="Z331" s="763"/>
      <c r="AA331" s="763"/>
      <c r="AB331" s="749">
        <v>20</v>
      </c>
      <c r="AC331" s="749">
        <v>1</v>
      </c>
      <c r="AD331" s="763"/>
      <c r="AE331" s="885"/>
      <c r="AF331" s="869"/>
      <c r="AG331" s="870"/>
      <c r="AH331" s="870"/>
      <c r="AI331" s="871"/>
      <c r="AJ331" s="867"/>
    </row>
    <row r="332" spans="1:36" ht="50.1" customHeight="1" outlineLevel="1">
      <c r="A332" s="59"/>
      <c r="B332" s="59"/>
      <c r="C332" s="59"/>
      <c r="D332" s="59"/>
      <c r="E332" s="59"/>
      <c r="F332" s="59"/>
      <c r="G332" s="55" t="s">
        <v>325</v>
      </c>
      <c r="K332" s="55" t="s">
        <v>261</v>
      </c>
      <c r="L332" s="55" t="s">
        <v>325</v>
      </c>
      <c r="X332" s="2743" t="s">
        <v>3006</v>
      </c>
      <c r="Y332" s="884" t="s">
        <v>3007</v>
      </c>
      <c r="Z332" s="763"/>
      <c r="AA332" s="763"/>
      <c r="AB332" s="749">
        <v>21</v>
      </c>
      <c r="AC332" s="749">
        <v>1</v>
      </c>
      <c r="AD332" s="763"/>
      <c r="AE332" s="885"/>
      <c r="AF332" s="869"/>
      <c r="AG332" s="870"/>
      <c r="AH332" s="870"/>
      <c r="AI332" s="871"/>
      <c r="AJ332" s="867"/>
    </row>
    <row r="333" spans="1:36" ht="50.1" customHeight="1" outlineLevel="1">
      <c r="A333" s="59"/>
      <c r="B333" s="59"/>
      <c r="C333" s="59"/>
      <c r="D333" s="59"/>
      <c r="E333" s="59"/>
      <c r="F333" s="59"/>
      <c r="G333" s="55" t="s">
        <v>325</v>
      </c>
      <c r="K333" s="55" t="s">
        <v>261</v>
      </c>
      <c r="L333" s="55" t="s">
        <v>325</v>
      </c>
      <c r="X333" s="2744" t="s">
        <v>3008</v>
      </c>
      <c r="Y333" s="884" t="s">
        <v>3009</v>
      </c>
      <c r="Z333" s="763"/>
      <c r="AA333" s="763"/>
      <c r="AB333" s="749">
        <v>22</v>
      </c>
      <c r="AC333" s="749">
        <v>1</v>
      </c>
      <c r="AD333" s="763"/>
      <c r="AE333" s="885"/>
      <c r="AF333" s="869"/>
      <c r="AG333" s="870"/>
      <c r="AH333" s="870"/>
      <c r="AI333" s="871"/>
      <c r="AJ333" s="867"/>
    </row>
    <row r="334" spans="1:36" ht="50.1" customHeight="1" outlineLevel="1">
      <c r="A334" s="59"/>
      <c r="B334" s="59"/>
      <c r="C334" s="59"/>
      <c r="D334" s="59"/>
      <c r="E334" s="59"/>
      <c r="F334" s="59"/>
      <c r="G334" s="55" t="s">
        <v>325</v>
      </c>
      <c r="K334" s="55" t="s">
        <v>261</v>
      </c>
      <c r="L334" s="55" t="s">
        <v>325</v>
      </c>
      <c r="X334" s="2745" t="s">
        <v>3010</v>
      </c>
      <c r="Y334" s="886" t="s">
        <v>3011</v>
      </c>
      <c r="Z334" s="763"/>
      <c r="AA334" s="763"/>
      <c r="AB334" s="749">
        <v>23</v>
      </c>
      <c r="AC334" s="749">
        <v>1</v>
      </c>
      <c r="AD334" s="763"/>
      <c r="AE334" s="885"/>
      <c r="AF334" s="869"/>
      <c r="AG334" s="870"/>
      <c r="AH334" s="870"/>
      <c r="AI334" s="871"/>
      <c r="AJ334" s="867"/>
    </row>
    <row r="335" spans="1:36" ht="50.1" customHeight="1" outlineLevel="1">
      <c r="A335" s="59"/>
      <c r="B335" s="59"/>
      <c r="C335" s="59"/>
      <c r="D335" s="59"/>
      <c r="E335" s="59"/>
      <c r="F335" s="59"/>
      <c r="G335" s="55" t="s">
        <v>325</v>
      </c>
      <c r="K335" s="55" t="s">
        <v>261</v>
      </c>
      <c r="L335" s="55" t="s">
        <v>325</v>
      </c>
      <c r="X335" s="2746" t="s">
        <v>3012</v>
      </c>
      <c r="Y335" s="884" t="s">
        <v>3013</v>
      </c>
      <c r="Z335" s="763"/>
      <c r="AA335" s="763"/>
      <c r="AB335" s="749">
        <v>24</v>
      </c>
      <c r="AC335" s="749">
        <v>1</v>
      </c>
      <c r="AD335" s="763"/>
      <c r="AE335" s="885"/>
      <c r="AF335" s="869"/>
      <c r="AG335" s="870"/>
      <c r="AH335" s="870"/>
      <c r="AI335" s="871"/>
      <c r="AJ335" s="867"/>
    </row>
    <row r="336" spans="1:36" ht="50.1" customHeight="1" outlineLevel="1">
      <c r="A336" s="59"/>
      <c r="B336" s="59"/>
      <c r="C336" s="59"/>
      <c r="D336" s="59"/>
      <c r="E336" s="59"/>
      <c r="F336" s="59"/>
      <c r="G336" s="55" t="s">
        <v>325</v>
      </c>
      <c r="K336" s="55" t="s">
        <v>261</v>
      </c>
      <c r="L336" s="55" t="s">
        <v>325</v>
      </c>
      <c r="X336" s="2747" t="s">
        <v>3014</v>
      </c>
      <c r="Y336" s="884" t="s">
        <v>3015</v>
      </c>
      <c r="Z336" s="763"/>
      <c r="AA336" s="763"/>
      <c r="AB336" s="749">
        <v>25</v>
      </c>
      <c r="AC336" s="749">
        <v>1</v>
      </c>
      <c r="AD336" s="763"/>
      <c r="AE336" s="885"/>
      <c r="AF336" s="869"/>
      <c r="AG336" s="870"/>
      <c r="AH336" s="870"/>
      <c r="AI336" s="871"/>
      <c r="AJ336" s="867"/>
    </row>
    <row r="337" spans="1:36" ht="50.1" customHeight="1" outlineLevel="1">
      <c r="A337" s="59"/>
      <c r="B337" s="59"/>
      <c r="C337" s="59"/>
      <c r="D337" s="59"/>
      <c r="E337" s="59"/>
      <c r="F337" s="59"/>
      <c r="G337" s="55" t="s">
        <v>325</v>
      </c>
      <c r="K337" s="55" t="s">
        <v>261</v>
      </c>
      <c r="L337" s="55" t="s">
        <v>325</v>
      </c>
      <c r="X337" s="2748" t="s">
        <v>3016</v>
      </c>
      <c r="Y337" s="884" t="s">
        <v>3017</v>
      </c>
      <c r="Z337" s="763"/>
      <c r="AA337" s="763"/>
      <c r="AB337" s="749">
        <v>26</v>
      </c>
      <c r="AC337" s="749">
        <v>1</v>
      </c>
      <c r="AD337" s="763"/>
      <c r="AE337" s="885"/>
      <c r="AF337" s="869"/>
      <c r="AG337" s="870"/>
      <c r="AH337" s="870"/>
      <c r="AI337" s="871"/>
      <c r="AJ337" s="867"/>
    </row>
    <row r="338" spans="1:36" ht="50.1" customHeight="1" outlineLevel="1">
      <c r="A338" s="59"/>
      <c r="B338" s="59"/>
      <c r="C338" s="59"/>
      <c r="D338" s="59"/>
      <c r="E338" s="59"/>
      <c r="F338" s="59"/>
      <c r="G338" s="55" t="s">
        <v>325</v>
      </c>
      <c r="K338" s="55" t="s">
        <v>261</v>
      </c>
      <c r="L338" s="55" t="s">
        <v>325</v>
      </c>
      <c r="X338" s="2749" t="s">
        <v>3018</v>
      </c>
      <c r="Y338" s="884" t="s">
        <v>3019</v>
      </c>
      <c r="Z338" s="763"/>
      <c r="AA338" s="763"/>
      <c r="AB338" s="749">
        <v>27</v>
      </c>
      <c r="AC338" s="749">
        <v>1</v>
      </c>
      <c r="AD338" s="763"/>
      <c r="AE338" s="885"/>
      <c r="AF338" s="869"/>
      <c r="AG338" s="870"/>
      <c r="AH338" s="870"/>
      <c r="AI338" s="871"/>
      <c r="AJ338" s="867"/>
    </row>
    <row r="339" spans="1:36" ht="50.1" customHeight="1" outlineLevel="1">
      <c r="A339" s="59"/>
      <c r="B339" s="59"/>
      <c r="C339" s="59"/>
      <c r="D339" s="59"/>
      <c r="E339" s="59"/>
      <c r="F339" s="59"/>
      <c r="G339" s="55" t="s">
        <v>325</v>
      </c>
      <c r="K339" s="55" t="s">
        <v>261</v>
      </c>
      <c r="L339" s="55" t="s">
        <v>325</v>
      </c>
      <c r="X339" s="2750" t="s">
        <v>3020</v>
      </c>
      <c r="Y339" s="884" t="s">
        <v>3021</v>
      </c>
      <c r="Z339" s="763"/>
      <c r="AA339" s="763"/>
      <c r="AB339" s="749">
        <v>28</v>
      </c>
      <c r="AC339" s="749">
        <v>1</v>
      </c>
      <c r="AD339" s="763"/>
      <c r="AE339" s="885"/>
      <c r="AF339" s="869"/>
      <c r="AG339" s="870"/>
      <c r="AH339" s="870"/>
      <c r="AI339" s="871"/>
      <c r="AJ339" s="867"/>
    </row>
    <row r="340" spans="1:36" ht="50.1" customHeight="1" outlineLevel="1">
      <c r="A340" s="59"/>
      <c r="B340" s="59"/>
      <c r="C340" s="59"/>
      <c r="D340" s="59"/>
      <c r="E340" s="59"/>
      <c r="F340" s="59"/>
      <c r="G340" s="55" t="s">
        <v>325</v>
      </c>
      <c r="K340" s="55" t="s">
        <v>261</v>
      </c>
      <c r="L340" s="55" t="s">
        <v>325</v>
      </c>
      <c r="X340" s="2751" t="s">
        <v>3022</v>
      </c>
      <c r="Y340" s="884" t="s">
        <v>3023</v>
      </c>
      <c r="Z340" s="763"/>
      <c r="AA340" s="763"/>
      <c r="AB340" s="749">
        <v>29</v>
      </c>
      <c r="AC340" s="749">
        <v>1</v>
      </c>
      <c r="AD340" s="763"/>
      <c r="AE340" s="885"/>
      <c r="AF340" s="869"/>
      <c r="AG340" s="870"/>
      <c r="AH340" s="870"/>
      <c r="AI340" s="871"/>
      <c r="AJ340" s="867"/>
    </row>
    <row r="341" spans="1:36" ht="50.1" customHeight="1" outlineLevel="1">
      <c r="A341" s="59"/>
      <c r="B341" s="59"/>
      <c r="C341" s="59"/>
      <c r="D341" s="59"/>
      <c r="E341" s="59"/>
      <c r="F341" s="59"/>
      <c r="G341" s="55" t="s">
        <v>325</v>
      </c>
      <c r="K341" s="55" t="s">
        <v>261</v>
      </c>
      <c r="L341" s="55" t="s">
        <v>325</v>
      </c>
      <c r="X341" s="2752" t="s">
        <v>3024</v>
      </c>
      <c r="Y341" s="884" t="s">
        <v>3025</v>
      </c>
      <c r="Z341" s="763"/>
      <c r="AA341" s="763"/>
      <c r="AB341" s="749">
        <v>30</v>
      </c>
      <c r="AC341" s="749">
        <v>1</v>
      </c>
      <c r="AD341" s="763"/>
      <c r="AE341" s="885"/>
      <c r="AF341" s="869"/>
      <c r="AG341" s="870"/>
      <c r="AH341" s="870"/>
      <c r="AI341" s="871"/>
      <c r="AJ341" s="867"/>
    </row>
    <row r="342" spans="1:36" ht="50.1" customHeight="1" outlineLevel="1">
      <c r="A342" s="59"/>
      <c r="B342" s="59"/>
      <c r="C342" s="59"/>
      <c r="D342" s="59"/>
      <c r="E342" s="59"/>
      <c r="F342" s="59"/>
      <c r="G342" s="55" t="s">
        <v>325</v>
      </c>
      <c r="K342" s="55" t="s">
        <v>261</v>
      </c>
      <c r="L342" s="55" t="s">
        <v>325</v>
      </c>
      <c r="X342" s="2753" t="s">
        <v>3026</v>
      </c>
      <c r="Y342" s="884" t="s">
        <v>3027</v>
      </c>
      <c r="Z342" s="763"/>
      <c r="AA342" s="763"/>
      <c r="AB342" s="749">
        <v>31</v>
      </c>
      <c r="AC342" s="749">
        <v>1</v>
      </c>
      <c r="AD342" s="763"/>
      <c r="AE342" s="885"/>
      <c r="AF342" s="869"/>
      <c r="AG342" s="870"/>
      <c r="AH342" s="870"/>
      <c r="AI342" s="871"/>
      <c r="AJ342" s="867"/>
    </row>
    <row r="343" spans="1:36" ht="50.1" customHeight="1" outlineLevel="1">
      <c r="A343" s="59"/>
      <c r="B343" s="59"/>
      <c r="C343" s="59"/>
      <c r="D343" s="59"/>
      <c r="E343" s="59"/>
      <c r="F343" s="59"/>
      <c r="G343" s="55" t="s">
        <v>325</v>
      </c>
      <c r="K343" s="55" t="s">
        <v>261</v>
      </c>
      <c r="L343" s="55" t="s">
        <v>325</v>
      </c>
      <c r="X343" s="2754" t="s">
        <v>3028</v>
      </c>
      <c r="Y343" s="884" t="s">
        <v>3029</v>
      </c>
      <c r="Z343" s="763"/>
      <c r="AA343" s="763"/>
      <c r="AB343" s="749">
        <v>32</v>
      </c>
      <c r="AC343" s="749">
        <v>1</v>
      </c>
      <c r="AD343" s="763"/>
      <c r="AE343" s="885"/>
      <c r="AF343" s="869"/>
      <c r="AG343" s="870"/>
      <c r="AH343" s="870"/>
      <c r="AI343" s="871"/>
      <c r="AJ343" s="867"/>
    </row>
    <row r="344" spans="1:36" ht="50.1" customHeight="1" outlineLevel="1">
      <c r="A344" s="59"/>
      <c r="B344" s="59"/>
      <c r="C344" s="59"/>
      <c r="D344" s="59"/>
      <c r="E344" s="59"/>
      <c r="F344" s="59"/>
      <c r="G344" s="55" t="s">
        <v>325</v>
      </c>
      <c r="K344" s="55" t="s">
        <v>261</v>
      </c>
      <c r="L344" s="55" t="s">
        <v>325</v>
      </c>
      <c r="X344" s="2755" t="s">
        <v>3030</v>
      </c>
      <c r="Y344" s="884" t="s">
        <v>3031</v>
      </c>
      <c r="Z344" s="763"/>
      <c r="AA344" s="763"/>
      <c r="AB344" s="749">
        <v>33</v>
      </c>
      <c r="AC344" s="749">
        <v>1</v>
      </c>
      <c r="AD344" s="763"/>
      <c r="AE344" s="885"/>
      <c r="AF344" s="869"/>
      <c r="AG344" s="870"/>
      <c r="AH344" s="870"/>
      <c r="AI344" s="871"/>
      <c r="AJ344" s="867"/>
    </row>
    <row r="345" spans="1:36" ht="50.1" customHeight="1" outlineLevel="1">
      <c r="A345" s="59"/>
      <c r="B345" s="59"/>
      <c r="C345" s="59"/>
      <c r="D345" s="59"/>
      <c r="E345" s="59"/>
      <c r="F345" s="59"/>
      <c r="G345" s="55" t="s">
        <v>325</v>
      </c>
      <c r="K345" s="55" t="s">
        <v>261</v>
      </c>
      <c r="L345" s="55" t="s">
        <v>325</v>
      </c>
      <c r="X345" s="2756" t="s">
        <v>3032</v>
      </c>
      <c r="Y345" s="884" t="s">
        <v>3033</v>
      </c>
      <c r="Z345" s="763"/>
      <c r="AA345" s="763"/>
      <c r="AB345" s="749">
        <v>34</v>
      </c>
      <c r="AC345" s="749">
        <v>1</v>
      </c>
      <c r="AD345" s="763"/>
      <c r="AE345" s="885"/>
      <c r="AF345" s="869"/>
      <c r="AG345" s="870"/>
      <c r="AH345" s="870"/>
      <c r="AI345" s="871"/>
      <c r="AJ345" s="867"/>
    </row>
    <row r="346" spans="1:36" ht="50.1" customHeight="1" outlineLevel="1">
      <c r="A346" s="59"/>
      <c r="B346" s="59"/>
      <c r="C346" s="59"/>
      <c r="D346" s="59"/>
      <c r="E346" s="59"/>
      <c r="F346" s="59"/>
      <c r="G346" s="55" t="s">
        <v>325</v>
      </c>
      <c r="K346" s="55" t="s">
        <v>261</v>
      </c>
      <c r="L346" s="55" t="s">
        <v>325</v>
      </c>
      <c r="X346" s="2757" t="s">
        <v>3034</v>
      </c>
      <c r="Y346" s="884" t="s">
        <v>3035</v>
      </c>
      <c r="Z346" s="763"/>
      <c r="AA346" s="763"/>
      <c r="AB346" s="749">
        <v>35</v>
      </c>
      <c r="AC346" s="749">
        <v>1</v>
      </c>
      <c r="AD346" s="763"/>
      <c r="AE346" s="885"/>
      <c r="AF346" s="869"/>
      <c r="AG346" s="870"/>
      <c r="AH346" s="870"/>
      <c r="AI346" s="871"/>
      <c r="AJ346" s="867"/>
    </row>
    <row r="347" spans="1:36" ht="50.1" customHeight="1" outlineLevel="1">
      <c r="A347" s="59"/>
      <c r="B347" s="59"/>
      <c r="C347" s="59"/>
      <c r="D347" s="59"/>
      <c r="E347" s="59"/>
      <c r="F347" s="59"/>
      <c r="G347" s="55" t="s">
        <v>325</v>
      </c>
      <c r="K347" s="55" t="s">
        <v>261</v>
      </c>
      <c r="L347" s="55" t="s">
        <v>325</v>
      </c>
      <c r="X347" s="2758" t="s">
        <v>3036</v>
      </c>
      <c r="Y347" s="884" t="s">
        <v>3037</v>
      </c>
      <c r="Z347" s="763"/>
      <c r="AA347" s="763"/>
      <c r="AB347" s="749">
        <v>36</v>
      </c>
      <c r="AC347" s="749">
        <v>1</v>
      </c>
      <c r="AD347" s="763"/>
      <c r="AE347" s="885"/>
      <c r="AF347" s="869"/>
      <c r="AG347" s="870"/>
      <c r="AH347" s="870"/>
      <c r="AI347" s="871"/>
      <c r="AJ347" s="867"/>
    </row>
    <row r="348" spans="1:36" ht="50.1" customHeight="1" outlineLevel="1">
      <c r="A348" s="59"/>
      <c r="B348" s="59"/>
      <c r="C348" s="59"/>
      <c r="D348" s="59"/>
      <c r="E348" s="59"/>
      <c r="F348" s="59"/>
      <c r="G348" s="55" t="s">
        <v>325</v>
      </c>
      <c r="K348" s="55" t="s">
        <v>261</v>
      </c>
      <c r="L348" s="55" t="s">
        <v>325</v>
      </c>
      <c r="X348" s="2759" t="s">
        <v>3038</v>
      </c>
      <c r="Y348" s="884" t="s">
        <v>3039</v>
      </c>
      <c r="Z348" s="763"/>
      <c r="AA348" s="763"/>
      <c r="AB348" s="749">
        <v>37</v>
      </c>
      <c r="AC348" s="749">
        <v>1</v>
      </c>
      <c r="AD348" s="763"/>
      <c r="AE348" s="885"/>
      <c r="AF348" s="869"/>
      <c r="AG348" s="870"/>
      <c r="AH348" s="870"/>
      <c r="AI348" s="871"/>
      <c r="AJ348" s="867"/>
    </row>
    <row r="349" spans="1:36" ht="50.1" customHeight="1" outlineLevel="1">
      <c r="A349" s="59"/>
      <c r="B349" s="59"/>
      <c r="C349" s="59"/>
      <c r="D349" s="59"/>
      <c r="E349" s="59"/>
      <c r="F349" s="59"/>
      <c r="G349" s="55" t="s">
        <v>325</v>
      </c>
      <c r="K349" s="55" t="s">
        <v>261</v>
      </c>
      <c r="L349" s="55" t="s">
        <v>325</v>
      </c>
      <c r="X349" s="2760" t="s">
        <v>3040</v>
      </c>
      <c r="Y349" s="884" t="s">
        <v>3041</v>
      </c>
      <c r="Z349" s="763"/>
      <c r="AA349" s="763"/>
      <c r="AB349" s="749">
        <v>38</v>
      </c>
      <c r="AC349" s="749">
        <v>1</v>
      </c>
      <c r="AD349" s="763"/>
      <c r="AE349" s="885"/>
      <c r="AF349" s="869"/>
      <c r="AG349" s="870"/>
      <c r="AH349" s="870"/>
      <c r="AI349" s="871"/>
      <c r="AJ349" s="867"/>
    </row>
    <row r="350" spans="1:36" ht="50.1" customHeight="1" outlineLevel="1">
      <c r="A350" s="59"/>
      <c r="B350" s="59"/>
      <c r="C350" s="59"/>
      <c r="D350" s="59"/>
      <c r="E350" s="59"/>
      <c r="F350" s="59"/>
      <c r="G350" s="55" t="s">
        <v>325</v>
      </c>
      <c r="K350" s="55" t="s">
        <v>261</v>
      </c>
      <c r="L350" s="55" t="s">
        <v>325</v>
      </c>
      <c r="X350" s="2761" t="s">
        <v>3042</v>
      </c>
      <c r="Y350" s="884" t="s">
        <v>3043</v>
      </c>
      <c r="Z350" s="763"/>
      <c r="AA350" s="763"/>
      <c r="AB350" s="749">
        <v>39</v>
      </c>
      <c r="AC350" s="749">
        <v>1</v>
      </c>
      <c r="AD350" s="763"/>
      <c r="AE350" s="885"/>
      <c r="AF350" s="869"/>
      <c r="AG350" s="870"/>
      <c r="AH350" s="870"/>
      <c r="AI350" s="871"/>
      <c r="AJ350" s="867"/>
    </row>
    <row r="351" spans="1:36" ht="50.1" customHeight="1" outlineLevel="1">
      <c r="A351" s="59"/>
      <c r="B351" s="59"/>
      <c r="C351" s="59"/>
      <c r="D351" s="59"/>
      <c r="E351" s="59"/>
      <c r="F351" s="59"/>
      <c r="G351" s="55" t="s">
        <v>325</v>
      </c>
      <c r="K351" s="55" t="s">
        <v>261</v>
      </c>
      <c r="L351" s="55" t="s">
        <v>325</v>
      </c>
      <c r="X351" s="2762" t="s">
        <v>3044</v>
      </c>
      <c r="Y351" s="884" t="s">
        <v>3045</v>
      </c>
      <c r="Z351" s="763"/>
      <c r="AA351" s="763"/>
      <c r="AB351" s="749">
        <v>40</v>
      </c>
      <c r="AC351" s="749">
        <v>1</v>
      </c>
      <c r="AD351" s="763"/>
      <c r="AE351" s="885"/>
      <c r="AF351" s="869"/>
      <c r="AG351" s="870"/>
      <c r="AH351" s="870"/>
      <c r="AI351" s="871"/>
      <c r="AJ351" s="867"/>
    </row>
    <row r="352" spans="1:36" ht="50.1" customHeight="1" outlineLevel="1">
      <c r="A352" s="59"/>
      <c r="B352" s="59"/>
      <c r="C352" s="59"/>
      <c r="D352" s="59"/>
      <c r="E352" s="59"/>
      <c r="F352" s="59"/>
      <c r="G352" s="55" t="s">
        <v>325</v>
      </c>
      <c r="K352" s="55" t="s">
        <v>261</v>
      </c>
      <c r="L352" s="55" t="s">
        <v>325</v>
      </c>
      <c r="X352" s="2763" t="s">
        <v>3046</v>
      </c>
      <c r="Y352" s="884" t="s">
        <v>3047</v>
      </c>
      <c r="Z352" s="763"/>
      <c r="AA352" s="763"/>
      <c r="AB352" s="749">
        <v>41</v>
      </c>
      <c r="AC352" s="749">
        <v>1</v>
      </c>
      <c r="AD352" s="763"/>
      <c r="AE352" s="885"/>
      <c r="AF352" s="869"/>
      <c r="AG352" s="870"/>
      <c r="AH352" s="870"/>
      <c r="AI352" s="871"/>
      <c r="AJ352" s="867"/>
    </row>
    <row r="353" spans="1:36" ht="50.1" customHeight="1" outlineLevel="1">
      <c r="A353" s="59"/>
      <c r="B353" s="59"/>
      <c r="C353" s="59"/>
      <c r="D353" s="59"/>
      <c r="E353" s="59"/>
      <c r="F353" s="59"/>
      <c r="G353" s="55" t="s">
        <v>325</v>
      </c>
      <c r="K353" s="55" t="s">
        <v>261</v>
      </c>
      <c r="L353" s="55" t="s">
        <v>325</v>
      </c>
      <c r="X353" s="2764" t="s">
        <v>3048</v>
      </c>
      <c r="Y353" s="884" t="s">
        <v>3049</v>
      </c>
      <c r="Z353" s="763"/>
      <c r="AA353" s="763"/>
      <c r="AB353" s="749">
        <v>42</v>
      </c>
      <c r="AC353" s="749">
        <v>1</v>
      </c>
      <c r="AD353" s="763"/>
      <c r="AE353" s="885"/>
      <c r="AF353" s="869"/>
      <c r="AG353" s="870"/>
      <c r="AH353" s="870"/>
      <c r="AI353" s="871"/>
      <c r="AJ353" s="867"/>
    </row>
    <row r="354" spans="1:36" ht="50.1" customHeight="1">
      <c r="A354" s="724">
        <v>28</v>
      </c>
      <c r="B354" s="858" t="s">
        <v>2961</v>
      </c>
      <c r="C354" s="858" t="s">
        <v>3050</v>
      </c>
      <c r="D354" s="858" t="s">
        <v>844</v>
      </c>
      <c r="E354" s="858">
        <v>8</v>
      </c>
      <c r="F354" s="858" t="s">
        <v>260</v>
      </c>
      <c r="G354" s="744" t="s">
        <v>325</v>
      </c>
      <c r="H354" s="744"/>
      <c r="I354" s="744"/>
      <c r="J354" s="744"/>
      <c r="K354" s="744" t="s">
        <v>261</v>
      </c>
      <c r="L354" s="744" t="s">
        <v>325</v>
      </c>
      <c r="M354" s="744"/>
      <c r="N354" s="744"/>
      <c r="O354" s="744"/>
      <c r="P354" s="744"/>
      <c r="Q354" s="744"/>
      <c r="R354" s="744"/>
      <c r="S354" s="744"/>
      <c r="T354" s="744"/>
      <c r="U354" s="744"/>
      <c r="V354" s="744"/>
      <c r="W354" s="744"/>
      <c r="X354" s="821" t="s">
        <v>3051</v>
      </c>
      <c r="Y354" s="859"/>
      <c r="Z354" s="724"/>
      <c r="AA354" s="724"/>
      <c r="AB354" s="724"/>
      <c r="AC354" s="724"/>
      <c r="AD354" s="724"/>
      <c r="AE354" s="821" t="s">
        <v>3051</v>
      </c>
      <c r="AF354" s="860"/>
      <c r="AG354" s="724"/>
      <c r="AH354" s="724"/>
      <c r="AI354" s="861"/>
      <c r="AJ354" s="724"/>
    </row>
    <row r="355" spans="1:36" ht="28.5" customHeight="1" outlineLevel="1">
      <c r="A355" s="59"/>
      <c r="B355" s="59"/>
      <c r="C355" s="59"/>
      <c r="D355" s="59"/>
      <c r="E355" s="59"/>
      <c r="F355" s="59"/>
      <c r="G355" s="55" t="s">
        <v>325</v>
      </c>
      <c r="K355" s="55" t="s">
        <v>261</v>
      </c>
      <c r="L355" s="55" t="s">
        <v>325</v>
      </c>
      <c r="X355" s="2765" t="s">
        <v>532</v>
      </c>
      <c r="Y355" s="100" t="s">
        <v>588</v>
      </c>
      <c r="Z355" s="101">
        <v>0</v>
      </c>
      <c r="AA355" s="101"/>
      <c r="AB355" s="101">
        <v>0</v>
      </c>
      <c r="AC355" s="101">
        <v>16</v>
      </c>
      <c r="AD355" s="101"/>
      <c r="AE355" s="99"/>
      <c r="AF355" s="302"/>
      <c r="AG355" s="101"/>
      <c r="AH355" s="101"/>
      <c r="AI355" s="106"/>
      <c r="AJ355" s="756"/>
    </row>
    <row r="356" spans="1:36" ht="28.5" customHeight="1" outlineLevel="1">
      <c r="A356" s="59"/>
      <c r="B356" s="59"/>
      <c r="C356" s="59"/>
      <c r="D356" s="59"/>
      <c r="E356" s="59"/>
      <c r="F356" s="59"/>
      <c r="G356" s="55" t="s">
        <v>325</v>
      </c>
      <c r="K356" s="55" t="s">
        <v>261</v>
      </c>
      <c r="L356" s="55" t="s">
        <v>325</v>
      </c>
      <c r="X356" s="2766" t="s">
        <v>534</v>
      </c>
      <c r="Y356" s="57" t="s">
        <v>3052</v>
      </c>
      <c r="Z356" s="103">
        <v>2</v>
      </c>
      <c r="AA356" s="103"/>
      <c r="AB356" s="103">
        <v>16</v>
      </c>
      <c r="AC356" s="103">
        <v>8</v>
      </c>
      <c r="AD356" s="103"/>
      <c r="AE356" s="102"/>
      <c r="AF356" s="303"/>
      <c r="AG356" s="103"/>
      <c r="AH356" s="103"/>
      <c r="AI356" s="107"/>
      <c r="AJ356" s="756" t="s">
        <v>536</v>
      </c>
    </row>
    <row r="357" spans="1:36" ht="28.5" customHeight="1" outlineLevel="1">
      <c r="A357" s="59"/>
      <c r="B357" s="59"/>
      <c r="C357" s="59"/>
      <c r="D357" s="59"/>
      <c r="E357" s="59"/>
      <c r="F357" s="59"/>
      <c r="G357" s="55" t="s">
        <v>325</v>
      </c>
      <c r="K357" s="55" t="s">
        <v>261</v>
      </c>
      <c r="L357" s="55" t="s">
        <v>325</v>
      </c>
      <c r="X357" s="2767" t="s">
        <v>537</v>
      </c>
      <c r="Y357" s="104" t="s">
        <v>3053</v>
      </c>
      <c r="Z357" s="103">
        <v>3</v>
      </c>
      <c r="AA357" s="103"/>
      <c r="AB357" s="103">
        <v>24</v>
      </c>
      <c r="AC357" s="103">
        <v>8</v>
      </c>
      <c r="AD357" s="103"/>
      <c r="AE357" s="102"/>
      <c r="AF357" s="303"/>
      <c r="AG357" s="103"/>
      <c r="AH357" s="103"/>
      <c r="AI357" s="107"/>
      <c r="AJ357" s="756" t="s">
        <v>539</v>
      </c>
    </row>
    <row r="358" spans="1:36" ht="28.5" customHeight="1" outlineLevel="1">
      <c r="A358" s="59"/>
      <c r="B358" s="59"/>
      <c r="C358" s="59"/>
      <c r="D358" s="59"/>
      <c r="E358" s="59"/>
      <c r="F358" s="59"/>
      <c r="G358" s="55" t="s">
        <v>325</v>
      </c>
      <c r="K358" s="55" t="s">
        <v>261</v>
      </c>
      <c r="L358" s="55" t="s">
        <v>325</v>
      </c>
      <c r="X358" s="2768" t="s">
        <v>540</v>
      </c>
      <c r="Y358" s="104" t="s">
        <v>3054</v>
      </c>
      <c r="Z358" s="103">
        <v>4</v>
      </c>
      <c r="AA358" s="103"/>
      <c r="AB358" s="103">
        <v>32</v>
      </c>
      <c r="AC358" s="103">
        <v>8</v>
      </c>
      <c r="AD358" s="103"/>
      <c r="AE358" s="102"/>
      <c r="AF358" s="303"/>
      <c r="AG358" s="103"/>
      <c r="AH358" s="103"/>
      <c r="AI358" s="107"/>
      <c r="AJ358" s="756" t="s">
        <v>542</v>
      </c>
    </row>
    <row r="359" spans="1:36" ht="28.5" customHeight="1" outlineLevel="1">
      <c r="A359" s="59"/>
      <c r="B359" s="59"/>
      <c r="C359" s="59"/>
      <c r="D359" s="59"/>
      <c r="E359" s="59"/>
      <c r="F359" s="59"/>
      <c r="G359" s="55" t="s">
        <v>325</v>
      </c>
      <c r="K359" s="55" t="s">
        <v>261</v>
      </c>
      <c r="L359" s="55" t="s">
        <v>325</v>
      </c>
      <c r="X359" s="2769" t="s">
        <v>543</v>
      </c>
      <c r="Y359" s="104" t="s">
        <v>3055</v>
      </c>
      <c r="Z359" s="103">
        <v>5</v>
      </c>
      <c r="AA359" s="103"/>
      <c r="AB359" s="103">
        <v>40</v>
      </c>
      <c r="AC359" s="103">
        <v>24</v>
      </c>
      <c r="AD359" s="103"/>
      <c r="AE359" s="102"/>
      <c r="AF359" s="303"/>
      <c r="AG359" s="103"/>
      <c r="AH359" s="103"/>
      <c r="AI359" s="107"/>
      <c r="AJ359" s="756" t="s">
        <v>545</v>
      </c>
    </row>
    <row r="360" spans="1:36" ht="14.25" customHeight="1">
      <c r="A360" s="724">
        <v>29</v>
      </c>
      <c r="B360" s="858" t="s">
        <v>2961</v>
      </c>
      <c r="C360" s="898" t="s">
        <v>3056</v>
      </c>
      <c r="D360" s="858" t="s">
        <v>844</v>
      </c>
      <c r="E360" s="858">
        <v>8</v>
      </c>
      <c r="F360" s="858" t="s">
        <v>260</v>
      </c>
      <c r="G360" s="744" t="s">
        <v>325</v>
      </c>
      <c r="H360" s="744"/>
      <c r="I360" s="744"/>
      <c r="J360" s="744"/>
      <c r="K360" s="744" t="s">
        <v>261</v>
      </c>
      <c r="L360" s="744" t="s">
        <v>325</v>
      </c>
      <c r="M360" s="744"/>
      <c r="N360" s="744"/>
      <c r="O360" s="744"/>
      <c r="P360" s="744"/>
      <c r="Q360" s="744"/>
      <c r="R360" s="744"/>
      <c r="S360" s="744"/>
      <c r="T360" s="744"/>
      <c r="U360" s="744"/>
      <c r="V360" s="744"/>
      <c r="W360" s="744"/>
      <c r="X360" s="821" t="s">
        <v>3057</v>
      </c>
      <c r="Y360" s="859"/>
      <c r="Z360" s="724"/>
      <c r="AA360" s="724"/>
      <c r="AB360" s="724"/>
      <c r="AC360" s="724"/>
      <c r="AD360" s="724"/>
      <c r="AE360" s="821" t="s">
        <v>3057</v>
      </c>
      <c r="AF360" s="860"/>
      <c r="AG360" s="724"/>
      <c r="AH360" s="724"/>
      <c r="AI360" s="861"/>
      <c r="AJ360" s="724"/>
    </row>
    <row r="361" spans="1:36" ht="28.5" customHeight="1" outlineLevel="1">
      <c r="A361" s="59"/>
      <c r="B361" s="59"/>
      <c r="C361" s="59"/>
      <c r="D361" s="59"/>
      <c r="E361" s="59"/>
      <c r="F361" s="59"/>
      <c r="G361" s="55" t="s">
        <v>325</v>
      </c>
      <c r="K361" s="55" t="s">
        <v>261</v>
      </c>
      <c r="L361" s="55" t="s">
        <v>325</v>
      </c>
      <c r="X361" s="2770" t="s">
        <v>549</v>
      </c>
      <c r="Y361" s="105" t="s">
        <v>849</v>
      </c>
      <c r="Z361" s="71">
        <v>0</v>
      </c>
      <c r="AA361" s="71"/>
      <c r="AB361" s="71">
        <v>0</v>
      </c>
      <c r="AC361" s="71">
        <v>8</v>
      </c>
      <c r="AD361" s="92"/>
      <c r="AE361" s="2771" t="s">
        <v>3058</v>
      </c>
      <c r="AF361" s="299"/>
      <c r="AG361" s="71"/>
      <c r="AH361" s="71"/>
      <c r="AI361" s="86"/>
      <c r="AJ361" s="756"/>
    </row>
    <row r="362" spans="1:36" ht="57" customHeight="1" outlineLevel="1">
      <c r="A362" s="59"/>
      <c r="B362" s="59"/>
      <c r="C362" s="59"/>
      <c r="D362" s="59"/>
      <c r="E362" s="59"/>
      <c r="F362" s="59"/>
      <c r="G362" s="55" t="s">
        <v>325</v>
      </c>
      <c r="K362" s="55" t="s">
        <v>261</v>
      </c>
      <c r="L362" s="55" t="s">
        <v>325</v>
      </c>
      <c r="X362" s="2772" t="s">
        <v>552</v>
      </c>
      <c r="Y362" s="899" t="s">
        <v>850</v>
      </c>
      <c r="Z362" s="756">
        <v>1</v>
      </c>
      <c r="AA362" s="756"/>
      <c r="AB362" s="756">
        <v>8</v>
      </c>
      <c r="AC362" s="756">
        <v>8</v>
      </c>
      <c r="AD362" s="868"/>
      <c r="AE362" s="2773" t="s">
        <v>3059</v>
      </c>
      <c r="AF362" s="826"/>
      <c r="AG362" s="756"/>
      <c r="AH362" s="756"/>
      <c r="AI362" s="828"/>
      <c r="AJ362" s="756"/>
    </row>
    <row r="363" spans="1:36" ht="57" customHeight="1" outlineLevel="1">
      <c r="A363" s="59"/>
      <c r="B363" s="59"/>
      <c r="C363" s="59"/>
      <c r="D363" s="59"/>
      <c r="E363" s="59"/>
      <c r="F363" s="59"/>
      <c r="G363" s="55" t="s">
        <v>325</v>
      </c>
      <c r="K363" s="55" t="s">
        <v>261</v>
      </c>
      <c r="L363" s="55" t="s">
        <v>325</v>
      </c>
      <c r="X363" s="2774" t="s">
        <v>555</v>
      </c>
      <c r="Y363" s="899" t="s">
        <v>851</v>
      </c>
      <c r="Z363" s="756">
        <v>2</v>
      </c>
      <c r="AA363" s="756"/>
      <c r="AB363" s="756">
        <v>16</v>
      </c>
      <c r="AC363" s="756">
        <v>8</v>
      </c>
      <c r="AD363" s="868"/>
      <c r="AE363" s="2775" t="s">
        <v>3060</v>
      </c>
      <c r="AF363" s="826"/>
      <c r="AG363" s="756"/>
      <c r="AH363" s="756"/>
      <c r="AI363" s="828"/>
      <c r="AJ363" s="756"/>
    </row>
    <row r="364" spans="1:36" ht="57" customHeight="1" outlineLevel="1">
      <c r="A364" s="59"/>
      <c r="B364" s="59"/>
      <c r="C364" s="59"/>
      <c r="D364" s="59"/>
      <c r="E364" s="59"/>
      <c r="F364" s="59"/>
      <c r="G364" s="55" t="s">
        <v>325</v>
      </c>
      <c r="K364" s="55" t="s">
        <v>261</v>
      </c>
      <c r="L364" s="55" t="s">
        <v>325</v>
      </c>
      <c r="X364" s="2776" t="s">
        <v>558</v>
      </c>
      <c r="Y364" s="899" t="s">
        <v>852</v>
      </c>
      <c r="Z364" s="756">
        <v>3</v>
      </c>
      <c r="AA364" s="756"/>
      <c r="AB364" s="756">
        <v>24</v>
      </c>
      <c r="AC364" s="756">
        <v>8</v>
      </c>
      <c r="AD364" s="868"/>
      <c r="AE364" s="2777" t="s">
        <v>3061</v>
      </c>
      <c r="AF364" s="826"/>
      <c r="AG364" s="756"/>
      <c r="AH364" s="756"/>
      <c r="AI364" s="828"/>
      <c r="AJ364" s="756"/>
    </row>
    <row r="365" spans="1:36" ht="28.5" customHeight="1" outlineLevel="1">
      <c r="A365" s="59"/>
      <c r="B365" s="59"/>
      <c r="C365" s="59"/>
      <c r="D365" s="59"/>
      <c r="E365" s="59"/>
      <c r="F365" s="59"/>
      <c r="G365" s="55" t="s">
        <v>325</v>
      </c>
      <c r="K365" s="55" t="s">
        <v>261</v>
      </c>
      <c r="L365" s="55" t="s">
        <v>325</v>
      </c>
      <c r="X365" s="2778" t="s">
        <v>561</v>
      </c>
      <c r="Y365" s="899" t="s">
        <v>853</v>
      </c>
      <c r="Z365" s="756">
        <v>4</v>
      </c>
      <c r="AA365" s="756"/>
      <c r="AB365" s="756">
        <v>32</v>
      </c>
      <c r="AC365" s="756">
        <v>8</v>
      </c>
      <c r="AD365" s="868"/>
      <c r="AE365" s="2779" t="s">
        <v>3062</v>
      </c>
      <c r="AF365" s="826"/>
      <c r="AG365" s="756"/>
      <c r="AH365" s="756"/>
      <c r="AI365" s="828"/>
      <c r="AJ365" s="756"/>
    </row>
    <row r="366" spans="1:36" ht="57" customHeight="1" outlineLevel="1">
      <c r="A366" s="59"/>
      <c r="B366" s="59"/>
      <c r="C366" s="59"/>
      <c r="D366" s="59"/>
      <c r="E366" s="59"/>
      <c r="F366" s="59"/>
      <c r="G366" s="55" t="s">
        <v>325</v>
      </c>
      <c r="K366" s="55" t="s">
        <v>261</v>
      </c>
      <c r="L366" s="55" t="s">
        <v>325</v>
      </c>
      <c r="X366" s="2780" t="s">
        <v>564</v>
      </c>
      <c r="Y366" s="899" t="s">
        <v>854</v>
      </c>
      <c r="Z366" s="756">
        <v>5</v>
      </c>
      <c r="AA366" s="756"/>
      <c r="AB366" s="756">
        <v>40</v>
      </c>
      <c r="AC366" s="756">
        <v>8</v>
      </c>
      <c r="AD366" s="868"/>
      <c r="AE366" s="2781" t="s">
        <v>3063</v>
      </c>
      <c r="AF366" s="826"/>
      <c r="AG366" s="756"/>
      <c r="AH366" s="756"/>
      <c r="AI366" s="828"/>
      <c r="AJ366" s="756"/>
    </row>
    <row r="367" spans="1:36" ht="57" customHeight="1" outlineLevel="1">
      <c r="A367" s="59"/>
      <c r="B367" s="59"/>
      <c r="C367" s="59"/>
      <c r="D367" s="59"/>
      <c r="E367" s="59"/>
      <c r="F367" s="59"/>
      <c r="G367" s="55" t="s">
        <v>325</v>
      </c>
      <c r="K367" s="55" t="s">
        <v>261</v>
      </c>
      <c r="L367" s="55" t="s">
        <v>325</v>
      </c>
      <c r="X367" s="2782" t="s">
        <v>567</v>
      </c>
      <c r="Y367" s="899" t="s">
        <v>855</v>
      </c>
      <c r="Z367" s="756">
        <v>6</v>
      </c>
      <c r="AA367" s="756"/>
      <c r="AB367" s="756">
        <v>48</v>
      </c>
      <c r="AC367" s="756">
        <v>8</v>
      </c>
      <c r="AD367" s="868"/>
      <c r="AE367" s="2783" t="s">
        <v>3064</v>
      </c>
      <c r="AF367" s="826"/>
      <c r="AG367" s="756"/>
      <c r="AH367" s="756"/>
      <c r="AI367" s="828"/>
      <c r="AJ367" s="756"/>
    </row>
    <row r="368" spans="1:36" ht="57" customHeight="1" outlineLevel="1">
      <c r="A368" s="59"/>
      <c r="B368" s="59"/>
      <c r="C368" s="59"/>
      <c r="D368" s="59"/>
      <c r="E368" s="59"/>
      <c r="F368" s="59"/>
      <c r="G368" s="55" t="s">
        <v>325</v>
      </c>
      <c r="K368" s="55" t="s">
        <v>261</v>
      </c>
      <c r="L368" s="55" t="s">
        <v>325</v>
      </c>
      <c r="X368" s="2784" t="s">
        <v>570</v>
      </c>
      <c r="Y368" s="899" t="s">
        <v>856</v>
      </c>
      <c r="Z368" s="756">
        <v>7</v>
      </c>
      <c r="AA368" s="756"/>
      <c r="AB368" s="756">
        <v>56</v>
      </c>
      <c r="AC368" s="756">
        <v>8</v>
      </c>
      <c r="AD368" s="868"/>
      <c r="AE368" s="2785" t="s">
        <v>3064</v>
      </c>
      <c r="AF368" s="826"/>
      <c r="AG368" s="756"/>
      <c r="AH368" s="756"/>
      <c r="AI368" s="828"/>
      <c r="AJ368" s="756"/>
    </row>
    <row r="369" spans="1:36" ht="14.25" customHeight="1">
      <c r="A369" s="724">
        <v>30</v>
      </c>
      <c r="B369" s="858" t="s">
        <v>2961</v>
      </c>
      <c r="C369" s="858" t="s">
        <v>3065</v>
      </c>
      <c r="D369" s="858" t="s">
        <v>844</v>
      </c>
      <c r="E369" s="858">
        <v>8</v>
      </c>
      <c r="F369" s="858" t="s">
        <v>260</v>
      </c>
      <c r="G369" s="744" t="s">
        <v>325</v>
      </c>
      <c r="H369" s="744"/>
      <c r="I369" s="744"/>
      <c r="J369" s="744"/>
      <c r="K369" s="744" t="s">
        <v>261</v>
      </c>
      <c r="L369" s="744" t="s">
        <v>325</v>
      </c>
      <c r="M369" s="744"/>
      <c r="N369" s="744"/>
      <c r="O369" s="744"/>
      <c r="P369" s="744"/>
      <c r="Q369" s="744"/>
      <c r="R369" s="744"/>
      <c r="S369" s="744"/>
      <c r="T369" s="744"/>
      <c r="U369" s="744"/>
      <c r="V369" s="744"/>
      <c r="W369" s="744"/>
      <c r="X369" s="821" t="s">
        <v>3066</v>
      </c>
      <c r="Y369" s="859"/>
      <c r="Z369" s="724"/>
      <c r="AA369" s="724"/>
      <c r="AB369" s="724"/>
      <c r="AC369" s="724"/>
      <c r="AD369" s="724"/>
      <c r="AE369" s="821" t="s">
        <v>3066</v>
      </c>
      <c r="AF369" s="860"/>
      <c r="AG369" s="724"/>
      <c r="AH369" s="724"/>
      <c r="AI369" s="861"/>
      <c r="AJ369" s="724"/>
    </row>
    <row r="370" spans="1:36" ht="28.5" customHeight="1" outlineLevel="1">
      <c r="A370" s="59"/>
      <c r="B370" s="59"/>
      <c r="C370" s="59"/>
      <c r="D370" s="59"/>
      <c r="E370" s="59"/>
      <c r="F370" s="59"/>
      <c r="G370" s="55" t="s">
        <v>325</v>
      </c>
      <c r="K370" s="55" t="s">
        <v>261</v>
      </c>
      <c r="L370" s="55" t="s">
        <v>325</v>
      </c>
      <c r="X370" s="2786" t="s">
        <v>576</v>
      </c>
      <c r="Y370" s="105" t="s">
        <v>3067</v>
      </c>
      <c r="Z370" s="71">
        <v>0</v>
      </c>
      <c r="AA370" s="71"/>
      <c r="AB370" s="71">
        <v>0</v>
      </c>
      <c r="AC370" s="71">
        <v>8</v>
      </c>
      <c r="AD370" s="71"/>
      <c r="AE370" s="2787" t="s">
        <v>3068</v>
      </c>
      <c r="AF370" s="299"/>
      <c r="AG370" s="71"/>
      <c r="AH370" s="71"/>
      <c r="AI370" s="86"/>
      <c r="AJ370" s="756"/>
    </row>
    <row r="371" spans="1:36" ht="57" customHeight="1" outlineLevel="1">
      <c r="A371" s="59"/>
      <c r="B371" s="59"/>
      <c r="C371" s="59"/>
      <c r="D371" s="59"/>
      <c r="E371" s="59"/>
      <c r="F371" s="59"/>
      <c r="G371" s="55" t="s">
        <v>325</v>
      </c>
      <c r="K371" s="55" t="s">
        <v>261</v>
      </c>
      <c r="L371" s="55" t="s">
        <v>325</v>
      </c>
      <c r="X371" s="2788" t="s">
        <v>579</v>
      </c>
      <c r="Y371" s="899" t="s">
        <v>3069</v>
      </c>
      <c r="Z371" s="756">
        <v>1</v>
      </c>
      <c r="AA371" s="756"/>
      <c r="AB371" s="756">
        <v>8</v>
      </c>
      <c r="AC371" s="756">
        <v>8</v>
      </c>
      <c r="AD371" s="756"/>
      <c r="AE371" s="2789" t="s">
        <v>3059</v>
      </c>
      <c r="AF371" s="826"/>
      <c r="AG371" s="756"/>
      <c r="AH371" s="756"/>
      <c r="AI371" s="828"/>
      <c r="AJ371" s="756"/>
    </row>
    <row r="372" spans="1:36" ht="57" customHeight="1" outlineLevel="1">
      <c r="A372" s="59"/>
      <c r="B372" s="59"/>
      <c r="C372" s="59"/>
      <c r="D372" s="59"/>
      <c r="E372" s="59"/>
      <c r="F372" s="59"/>
      <c r="G372" s="55" t="s">
        <v>325</v>
      </c>
      <c r="K372" s="55" t="s">
        <v>261</v>
      </c>
      <c r="L372" s="55" t="s">
        <v>325</v>
      </c>
      <c r="X372" s="2790" t="s">
        <v>581</v>
      </c>
      <c r="Y372" s="899" t="s">
        <v>3070</v>
      </c>
      <c r="Z372" s="756">
        <v>2</v>
      </c>
      <c r="AA372" s="756"/>
      <c r="AB372" s="756">
        <v>16</v>
      </c>
      <c r="AC372" s="756">
        <v>8</v>
      </c>
      <c r="AD372" s="756"/>
      <c r="AE372" s="2791" t="s">
        <v>3060</v>
      </c>
      <c r="AF372" s="826"/>
      <c r="AG372" s="756"/>
      <c r="AH372" s="756"/>
      <c r="AI372" s="828"/>
      <c r="AJ372" s="756"/>
    </row>
    <row r="373" spans="1:36" ht="57" customHeight="1" outlineLevel="1">
      <c r="A373" s="59"/>
      <c r="B373" s="59"/>
      <c r="C373" s="59"/>
      <c r="D373" s="59"/>
      <c r="E373" s="59"/>
      <c r="F373" s="59"/>
      <c r="G373" s="55" t="s">
        <v>325</v>
      </c>
      <c r="K373" s="55" t="s">
        <v>261</v>
      </c>
      <c r="L373" s="55" t="s">
        <v>325</v>
      </c>
      <c r="X373" s="2792" t="s">
        <v>583</v>
      </c>
      <c r="Y373" s="899" t="s">
        <v>3071</v>
      </c>
      <c r="Z373" s="756">
        <v>3</v>
      </c>
      <c r="AA373" s="756"/>
      <c r="AB373" s="756">
        <v>24</v>
      </c>
      <c r="AC373" s="756">
        <v>8</v>
      </c>
      <c r="AD373" s="756"/>
      <c r="AE373" s="2793" t="s">
        <v>3061</v>
      </c>
      <c r="AF373" s="826"/>
      <c r="AG373" s="756"/>
      <c r="AH373" s="756"/>
      <c r="AI373" s="828"/>
      <c r="AJ373" s="756"/>
    </row>
    <row r="374" spans="1:36" ht="14.25" customHeight="1">
      <c r="A374" s="724">
        <v>31</v>
      </c>
      <c r="B374" s="858" t="s">
        <v>2961</v>
      </c>
      <c r="C374" s="858" t="s">
        <v>3072</v>
      </c>
      <c r="D374" s="858" t="s">
        <v>617</v>
      </c>
      <c r="E374" s="858">
        <v>8</v>
      </c>
      <c r="F374" s="858" t="s">
        <v>260</v>
      </c>
      <c r="G374" s="744"/>
      <c r="H374" s="744"/>
      <c r="I374" s="744"/>
      <c r="J374" s="744"/>
      <c r="K374" s="744" t="s">
        <v>261</v>
      </c>
      <c r="L374" s="744" t="s">
        <v>325</v>
      </c>
      <c r="M374" s="744"/>
      <c r="N374" s="744"/>
      <c r="O374" s="744"/>
      <c r="P374" s="744"/>
      <c r="Q374" s="744"/>
      <c r="R374" s="744"/>
      <c r="S374" s="744"/>
      <c r="T374" s="744"/>
      <c r="U374" s="744"/>
      <c r="V374" s="744"/>
      <c r="W374" s="744"/>
      <c r="X374" s="821" t="s">
        <v>974</v>
      </c>
      <c r="Y374" s="859"/>
      <c r="Z374" s="724"/>
      <c r="AA374" s="724"/>
      <c r="AB374" s="724"/>
      <c r="AC374" s="724"/>
      <c r="AD374" s="724"/>
      <c r="AE374" s="883"/>
      <c r="AF374" s="860"/>
      <c r="AG374" s="724"/>
      <c r="AH374" s="724"/>
      <c r="AI374" s="861"/>
      <c r="AJ374" s="724"/>
    </row>
    <row r="375" spans="1:36" ht="14.25" customHeight="1" outlineLevel="1">
      <c r="A375" s="97"/>
      <c r="B375" s="97"/>
      <c r="C375" s="97"/>
      <c r="D375" s="97"/>
      <c r="E375" s="97"/>
      <c r="F375" s="97"/>
      <c r="K375" s="55" t="s">
        <v>261</v>
      </c>
      <c r="L375" s="55" t="s">
        <v>325</v>
      </c>
      <c r="X375" s="56" t="s">
        <v>619</v>
      </c>
      <c r="Z375" s="94"/>
      <c r="AA375" s="94"/>
      <c r="AB375" s="94"/>
      <c r="AC375" s="94"/>
      <c r="AD375" s="94"/>
      <c r="AE375" s="94"/>
      <c r="AJ375" s="763"/>
    </row>
    <row r="376" spans="1:36" ht="14.25" customHeight="1">
      <c r="A376" s="724">
        <v>32</v>
      </c>
      <c r="B376" s="858" t="s">
        <v>2961</v>
      </c>
      <c r="C376" s="858" t="s">
        <v>3073</v>
      </c>
      <c r="D376" s="858" t="s">
        <v>617</v>
      </c>
      <c r="E376" s="858">
        <v>8</v>
      </c>
      <c r="F376" s="858" t="s">
        <v>260</v>
      </c>
      <c r="G376" s="744"/>
      <c r="H376" s="744"/>
      <c r="I376" s="744"/>
      <c r="J376" s="744"/>
      <c r="K376" s="744" t="s">
        <v>325</v>
      </c>
      <c r="L376" s="744" t="s">
        <v>261</v>
      </c>
      <c r="M376" s="744"/>
      <c r="N376" s="744"/>
      <c r="O376" s="744"/>
      <c r="P376" s="744"/>
      <c r="Q376" s="744"/>
      <c r="R376" s="744"/>
      <c r="S376" s="744"/>
      <c r="T376" s="744"/>
      <c r="U376" s="744"/>
      <c r="V376" s="744"/>
      <c r="W376" s="744"/>
      <c r="X376" s="821" t="s">
        <v>976</v>
      </c>
      <c r="Y376" s="859"/>
      <c r="Z376" s="724"/>
      <c r="AA376" s="724"/>
      <c r="AB376" s="724"/>
      <c r="AC376" s="724"/>
      <c r="AD376" s="724"/>
      <c r="AE376" s="883"/>
      <c r="AF376" s="860"/>
      <c r="AG376" s="724"/>
      <c r="AH376" s="724"/>
      <c r="AI376" s="861"/>
      <c r="AJ376" s="724"/>
    </row>
    <row r="377" spans="1:36" ht="14.25" customHeight="1" outlineLevel="1">
      <c r="A377" s="94"/>
      <c r="B377" s="94"/>
      <c r="C377" s="94"/>
      <c r="D377" s="94"/>
      <c r="E377" s="94"/>
      <c r="F377" s="94"/>
      <c r="K377" s="55" t="s">
        <v>325</v>
      </c>
      <c r="L377" s="55" t="s">
        <v>261</v>
      </c>
      <c r="X377" s="56" t="s">
        <v>619</v>
      </c>
      <c r="Z377" s="94"/>
      <c r="AA377" s="94"/>
      <c r="AB377" s="94"/>
      <c r="AC377" s="94"/>
      <c r="AD377" s="94"/>
      <c r="AE377" s="56"/>
      <c r="AJ377" s="763"/>
    </row>
    <row r="378" spans="1:36" ht="54.75" customHeight="1">
      <c r="A378" s="900">
        <v>33</v>
      </c>
      <c r="B378" s="901" t="s">
        <v>2085</v>
      </c>
      <c r="C378" s="901" t="s">
        <v>2086</v>
      </c>
      <c r="D378" s="901" t="s">
        <v>259</v>
      </c>
      <c r="E378" s="901">
        <v>8</v>
      </c>
      <c r="F378" s="902" t="s">
        <v>260</v>
      </c>
      <c r="G378" s="98" t="s">
        <v>261</v>
      </c>
      <c r="H378" s="98"/>
      <c r="I378" s="903"/>
      <c r="J378" s="903"/>
      <c r="K378" s="903"/>
      <c r="L378" s="903" t="s">
        <v>325</v>
      </c>
      <c r="M378" s="903"/>
      <c r="N378" s="903"/>
      <c r="O378" s="903"/>
      <c r="P378" s="903"/>
      <c r="Q378" s="903"/>
      <c r="R378" s="903"/>
      <c r="S378" s="903"/>
      <c r="T378" s="903"/>
      <c r="U378" s="903"/>
      <c r="V378" s="903"/>
      <c r="W378" s="903"/>
      <c r="X378" s="904" t="s">
        <v>2087</v>
      </c>
      <c r="Y378" s="905"/>
      <c r="Z378" s="900"/>
      <c r="AA378" s="900"/>
      <c r="AB378" s="900"/>
      <c r="AC378" s="900"/>
      <c r="AD378" s="900"/>
      <c r="AE378" s="904" t="s">
        <v>2087</v>
      </c>
      <c r="AF378" s="906"/>
      <c r="AG378" s="900"/>
      <c r="AH378" s="900"/>
      <c r="AI378" s="907"/>
      <c r="AJ378" s="900"/>
    </row>
    <row r="379" spans="1:36" ht="18" customHeight="1" outlineLevel="1">
      <c r="G379" s="55" t="s">
        <v>261</v>
      </c>
      <c r="L379" s="55" t="s">
        <v>325</v>
      </c>
      <c r="X379" s="908" t="s">
        <v>2088</v>
      </c>
      <c r="Y379" s="750" t="s">
        <v>2089</v>
      </c>
      <c r="Z379" s="909">
        <v>0</v>
      </c>
      <c r="AA379" s="909"/>
      <c r="AB379" s="909">
        <v>0</v>
      </c>
      <c r="AC379" s="909">
        <v>16</v>
      </c>
      <c r="AD379" s="910"/>
      <c r="AE379" s="885"/>
      <c r="AF379" s="911">
        <v>0.01</v>
      </c>
      <c r="AG379" s="909">
        <v>0</v>
      </c>
      <c r="AH379" s="909" t="s">
        <v>444</v>
      </c>
      <c r="AI379" s="912">
        <v>0</v>
      </c>
      <c r="AJ379" s="909" t="s">
        <v>904</v>
      </c>
    </row>
    <row r="380" spans="1:36" ht="18" customHeight="1" outlineLevel="1">
      <c r="G380" s="55" t="s">
        <v>261</v>
      </c>
      <c r="L380" s="55" t="s">
        <v>325</v>
      </c>
      <c r="X380" s="908" t="s">
        <v>2090</v>
      </c>
      <c r="Y380" s="750" t="s">
        <v>2091</v>
      </c>
      <c r="Z380" s="909">
        <v>4</v>
      </c>
      <c r="AA380" s="909"/>
      <c r="AB380" s="909">
        <v>32</v>
      </c>
      <c r="AC380" s="909">
        <v>16</v>
      </c>
      <c r="AD380" s="910"/>
      <c r="AE380" s="885"/>
      <c r="AF380" s="911">
        <v>0.01</v>
      </c>
      <c r="AG380" s="909">
        <v>0</v>
      </c>
      <c r="AH380" s="909" t="s">
        <v>444</v>
      </c>
      <c r="AI380" s="912">
        <v>0</v>
      </c>
      <c r="AJ380" s="909" t="s">
        <v>904</v>
      </c>
    </row>
    <row r="381" spans="1:36" ht="14.25" customHeight="1">
      <c r="A381" s="900">
        <v>33</v>
      </c>
      <c r="B381" s="901" t="s">
        <v>2085</v>
      </c>
      <c r="C381" s="901" t="s">
        <v>2092</v>
      </c>
      <c r="D381" s="901" t="s">
        <v>259</v>
      </c>
      <c r="E381" s="901">
        <v>8</v>
      </c>
      <c r="F381" s="902" t="s">
        <v>260</v>
      </c>
      <c r="G381" s="98" t="s">
        <v>261</v>
      </c>
      <c r="H381" s="98"/>
      <c r="I381" s="903"/>
      <c r="J381" s="903"/>
      <c r="K381" s="903"/>
      <c r="L381" s="903" t="s">
        <v>325</v>
      </c>
      <c r="M381" s="903"/>
      <c r="N381" s="903"/>
      <c r="O381" s="903"/>
      <c r="P381" s="903"/>
      <c r="Q381" s="903"/>
      <c r="R381" s="903"/>
      <c r="S381" s="903"/>
      <c r="T381" s="903"/>
      <c r="U381" s="903"/>
      <c r="V381" s="903"/>
      <c r="W381" s="903"/>
      <c r="X381" s="904" t="s">
        <v>2093</v>
      </c>
      <c r="Y381" s="905"/>
      <c r="Z381" s="900"/>
      <c r="AA381" s="900"/>
      <c r="AB381" s="900"/>
      <c r="AC381" s="900"/>
      <c r="AD381" s="900"/>
      <c r="AE381" s="904" t="s">
        <v>2093</v>
      </c>
      <c r="AF381" s="906"/>
      <c r="AG381" s="900"/>
      <c r="AH381" s="900"/>
      <c r="AI381" s="907"/>
      <c r="AJ381" s="900"/>
    </row>
    <row r="382" spans="1:36" ht="18" customHeight="1" outlineLevel="1">
      <c r="G382" s="55" t="s">
        <v>261</v>
      </c>
      <c r="L382" s="55" t="s">
        <v>325</v>
      </c>
      <c r="X382" s="910" t="s">
        <v>2094</v>
      </c>
      <c r="Y382" s="913" t="s">
        <v>2095</v>
      </c>
      <c r="Z382" s="909"/>
      <c r="AA382" s="909"/>
      <c r="AB382" s="909">
        <v>0</v>
      </c>
      <c r="AC382" s="909">
        <v>16</v>
      </c>
      <c r="AD382" s="910"/>
      <c r="AE382" s="885"/>
      <c r="AF382" s="911">
        <v>1</v>
      </c>
      <c r="AG382" s="909">
        <v>0</v>
      </c>
      <c r="AH382" s="909"/>
      <c r="AI382" s="912">
        <v>0</v>
      </c>
      <c r="AJ382" s="909"/>
    </row>
    <row r="383" spans="1:36" ht="18" customHeight="1" outlineLevel="1">
      <c r="G383" s="55" t="s">
        <v>261</v>
      </c>
      <c r="L383" s="55" t="s">
        <v>325</v>
      </c>
      <c r="X383" s="910" t="s">
        <v>2096</v>
      </c>
      <c r="Y383" s="913" t="s">
        <v>2097</v>
      </c>
      <c r="Z383" s="909"/>
      <c r="AA383" s="909"/>
      <c r="AB383" s="909">
        <v>16</v>
      </c>
      <c r="AC383" s="909">
        <v>16</v>
      </c>
      <c r="AD383" s="910"/>
      <c r="AE383" s="885"/>
      <c r="AF383" s="911">
        <v>1</v>
      </c>
      <c r="AG383" s="909">
        <v>0</v>
      </c>
      <c r="AH383" s="909"/>
      <c r="AI383" s="912">
        <v>0</v>
      </c>
      <c r="AJ383" s="909"/>
    </row>
    <row r="384" spans="1:36" ht="18" customHeight="1" outlineLevel="1">
      <c r="G384" s="55" t="s">
        <v>261</v>
      </c>
      <c r="L384" s="55" t="s">
        <v>325</v>
      </c>
      <c r="X384" s="910" t="s">
        <v>2098</v>
      </c>
      <c r="Y384" s="913" t="s">
        <v>2099</v>
      </c>
      <c r="Z384" s="909"/>
      <c r="AA384" s="909"/>
      <c r="AB384" s="909">
        <v>32</v>
      </c>
      <c r="AC384" s="909">
        <v>16</v>
      </c>
      <c r="AD384" s="910"/>
      <c r="AE384" s="885"/>
      <c r="AF384" s="911">
        <v>1</v>
      </c>
      <c r="AG384" s="909">
        <v>0</v>
      </c>
      <c r="AH384" s="909"/>
      <c r="AI384" s="912">
        <v>0</v>
      </c>
      <c r="AJ384" s="909"/>
    </row>
    <row r="385" spans="1:36" ht="18" customHeight="1" outlineLevel="1">
      <c r="G385" s="55" t="s">
        <v>261</v>
      </c>
      <c r="L385" s="55" t="s">
        <v>325</v>
      </c>
      <c r="X385" s="910" t="s">
        <v>2100</v>
      </c>
      <c r="Y385" s="913" t="s">
        <v>2101</v>
      </c>
      <c r="Z385" s="909"/>
      <c r="AA385" s="909"/>
      <c r="AB385" s="909">
        <v>48</v>
      </c>
      <c r="AC385" s="909">
        <v>16</v>
      </c>
      <c r="AD385" s="910"/>
      <c r="AE385" s="885"/>
      <c r="AF385" s="911">
        <v>1</v>
      </c>
      <c r="AG385" s="909">
        <v>0</v>
      </c>
      <c r="AH385" s="909"/>
      <c r="AI385" s="912">
        <v>0</v>
      </c>
      <c r="AJ385" s="909"/>
    </row>
    <row r="386" spans="1:36" ht="14.25" customHeight="1">
      <c r="A386" s="900">
        <v>33</v>
      </c>
      <c r="B386" s="901" t="s">
        <v>2085</v>
      </c>
      <c r="C386" s="901" t="s">
        <v>2102</v>
      </c>
      <c r="D386" s="901" t="s">
        <v>259</v>
      </c>
      <c r="E386" s="901">
        <v>8</v>
      </c>
      <c r="F386" s="902" t="s">
        <v>260</v>
      </c>
      <c r="G386" s="238" t="s">
        <v>261</v>
      </c>
      <c r="H386" s="98"/>
      <c r="I386" s="903"/>
      <c r="J386" s="903"/>
      <c r="K386" s="903"/>
      <c r="L386" s="903" t="s">
        <v>325</v>
      </c>
      <c r="M386" s="903"/>
      <c r="N386" s="903"/>
      <c r="O386" s="903"/>
      <c r="P386" s="903"/>
      <c r="Q386" s="903"/>
      <c r="R386" s="903"/>
      <c r="S386" s="903"/>
      <c r="T386" s="903"/>
      <c r="U386" s="903"/>
      <c r="V386" s="903"/>
      <c r="W386" s="903"/>
      <c r="X386" s="904" t="s">
        <v>2103</v>
      </c>
      <c r="Y386" s="914"/>
      <c r="Z386" s="900"/>
      <c r="AA386" s="900"/>
      <c r="AB386" s="900"/>
      <c r="AC386" s="900"/>
      <c r="AD386" s="900"/>
      <c r="AE386" s="904"/>
      <c r="AF386" s="906"/>
      <c r="AG386" s="900"/>
      <c r="AH386" s="900"/>
      <c r="AI386" s="907"/>
      <c r="AJ386" s="900"/>
    </row>
    <row r="387" spans="1:36" ht="18" customHeight="1" outlineLevel="1">
      <c r="G387" s="238" t="s">
        <v>261</v>
      </c>
      <c r="L387" s="915" t="s">
        <v>325</v>
      </c>
      <c r="X387" s="910" t="s">
        <v>2104</v>
      </c>
      <c r="Y387" s="913" t="s">
        <v>2105</v>
      </c>
      <c r="AB387" s="909">
        <v>0</v>
      </c>
      <c r="AC387" s="909">
        <v>16</v>
      </c>
      <c r="AF387" s="304">
        <v>1</v>
      </c>
      <c r="AG387" s="55">
        <v>0</v>
      </c>
      <c r="AI387" s="912">
        <v>0</v>
      </c>
      <c r="AJ387" s="763"/>
    </row>
    <row r="388" spans="1:36" ht="18" customHeight="1" outlineLevel="1">
      <c r="G388" s="238" t="s">
        <v>261</v>
      </c>
      <c r="L388" s="915" t="s">
        <v>325</v>
      </c>
      <c r="X388" s="910" t="s">
        <v>2106</v>
      </c>
      <c r="Y388" s="913" t="s">
        <v>2107</v>
      </c>
      <c r="AB388" s="909">
        <v>16</v>
      </c>
      <c r="AC388" s="909">
        <v>16</v>
      </c>
      <c r="AF388" s="304">
        <v>1</v>
      </c>
      <c r="AG388" s="55">
        <v>0</v>
      </c>
      <c r="AI388" s="912">
        <v>0</v>
      </c>
      <c r="AJ388" s="763"/>
    </row>
    <row r="389" spans="1:36" ht="18" customHeight="1" outlineLevel="1">
      <c r="G389" s="238" t="s">
        <v>261</v>
      </c>
      <c r="L389" s="915" t="s">
        <v>325</v>
      </c>
      <c r="X389" s="910" t="s">
        <v>2108</v>
      </c>
      <c r="Y389" s="913" t="s">
        <v>2109</v>
      </c>
      <c r="AB389" s="909">
        <v>32</v>
      </c>
      <c r="AC389" s="909">
        <v>16</v>
      </c>
      <c r="AF389" s="304">
        <v>1</v>
      </c>
      <c r="AG389" s="55">
        <v>0</v>
      </c>
      <c r="AI389" s="912">
        <v>0</v>
      </c>
      <c r="AJ389" s="763"/>
    </row>
    <row r="390" spans="1:36" ht="18" customHeight="1" outlineLevel="1">
      <c r="G390" s="238" t="s">
        <v>261</v>
      </c>
      <c r="L390" s="915" t="s">
        <v>325</v>
      </c>
      <c r="X390" s="910" t="s">
        <v>2110</v>
      </c>
      <c r="Y390" s="913" t="s">
        <v>2111</v>
      </c>
      <c r="AB390" s="909">
        <v>48</v>
      </c>
      <c r="AC390" s="909">
        <v>16</v>
      </c>
      <c r="AF390" s="304">
        <v>1</v>
      </c>
      <c r="AG390" s="55">
        <v>0</v>
      </c>
      <c r="AI390" s="912">
        <v>0</v>
      </c>
      <c r="AJ390" s="763"/>
    </row>
    <row r="391" spans="1:36" ht="14.25" customHeight="1">
      <c r="X391" s="910"/>
      <c r="Y391" s="239"/>
      <c r="AB391" s="47"/>
      <c r="AC391" s="47"/>
      <c r="AI391" s="47"/>
      <c r="AJ391" s="763"/>
    </row>
    <row r="392" spans="1:36" ht="14.25" customHeight="1">
      <c r="A392" s="900">
        <v>34</v>
      </c>
      <c r="B392" s="901" t="s">
        <v>2085</v>
      </c>
      <c r="C392" s="901" t="s">
        <v>2112</v>
      </c>
      <c r="D392" s="901" t="s">
        <v>259</v>
      </c>
      <c r="E392" s="901">
        <v>8</v>
      </c>
      <c r="F392" s="902" t="s">
        <v>260</v>
      </c>
      <c r="G392" s="238" t="s">
        <v>261</v>
      </c>
      <c r="H392" s="98"/>
      <c r="I392" s="903"/>
      <c r="J392" s="903"/>
      <c r="K392" s="903"/>
      <c r="L392" s="903" t="s">
        <v>325</v>
      </c>
      <c r="M392" s="903"/>
      <c r="N392" s="903"/>
      <c r="O392" s="903"/>
      <c r="P392" s="903"/>
      <c r="Q392" s="903"/>
      <c r="R392" s="903"/>
      <c r="S392" s="903"/>
      <c r="T392" s="903"/>
      <c r="U392" s="903"/>
      <c r="V392" s="903"/>
      <c r="W392" s="903"/>
      <c r="X392" s="904" t="s">
        <v>2113</v>
      </c>
      <c r="Y392" s="914"/>
      <c r="Z392" s="900"/>
      <c r="AA392" s="900"/>
      <c r="AB392" s="900"/>
      <c r="AC392" s="900"/>
      <c r="AD392" s="900"/>
      <c r="AE392" s="904"/>
      <c r="AF392" s="906"/>
      <c r="AG392" s="900"/>
      <c r="AH392" s="900"/>
      <c r="AI392" s="907"/>
      <c r="AJ392" s="900"/>
    </row>
    <row r="393" spans="1:36" ht="18" customHeight="1" outlineLevel="1">
      <c r="G393" s="238" t="s">
        <v>261</v>
      </c>
      <c r="L393" s="915" t="s">
        <v>325</v>
      </c>
      <c r="X393" s="910" t="s">
        <v>2114</v>
      </c>
      <c r="Y393" s="913" t="s">
        <v>2115</v>
      </c>
      <c r="AB393" s="909">
        <v>0</v>
      </c>
      <c r="AC393" s="909">
        <v>16</v>
      </c>
      <c r="AF393" s="304">
        <v>1</v>
      </c>
      <c r="AG393" s="55">
        <v>0</v>
      </c>
      <c r="AI393" s="54">
        <v>0</v>
      </c>
      <c r="AJ393" s="763"/>
    </row>
    <row r="394" spans="1:36" ht="18" customHeight="1" outlineLevel="1">
      <c r="G394" s="238" t="s">
        <v>261</v>
      </c>
      <c r="L394" s="915" t="s">
        <v>325</v>
      </c>
      <c r="X394" s="910" t="s">
        <v>2116</v>
      </c>
      <c r="Y394" s="913" t="s">
        <v>2117</v>
      </c>
      <c r="AB394" s="909">
        <v>16</v>
      </c>
      <c r="AC394" s="909">
        <v>16</v>
      </c>
      <c r="AF394" s="304">
        <v>1</v>
      </c>
      <c r="AG394" s="55">
        <v>0</v>
      </c>
      <c r="AI394" s="54">
        <v>0</v>
      </c>
      <c r="AJ394" s="763"/>
    </row>
    <row r="395" spans="1:36" ht="18" customHeight="1" outlineLevel="1">
      <c r="G395" s="238" t="s">
        <v>261</v>
      </c>
      <c r="L395" s="915" t="s">
        <v>325</v>
      </c>
      <c r="X395" s="910" t="s">
        <v>2118</v>
      </c>
      <c r="Y395" s="913" t="s">
        <v>2119</v>
      </c>
      <c r="AB395" s="909">
        <v>32</v>
      </c>
      <c r="AC395" s="909">
        <v>16</v>
      </c>
      <c r="AF395" s="304">
        <v>1</v>
      </c>
      <c r="AG395" s="55">
        <v>0</v>
      </c>
      <c r="AI395" s="54">
        <v>0</v>
      </c>
      <c r="AJ395" s="763"/>
    </row>
    <row r="396" spans="1:36" ht="18" customHeight="1" outlineLevel="1">
      <c r="G396" s="238" t="s">
        <v>261</v>
      </c>
      <c r="L396" s="915" t="s">
        <v>325</v>
      </c>
      <c r="X396" s="910" t="s">
        <v>2120</v>
      </c>
      <c r="Y396" s="913" t="s">
        <v>2121</v>
      </c>
      <c r="AB396" s="909">
        <v>48</v>
      </c>
      <c r="AC396" s="909">
        <v>16</v>
      </c>
      <c r="AF396" s="304">
        <v>1</v>
      </c>
      <c r="AG396" s="55">
        <v>0</v>
      </c>
      <c r="AI396" s="54">
        <v>0</v>
      </c>
      <c r="AJ396" s="763"/>
    </row>
    <row r="397" spans="1:36" ht="14.25" customHeight="1">
      <c r="G397" s="238"/>
      <c r="AJ397" s="763"/>
    </row>
    <row r="398" spans="1:36" ht="14.25" customHeight="1">
      <c r="A398" s="900">
        <v>35</v>
      </c>
      <c r="B398" s="901" t="s">
        <v>2085</v>
      </c>
      <c r="C398" s="901" t="s">
        <v>2122</v>
      </c>
      <c r="D398" s="901" t="s">
        <v>259</v>
      </c>
      <c r="E398" s="901">
        <v>8</v>
      </c>
      <c r="F398" s="902" t="s">
        <v>260</v>
      </c>
      <c r="G398" s="238" t="s">
        <v>261</v>
      </c>
      <c r="H398" s="98"/>
      <c r="I398" s="903"/>
      <c r="J398" s="903"/>
      <c r="K398" s="903"/>
      <c r="L398" s="915" t="s">
        <v>325</v>
      </c>
      <c r="M398" s="903"/>
      <c r="N398" s="903"/>
      <c r="O398" s="903"/>
      <c r="P398" s="903"/>
      <c r="Q398" s="903"/>
      <c r="R398" s="903"/>
      <c r="S398" s="903"/>
      <c r="T398" s="903"/>
      <c r="U398" s="903"/>
      <c r="V398" s="903"/>
      <c r="W398" s="903"/>
      <c r="X398" s="904"/>
      <c r="Y398" s="914"/>
      <c r="Z398" s="900"/>
      <c r="AA398" s="900"/>
      <c r="AB398" s="900"/>
      <c r="AC398" s="900"/>
      <c r="AD398" s="900"/>
      <c r="AE398" s="904"/>
      <c r="AF398" s="906"/>
      <c r="AG398" s="900"/>
      <c r="AH398" s="900"/>
      <c r="AI398" s="907"/>
      <c r="AJ398" s="900"/>
    </row>
    <row r="399" spans="1:36" ht="18" customHeight="1" outlineLevel="1">
      <c r="G399" s="238" t="s">
        <v>261</v>
      </c>
      <c r="L399" s="915" t="s">
        <v>325</v>
      </c>
      <c r="X399" s="913" t="s">
        <v>2123</v>
      </c>
      <c r="Y399" s="913" t="s">
        <v>2124</v>
      </c>
      <c r="AB399" s="909">
        <v>0</v>
      </c>
      <c r="AC399" s="909">
        <v>16</v>
      </c>
      <c r="AF399" s="304">
        <v>1</v>
      </c>
      <c r="AG399" s="55">
        <v>0</v>
      </c>
      <c r="AI399" s="54">
        <v>0</v>
      </c>
      <c r="AJ399" s="763"/>
    </row>
    <row r="400" spans="1:36" ht="18" customHeight="1" outlineLevel="1">
      <c r="G400" s="238" t="s">
        <v>261</v>
      </c>
      <c r="L400" s="915" t="s">
        <v>325</v>
      </c>
      <c r="X400" s="913" t="s">
        <v>2125</v>
      </c>
      <c r="Y400" s="913" t="s">
        <v>2126</v>
      </c>
      <c r="AB400" s="909">
        <v>16</v>
      </c>
      <c r="AC400" s="909">
        <v>16</v>
      </c>
      <c r="AF400" s="304">
        <v>1</v>
      </c>
      <c r="AG400" s="55">
        <v>0</v>
      </c>
      <c r="AI400" s="54">
        <v>0</v>
      </c>
      <c r="AJ400" s="763"/>
    </row>
    <row r="401" spans="1:36" ht="14.25" customHeight="1">
      <c r="AJ401" s="763"/>
    </row>
    <row r="402" spans="1:36" ht="14.25" customHeight="1">
      <c r="A402" s="900">
        <v>36</v>
      </c>
      <c r="B402" s="901" t="s">
        <v>2085</v>
      </c>
      <c r="C402" s="901" t="s">
        <v>2127</v>
      </c>
      <c r="D402" s="901" t="s">
        <v>259</v>
      </c>
      <c r="E402" s="901">
        <v>8</v>
      </c>
      <c r="F402" s="902" t="s">
        <v>260</v>
      </c>
      <c r="G402" s="238" t="s">
        <v>261</v>
      </c>
      <c r="H402" s="98"/>
      <c r="I402" s="903"/>
      <c r="J402" s="903"/>
      <c r="K402" s="903"/>
      <c r="L402" s="903" t="s">
        <v>325</v>
      </c>
      <c r="M402" s="903"/>
      <c r="N402" s="903"/>
      <c r="O402" s="903"/>
      <c r="P402" s="903"/>
      <c r="Q402" s="903"/>
      <c r="R402" s="903"/>
      <c r="S402" s="903"/>
      <c r="T402" s="903"/>
      <c r="U402" s="903"/>
      <c r="V402" s="903"/>
      <c r="W402" s="903"/>
      <c r="X402" s="904"/>
      <c r="Y402" s="914"/>
      <c r="Z402" s="900"/>
      <c r="AA402" s="900"/>
      <c r="AB402" s="900"/>
      <c r="AC402" s="900"/>
      <c r="AD402" s="900"/>
      <c r="AE402" s="904"/>
      <c r="AF402" s="906"/>
      <c r="AG402" s="900"/>
      <c r="AH402" s="900"/>
      <c r="AI402" s="907"/>
      <c r="AJ402" s="900"/>
    </row>
    <row r="403" spans="1:36" ht="18" customHeight="1" outlineLevel="1">
      <c r="G403" s="238" t="s">
        <v>261</v>
      </c>
      <c r="L403" s="915" t="s">
        <v>325</v>
      </c>
      <c r="X403" s="913" t="s">
        <v>2128</v>
      </c>
      <c r="Y403" s="913" t="s">
        <v>2129</v>
      </c>
      <c r="AB403" s="909">
        <v>0</v>
      </c>
      <c r="AC403" s="909">
        <v>16</v>
      </c>
      <c r="AF403" s="304">
        <v>1E-3</v>
      </c>
      <c r="AG403" s="55">
        <v>0</v>
      </c>
      <c r="AI403" s="54">
        <v>0</v>
      </c>
      <c r="AJ403" s="763"/>
    </row>
    <row r="404" spans="1:36" ht="18" customHeight="1" outlineLevel="1">
      <c r="G404" s="238" t="s">
        <v>261</v>
      </c>
      <c r="L404" s="915" t="s">
        <v>325</v>
      </c>
      <c r="X404" s="913" t="s">
        <v>2130</v>
      </c>
      <c r="Y404" s="913" t="s">
        <v>2131</v>
      </c>
      <c r="AB404" s="909">
        <v>16</v>
      </c>
      <c r="AC404" s="909">
        <v>16</v>
      </c>
      <c r="AF404" s="304">
        <v>1E-3</v>
      </c>
      <c r="AG404" s="55">
        <v>0</v>
      </c>
      <c r="AI404" s="54">
        <v>0</v>
      </c>
      <c r="AJ404" s="763"/>
    </row>
    <row r="405" spans="1:36" ht="18" customHeight="1" outlineLevel="1">
      <c r="G405" s="238" t="s">
        <v>261</v>
      </c>
      <c r="L405" s="915" t="s">
        <v>325</v>
      </c>
      <c r="X405" s="913" t="s">
        <v>2132</v>
      </c>
      <c r="Y405" s="913" t="s">
        <v>2133</v>
      </c>
      <c r="AB405" s="909">
        <v>32</v>
      </c>
      <c r="AC405" s="909">
        <v>16</v>
      </c>
      <c r="AF405" s="304">
        <v>1E-3</v>
      </c>
      <c r="AG405" s="55">
        <v>0</v>
      </c>
      <c r="AI405" s="54">
        <v>0</v>
      </c>
      <c r="AJ405" s="763"/>
    </row>
    <row r="406" spans="1:36" ht="18" customHeight="1" outlineLevel="1">
      <c r="G406" s="238" t="s">
        <v>261</v>
      </c>
      <c r="L406" s="915" t="s">
        <v>325</v>
      </c>
      <c r="X406" s="913" t="s">
        <v>2134</v>
      </c>
      <c r="Y406" s="913" t="s">
        <v>2135</v>
      </c>
      <c r="AB406" s="909">
        <v>48</v>
      </c>
      <c r="AC406" s="909">
        <v>16</v>
      </c>
      <c r="AF406" s="304">
        <v>1E-3</v>
      </c>
      <c r="AG406" s="55">
        <v>0</v>
      </c>
      <c r="AI406" s="54">
        <v>0</v>
      </c>
      <c r="AJ406" s="763"/>
    </row>
    <row r="407" spans="1:36" ht="18" customHeight="1">
      <c r="G407" s="238"/>
      <c r="L407" s="915"/>
      <c r="X407" s="913"/>
      <c r="Y407" s="913"/>
      <c r="AB407" s="909"/>
      <c r="AC407" s="909"/>
      <c r="AJ407" s="763"/>
    </row>
    <row r="408" spans="1:36" ht="18" customHeight="1">
      <c r="A408" s="903">
        <v>37</v>
      </c>
      <c r="B408" s="902" t="s">
        <v>2085</v>
      </c>
      <c r="C408" s="902" t="s">
        <v>2136</v>
      </c>
      <c r="D408" s="902" t="s">
        <v>259</v>
      </c>
      <c r="E408" s="902">
        <v>8</v>
      </c>
      <c r="F408" s="902" t="s">
        <v>260</v>
      </c>
      <c r="G408" s="98" t="s">
        <v>261</v>
      </c>
      <c r="H408" s="98"/>
      <c r="I408" s="903"/>
      <c r="J408" s="903"/>
      <c r="K408" s="903"/>
      <c r="L408" s="903" t="s">
        <v>325</v>
      </c>
      <c r="M408" s="903"/>
      <c r="N408" s="903"/>
      <c r="O408" s="903"/>
      <c r="P408" s="903"/>
      <c r="Q408" s="903"/>
      <c r="R408" s="903"/>
      <c r="S408" s="903"/>
      <c r="T408" s="903"/>
      <c r="U408" s="903"/>
      <c r="V408" s="903"/>
      <c r="W408" s="903"/>
      <c r="X408" s="904" t="s">
        <v>2137</v>
      </c>
      <c r="Y408" s="905"/>
      <c r="Z408" s="903"/>
      <c r="AA408" s="903"/>
      <c r="AB408" s="903"/>
      <c r="AC408" s="903"/>
      <c r="AD408" s="903"/>
      <c r="AE408" s="904" t="s">
        <v>2093</v>
      </c>
      <c r="AF408" s="906"/>
      <c r="AG408" s="903"/>
      <c r="AH408" s="903"/>
      <c r="AI408" s="907"/>
      <c r="AJ408" s="903"/>
    </row>
    <row r="409" spans="1:36" ht="30.75" customHeight="1">
      <c r="G409" s="238"/>
      <c r="L409" s="915"/>
      <c r="X409" s="913" t="s">
        <v>2138</v>
      </c>
      <c r="Y409" s="1103" t="s">
        <v>2139</v>
      </c>
      <c r="Z409" s="54">
        <v>0</v>
      </c>
      <c r="AA409" s="54">
        <v>0</v>
      </c>
      <c r="AB409" s="1103">
        <v>0</v>
      </c>
      <c r="AC409" s="909">
        <v>1</v>
      </c>
      <c r="AD409" s="885" t="s">
        <v>407</v>
      </c>
      <c r="AE409" s="366" t="s">
        <v>2140</v>
      </c>
      <c r="AF409" s="304">
        <v>1</v>
      </c>
      <c r="AG409" s="291">
        <v>0</v>
      </c>
      <c r="AH409" s="243"/>
      <c r="AI409" s="243">
        <v>0</v>
      </c>
      <c r="AJ409" s="763"/>
    </row>
    <row r="410" spans="1:36" ht="30.75" customHeight="1">
      <c r="G410" s="238"/>
      <c r="L410" s="915"/>
      <c r="X410" s="913" t="s">
        <v>2141</v>
      </c>
      <c r="Y410" s="1103" t="s">
        <v>2142</v>
      </c>
      <c r="AB410" s="1103">
        <v>1</v>
      </c>
      <c r="AC410" s="909">
        <v>1</v>
      </c>
      <c r="AD410" s="885" t="s">
        <v>407</v>
      </c>
      <c r="AE410" s="366" t="s">
        <v>2140</v>
      </c>
      <c r="AF410" s="304">
        <v>1</v>
      </c>
      <c r="AG410" s="291">
        <v>0</v>
      </c>
      <c r="AH410" s="243"/>
      <c r="AI410" s="243">
        <v>0</v>
      </c>
      <c r="AJ410" s="763"/>
    </row>
    <row r="411" spans="1:36" ht="30.75" customHeight="1">
      <c r="G411" s="238"/>
      <c r="L411" s="915"/>
      <c r="X411" s="1169" t="s">
        <v>2143</v>
      </c>
      <c r="Y411" s="1103" t="s">
        <v>2144</v>
      </c>
      <c r="AB411" s="1103">
        <v>2</v>
      </c>
      <c r="AC411" s="909">
        <v>1</v>
      </c>
      <c r="AD411" s="885" t="s">
        <v>407</v>
      </c>
      <c r="AE411" s="366" t="s">
        <v>2140</v>
      </c>
      <c r="AF411" s="304">
        <v>1</v>
      </c>
      <c r="AG411" s="291">
        <v>0</v>
      </c>
      <c r="AH411" s="243"/>
      <c r="AI411" s="243">
        <v>0</v>
      </c>
      <c r="AJ411" s="763"/>
    </row>
    <row r="412" spans="1:36" ht="30.75" customHeight="1">
      <c r="G412" s="238"/>
      <c r="L412" s="915"/>
      <c r="X412" s="913" t="s">
        <v>2145</v>
      </c>
      <c r="Y412" s="1103" t="s">
        <v>2146</v>
      </c>
      <c r="AB412" s="1103">
        <v>3</v>
      </c>
      <c r="AC412" s="909">
        <v>1</v>
      </c>
      <c r="AD412" s="885" t="s">
        <v>407</v>
      </c>
      <c r="AE412" s="366" t="s">
        <v>2140</v>
      </c>
      <c r="AF412" s="304">
        <v>1</v>
      </c>
      <c r="AG412" s="291">
        <v>0</v>
      </c>
      <c r="AH412" s="243"/>
      <c r="AI412" s="243">
        <v>0</v>
      </c>
      <c r="AJ412" s="763"/>
    </row>
    <row r="413" spans="1:36" ht="30.75" customHeight="1">
      <c r="G413" s="238"/>
      <c r="L413" s="915"/>
      <c r="X413" s="913" t="s">
        <v>2147</v>
      </c>
      <c r="Y413" s="1103" t="s">
        <v>2148</v>
      </c>
      <c r="AB413" s="1103">
        <v>4</v>
      </c>
      <c r="AC413" s="909">
        <v>1</v>
      </c>
      <c r="AD413" s="885" t="s">
        <v>407</v>
      </c>
      <c r="AE413" s="366" t="s">
        <v>2140</v>
      </c>
      <c r="AF413" s="304">
        <v>1</v>
      </c>
      <c r="AG413" s="291">
        <v>0</v>
      </c>
      <c r="AH413" s="243"/>
      <c r="AI413" s="243">
        <v>0</v>
      </c>
      <c r="AJ413" s="763"/>
    </row>
    <row r="414" spans="1:36" ht="30.75" customHeight="1">
      <c r="G414" s="238"/>
      <c r="L414" s="915"/>
      <c r="X414" s="913" t="s">
        <v>2149</v>
      </c>
      <c r="Y414" s="1103" t="s">
        <v>2150</v>
      </c>
      <c r="AB414" s="1103">
        <v>5</v>
      </c>
      <c r="AC414" s="909">
        <v>1</v>
      </c>
      <c r="AD414" s="885" t="s">
        <v>407</v>
      </c>
      <c r="AE414" s="366" t="s">
        <v>2140</v>
      </c>
      <c r="AF414" s="304">
        <v>1</v>
      </c>
      <c r="AG414" s="291">
        <v>0</v>
      </c>
      <c r="AH414" s="243"/>
      <c r="AI414" s="243">
        <v>0</v>
      </c>
      <c r="AJ414" s="763"/>
    </row>
    <row r="415" spans="1:36" ht="30.75" customHeight="1">
      <c r="G415" s="238"/>
      <c r="L415" s="915"/>
      <c r="X415" s="913" t="s">
        <v>2151</v>
      </c>
      <c r="Y415" s="1103" t="s">
        <v>2152</v>
      </c>
      <c r="AB415" s="1103">
        <v>6</v>
      </c>
      <c r="AC415" s="909">
        <v>1</v>
      </c>
      <c r="AD415" s="885" t="s">
        <v>407</v>
      </c>
      <c r="AE415" s="366" t="s">
        <v>2140</v>
      </c>
      <c r="AF415" s="304">
        <v>1</v>
      </c>
      <c r="AG415" s="291">
        <v>0</v>
      </c>
      <c r="AH415" s="243"/>
      <c r="AI415" s="243">
        <v>0</v>
      </c>
      <c r="AJ415" s="763"/>
    </row>
    <row r="416" spans="1:36" ht="30.75" customHeight="1">
      <c r="G416" s="238"/>
      <c r="L416" s="915"/>
      <c r="X416" s="913" t="s">
        <v>2153</v>
      </c>
      <c r="Y416" s="1103" t="s">
        <v>2154</v>
      </c>
      <c r="AB416" s="1103">
        <v>7</v>
      </c>
      <c r="AC416" s="909">
        <v>1</v>
      </c>
      <c r="AD416" s="885" t="s">
        <v>407</v>
      </c>
      <c r="AE416" s="366" t="s">
        <v>2140</v>
      </c>
      <c r="AF416" s="304">
        <v>1</v>
      </c>
      <c r="AG416" s="291">
        <v>0</v>
      </c>
      <c r="AH416" s="243"/>
      <c r="AI416" s="243">
        <v>0</v>
      </c>
      <c r="AJ416" s="763"/>
    </row>
    <row r="417" spans="7:36" ht="30.75" customHeight="1">
      <c r="G417" s="238"/>
      <c r="L417" s="915"/>
      <c r="X417" s="913" t="s">
        <v>2155</v>
      </c>
      <c r="Y417" s="1103" t="s">
        <v>2156</v>
      </c>
      <c r="AB417" s="1103">
        <v>8</v>
      </c>
      <c r="AC417" s="909">
        <v>1</v>
      </c>
      <c r="AD417" s="885" t="s">
        <v>407</v>
      </c>
      <c r="AE417" s="366" t="s">
        <v>2140</v>
      </c>
      <c r="AF417" s="304">
        <v>1</v>
      </c>
      <c r="AG417" s="291">
        <v>0</v>
      </c>
      <c r="AH417" s="243"/>
      <c r="AI417" s="243">
        <v>0</v>
      </c>
      <c r="AJ417" s="763"/>
    </row>
    <row r="418" spans="7:36" ht="30.75" customHeight="1">
      <c r="G418" s="238"/>
      <c r="L418" s="915"/>
      <c r="X418" s="913" t="s">
        <v>2157</v>
      </c>
      <c r="Y418" s="1103" t="s">
        <v>2158</v>
      </c>
      <c r="AB418" s="1103">
        <v>9</v>
      </c>
      <c r="AC418" s="909">
        <v>1</v>
      </c>
      <c r="AD418" s="885" t="s">
        <v>407</v>
      </c>
      <c r="AE418" s="366" t="s">
        <v>2140</v>
      </c>
      <c r="AF418" s="304">
        <v>1</v>
      </c>
      <c r="AG418" s="291">
        <v>0</v>
      </c>
      <c r="AH418" s="243"/>
      <c r="AI418" s="243">
        <v>0</v>
      </c>
      <c r="AJ418" s="763"/>
    </row>
    <row r="419" spans="7:36" ht="30.75" customHeight="1">
      <c r="G419" s="238"/>
      <c r="L419" s="915"/>
      <c r="X419" s="913" t="s">
        <v>2159</v>
      </c>
      <c r="Y419" s="1103" t="s">
        <v>2160</v>
      </c>
      <c r="AB419" s="1103">
        <v>10</v>
      </c>
      <c r="AC419" s="909">
        <v>1</v>
      </c>
      <c r="AD419" s="885" t="s">
        <v>407</v>
      </c>
      <c r="AE419" s="366" t="s">
        <v>2140</v>
      </c>
      <c r="AF419" s="304">
        <v>1</v>
      </c>
      <c r="AG419" s="291">
        <v>0</v>
      </c>
      <c r="AH419" s="243"/>
      <c r="AI419" s="243">
        <v>0</v>
      </c>
      <c r="AJ419" s="763"/>
    </row>
    <row r="420" spans="7:36" ht="30.75" customHeight="1">
      <c r="G420" s="238"/>
      <c r="L420" s="915"/>
      <c r="X420" s="1169" t="s">
        <v>2161</v>
      </c>
      <c r="Y420" s="1103" t="s">
        <v>2162</v>
      </c>
      <c r="AB420" s="1103">
        <v>11</v>
      </c>
      <c r="AC420" s="909">
        <v>1</v>
      </c>
      <c r="AD420" s="885" t="s">
        <v>407</v>
      </c>
      <c r="AE420" s="366" t="s">
        <v>2140</v>
      </c>
      <c r="AF420" s="304">
        <v>1</v>
      </c>
      <c r="AG420" s="291">
        <v>0</v>
      </c>
      <c r="AH420" s="243"/>
      <c r="AI420" s="243">
        <v>0</v>
      </c>
      <c r="AJ420" s="763"/>
    </row>
    <row r="421" spans="7:36" ht="30.75" customHeight="1">
      <c r="G421" s="238"/>
      <c r="L421" s="915"/>
      <c r="X421" s="913" t="s">
        <v>2163</v>
      </c>
      <c r="Y421" s="1103" t="s">
        <v>2164</v>
      </c>
      <c r="AB421" s="1103">
        <v>12</v>
      </c>
      <c r="AC421" s="909">
        <v>1</v>
      </c>
      <c r="AD421" s="885" t="s">
        <v>407</v>
      </c>
      <c r="AE421" s="366" t="s">
        <v>2140</v>
      </c>
      <c r="AF421" s="304">
        <v>1</v>
      </c>
      <c r="AG421" s="291">
        <v>0</v>
      </c>
      <c r="AH421" s="243"/>
      <c r="AI421" s="243">
        <v>0</v>
      </c>
      <c r="AJ421" s="763"/>
    </row>
    <row r="422" spans="7:36" ht="30.75" customHeight="1">
      <c r="G422" s="238"/>
      <c r="L422" s="915"/>
      <c r="X422" s="913" t="s">
        <v>2165</v>
      </c>
      <c r="Y422" s="1103" t="s">
        <v>2166</v>
      </c>
      <c r="AB422" s="1103">
        <v>13</v>
      </c>
      <c r="AC422" s="909">
        <v>1</v>
      </c>
      <c r="AD422" s="885" t="s">
        <v>407</v>
      </c>
      <c r="AE422" s="366" t="s">
        <v>2140</v>
      </c>
      <c r="AF422" s="304">
        <v>1</v>
      </c>
      <c r="AG422" s="291">
        <v>0</v>
      </c>
      <c r="AH422" s="243"/>
      <c r="AI422" s="243">
        <v>0</v>
      </c>
      <c r="AJ422" s="763"/>
    </row>
    <row r="423" spans="7:36" ht="30.75" customHeight="1">
      <c r="G423" s="238"/>
      <c r="L423" s="915"/>
      <c r="X423" s="913" t="s">
        <v>2167</v>
      </c>
      <c r="Y423" s="1103" t="s">
        <v>2168</v>
      </c>
      <c r="AB423" s="1103">
        <v>14</v>
      </c>
      <c r="AC423" s="909">
        <v>1</v>
      </c>
      <c r="AD423" s="885" t="s">
        <v>407</v>
      </c>
      <c r="AE423" s="366" t="s">
        <v>2140</v>
      </c>
      <c r="AF423" s="304">
        <v>1</v>
      </c>
      <c r="AG423" s="291">
        <v>0</v>
      </c>
      <c r="AH423" s="243"/>
      <c r="AI423" s="243">
        <v>0</v>
      </c>
      <c r="AJ423" s="763"/>
    </row>
    <row r="424" spans="7:36" ht="30.75" customHeight="1">
      <c r="G424" s="238"/>
      <c r="L424" s="915"/>
      <c r="X424" s="913" t="s">
        <v>2169</v>
      </c>
      <c r="Y424" s="1103" t="s">
        <v>2170</v>
      </c>
      <c r="AB424" s="1103">
        <v>15</v>
      </c>
      <c r="AC424" s="909">
        <v>1</v>
      </c>
      <c r="AD424" s="885" t="s">
        <v>407</v>
      </c>
      <c r="AE424" s="366" t="s">
        <v>2140</v>
      </c>
      <c r="AF424" s="304">
        <v>1</v>
      </c>
      <c r="AG424" s="291">
        <v>0</v>
      </c>
      <c r="AH424" s="243"/>
      <c r="AI424" s="243">
        <v>0</v>
      </c>
      <c r="AJ424" s="763"/>
    </row>
    <row r="425" spans="7:36" ht="30.75" customHeight="1">
      <c r="G425" s="238"/>
      <c r="L425" s="915"/>
      <c r="X425" s="913" t="s">
        <v>2171</v>
      </c>
      <c r="Y425" s="1103" t="s">
        <v>2172</v>
      </c>
      <c r="AB425" s="1103">
        <v>16</v>
      </c>
      <c r="AC425" s="909">
        <v>1</v>
      </c>
      <c r="AD425" s="885" t="s">
        <v>407</v>
      </c>
      <c r="AE425" s="366" t="s">
        <v>2140</v>
      </c>
      <c r="AF425" s="304">
        <v>1</v>
      </c>
      <c r="AG425" s="291">
        <v>0</v>
      </c>
      <c r="AH425" s="243"/>
      <c r="AI425" s="243">
        <v>0</v>
      </c>
      <c r="AJ425" s="763"/>
    </row>
    <row r="426" spans="7:36" ht="30.75" customHeight="1">
      <c r="G426" s="238"/>
      <c r="L426" s="915"/>
      <c r="X426" s="913" t="s">
        <v>2173</v>
      </c>
      <c r="Y426" s="1103" t="s">
        <v>2174</v>
      </c>
      <c r="AB426" s="1103">
        <v>17</v>
      </c>
      <c r="AC426" s="909">
        <v>1</v>
      </c>
      <c r="AD426" s="885" t="s">
        <v>407</v>
      </c>
      <c r="AE426" s="366" t="s">
        <v>2140</v>
      </c>
      <c r="AF426" s="304">
        <v>1</v>
      </c>
      <c r="AG426" s="291">
        <v>0</v>
      </c>
      <c r="AH426" s="243"/>
      <c r="AI426" s="243">
        <v>0</v>
      </c>
      <c r="AJ426" s="763"/>
    </row>
    <row r="427" spans="7:36" ht="30.75" customHeight="1">
      <c r="G427" s="238"/>
      <c r="L427" s="915"/>
      <c r="X427" s="913" t="s">
        <v>2175</v>
      </c>
      <c r="Y427" s="1103" t="s">
        <v>2176</v>
      </c>
      <c r="AB427" s="1103">
        <v>18</v>
      </c>
      <c r="AC427" s="909">
        <v>1</v>
      </c>
      <c r="AD427" s="885" t="s">
        <v>407</v>
      </c>
      <c r="AE427" s="366" t="s">
        <v>2140</v>
      </c>
      <c r="AF427" s="304">
        <v>1</v>
      </c>
      <c r="AG427" s="291">
        <v>0</v>
      </c>
      <c r="AH427" s="243"/>
      <c r="AI427" s="243">
        <v>0</v>
      </c>
      <c r="AJ427" s="763"/>
    </row>
    <row r="428" spans="7:36" ht="30.75" customHeight="1">
      <c r="G428" s="238"/>
      <c r="L428" s="915"/>
      <c r="X428" s="913" t="s">
        <v>2177</v>
      </c>
      <c r="Y428" s="1103" t="s">
        <v>2178</v>
      </c>
      <c r="AB428" s="1103">
        <v>19</v>
      </c>
      <c r="AC428" s="909">
        <v>1</v>
      </c>
      <c r="AD428" s="885" t="s">
        <v>407</v>
      </c>
      <c r="AE428" s="366" t="s">
        <v>2140</v>
      </c>
      <c r="AF428" s="304">
        <v>1</v>
      </c>
      <c r="AG428" s="291">
        <v>0</v>
      </c>
      <c r="AH428" s="243"/>
      <c r="AI428" s="243">
        <v>0</v>
      </c>
      <c r="AJ428" s="763"/>
    </row>
    <row r="429" spans="7:36" ht="30.75" customHeight="1">
      <c r="G429" s="238"/>
      <c r="L429" s="915"/>
      <c r="X429" s="913" t="s">
        <v>2179</v>
      </c>
      <c r="Y429" s="1103" t="s">
        <v>2180</v>
      </c>
      <c r="AB429" s="1103">
        <v>20</v>
      </c>
      <c r="AC429" s="909">
        <v>1</v>
      </c>
      <c r="AD429" s="885" t="s">
        <v>407</v>
      </c>
      <c r="AE429" s="366" t="s">
        <v>2140</v>
      </c>
      <c r="AF429" s="304">
        <v>1</v>
      </c>
      <c r="AG429" s="291">
        <v>0</v>
      </c>
      <c r="AH429" s="243"/>
      <c r="AI429" s="243">
        <v>0</v>
      </c>
      <c r="AJ429" s="763"/>
    </row>
    <row r="430" spans="7:36" ht="30.75" customHeight="1">
      <c r="G430" s="238"/>
      <c r="L430" s="915"/>
      <c r="X430" s="913" t="s">
        <v>2181</v>
      </c>
      <c r="Y430" s="1103" t="s">
        <v>2182</v>
      </c>
      <c r="AB430" s="1103">
        <v>21</v>
      </c>
      <c r="AC430" s="909">
        <v>1</v>
      </c>
      <c r="AD430" s="885" t="s">
        <v>407</v>
      </c>
      <c r="AE430" s="366" t="s">
        <v>2140</v>
      </c>
      <c r="AF430" s="304">
        <v>1</v>
      </c>
      <c r="AG430" s="291">
        <v>0</v>
      </c>
      <c r="AH430" s="243"/>
      <c r="AI430" s="243">
        <v>0</v>
      </c>
      <c r="AJ430" s="763"/>
    </row>
    <row r="431" spans="7:36" ht="30.75" customHeight="1">
      <c r="G431" s="238"/>
      <c r="L431" s="915"/>
      <c r="X431" s="913" t="s">
        <v>2183</v>
      </c>
      <c r="Y431" s="1103" t="s">
        <v>2184</v>
      </c>
      <c r="AB431" s="1103">
        <v>22</v>
      </c>
      <c r="AC431" s="909">
        <v>1</v>
      </c>
      <c r="AD431" s="885" t="s">
        <v>407</v>
      </c>
      <c r="AE431" s="366" t="s">
        <v>2140</v>
      </c>
      <c r="AF431" s="304">
        <v>1</v>
      </c>
      <c r="AG431" s="291">
        <v>0</v>
      </c>
      <c r="AH431" s="243"/>
      <c r="AI431" s="243">
        <v>0</v>
      </c>
      <c r="AJ431" s="763"/>
    </row>
    <row r="432" spans="7:36" ht="30.75" customHeight="1">
      <c r="G432" s="238"/>
      <c r="L432" s="915"/>
      <c r="X432" s="913" t="s">
        <v>2185</v>
      </c>
      <c r="Y432" s="1103" t="s">
        <v>2186</v>
      </c>
      <c r="AB432" s="1103">
        <v>23</v>
      </c>
      <c r="AC432" s="909">
        <v>1</v>
      </c>
      <c r="AD432" s="885" t="s">
        <v>407</v>
      </c>
      <c r="AE432" s="366" t="s">
        <v>2140</v>
      </c>
      <c r="AF432" s="304">
        <v>1</v>
      </c>
      <c r="AG432" s="291">
        <v>0</v>
      </c>
      <c r="AH432" s="243"/>
      <c r="AI432" s="243">
        <v>0</v>
      </c>
      <c r="AJ432" s="763"/>
    </row>
    <row r="433" spans="7:36" ht="30.75" customHeight="1">
      <c r="G433" s="238"/>
      <c r="L433" s="915"/>
      <c r="X433" s="913" t="s">
        <v>2187</v>
      </c>
      <c r="Y433" s="1103" t="s">
        <v>2188</v>
      </c>
      <c r="AB433" s="1103">
        <v>24</v>
      </c>
      <c r="AC433" s="909">
        <v>1</v>
      </c>
      <c r="AD433" s="885" t="s">
        <v>407</v>
      </c>
      <c r="AE433" s="366" t="s">
        <v>2140</v>
      </c>
      <c r="AF433" s="304">
        <v>1</v>
      </c>
      <c r="AG433" s="291">
        <v>0</v>
      </c>
      <c r="AH433" s="243"/>
      <c r="AI433" s="243">
        <v>0</v>
      </c>
      <c r="AJ433" s="763"/>
    </row>
    <row r="434" spans="7:36" ht="30.75" customHeight="1">
      <c r="G434" s="238"/>
      <c r="L434" s="915"/>
      <c r="X434" s="913" t="s">
        <v>2189</v>
      </c>
      <c r="Y434" s="1103" t="s">
        <v>2190</v>
      </c>
      <c r="AB434" s="1103">
        <v>25</v>
      </c>
      <c r="AC434" s="909">
        <v>1</v>
      </c>
      <c r="AD434" s="885" t="s">
        <v>407</v>
      </c>
      <c r="AE434" s="366" t="s">
        <v>2140</v>
      </c>
      <c r="AF434" s="304">
        <v>1</v>
      </c>
      <c r="AG434" s="291">
        <v>0</v>
      </c>
      <c r="AH434" s="243"/>
      <c r="AI434" s="243">
        <v>0</v>
      </c>
      <c r="AJ434" s="763"/>
    </row>
    <row r="435" spans="7:36" ht="30.75" customHeight="1">
      <c r="G435" s="238"/>
      <c r="L435" s="915"/>
      <c r="X435" s="913" t="s">
        <v>2191</v>
      </c>
      <c r="Y435" s="1103" t="s">
        <v>2192</v>
      </c>
      <c r="AB435" s="1103">
        <v>26</v>
      </c>
      <c r="AC435" s="909">
        <v>1</v>
      </c>
      <c r="AD435" s="885" t="s">
        <v>407</v>
      </c>
      <c r="AE435" s="366" t="s">
        <v>2140</v>
      </c>
      <c r="AF435" s="304">
        <v>1</v>
      </c>
      <c r="AG435" s="291">
        <v>0</v>
      </c>
      <c r="AH435" s="243"/>
      <c r="AI435" s="243">
        <v>0</v>
      </c>
      <c r="AJ435" s="763"/>
    </row>
    <row r="436" spans="7:36" ht="30.75" customHeight="1">
      <c r="G436" s="238"/>
      <c r="L436" s="915"/>
      <c r="X436" s="913" t="s">
        <v>2193</v>
      </c>
      <c r="Y436" s="1103" t="s">
        <v>2194</v>
      </c>
      <c r="AB436" s="1103">
        <v>27</v>
      </c>
      <c r="AC436" s="909">
        <v>1</v>
      </c>
      <c r="AD436" s="885" t="s">
        <v>407</v>
      </c>
      <c r="AE436" s="366" t="s">
        <v>2140</v>
      </c>
      <c r="AF436" s="304">
        <v>1</v>
      </c>
      <c r="AG436" s="291">
        <v>0</v>
      </c>
      <c r="AH436" s="243"/>
      <c r="AI436" s="243">
        <v>0</v>
      </c>
      <c r="AJ436" s="763"/>
    </row>
    <row r="437" spans="7:36" ht="30.75" customHeight="1">
      <c r="G437" s="238"/>
      <c r="L437" s="915"/>
      <c r="X437" s="913" t="s">
        <v>2195</v>
      </c>
      <c r="Y437" s="1103" t="s">
        <v>2196</v>
      </c>
      <c r="AB437" s="1103">
        <v>28</v>
      </c>
      <c r="AC437" s="909">
        <v>1</v>
      </c>
      <c r="AD437" s="885" t="s">
        <v>407</v>
      </c>
      <c r="AE437" s="366" t="s">
        <v>2140</v>
      </c>
      <c r="AF437" s="304">
        <v>1</v>
      </c>
      <c r="AG437" s="291">
        <v>0</v>
      </c>
      <c r="AH437" s="243"/>
      <c r="AI437" s="243">
        <v>0</v>
      </c>
      <c r="AJ437" s="763"/>
    </row>
    <row r="438" spans="7:36" ht="30.75" customHeight="1">
      <c r="G438" s="238"/>
      <c r="L438" s="915"/>
      <c r="X438" s="913" t="s">
        <v>2197</v>
      </c>
      <c r="Y438" s="1103" t="s">
        <v>2198</v>
      </c>
      <c r="AB438" s="1103">
        <v>29</v>
      </c>
      <c r="AC438" s="909">
        <v>1</v>
      </c>
      <c r="AD438" s="885" t="s">
        <v>407</v>
      </c>
      <c r="AE438" s="366" t="s">
        <v>2140</v>
      </c>
      <c r="AF438" s="304">
        <v>1</v>
      </c>
      <c r="AG438" s="291">
        <v>0</v>
      </c>
      <c r="AH438" s="243"/>
      <c r="AI438" s="243">
        <v>0</v>
      </c>
      <c r="AJ438" s="763"/>
    </row>
    <row r="439" spans="7:36" ht="30.75" customHeight="1">
      <c r="G439" s="238"/>
      <c r="L439" s="915"/>
      <c r="X439" s="913" t="s">
        <v>2199</v>
      </c>
      <c r="Y439" s="1103" t="s">
        <v>2200</v>
      </c>
      <c r="AB439" s="1103">
        <v>30</v>
      </c>
      <c r="AC439" s="909">
        <v>1</v>
      </c>
      <c r="AD439" s="885" t="s">
        <v>407</v>
      </c>
      <c r="AE439" s="366" t="s">
        <v>2140</v>
      </c>
      <c r="AF439" s="304">
        <v>1</v>
      </c>
      <c r="AG439" s="291">
        <v>0</v>
      </c>
      <c r="AH439" s="243"/>
      <c r="AI439" s="243">
        <v>0</v>
      </c>
      <c r="AJ439" s="763"/>
    </row>
    <row r="440" spans="7:36" ht="30.75" customHeight="1">
      <c r="G440" s="238"/>
      <c r="L440" s="915"/>
      <c r="X440" s="913" t="s">
        <v>2201</v>
      </c>
      <c r="Y440" s="1103" t="s">
        <v>2202</v>
      </c>
      <c r="AB440" s="1103">
        <v>31</v>
      </c>
      <c r="AC440" s="909">
        <v>1</v>
      </c>
      <c r="AD440" s="885" t="s">
        <v>407</v>
      </c>
      <c r="AE440" s="366" t="s">
        <v>2140</v>
      </c>
      <c r="AF440" s="304">
        <v>1</v>
      </c>
      <c r="AG440" s="291">
        <v>0</v>
      </c>
      <c r="AH440" s="243"/>
      <c r="AI440" s="243">
        <v>0</v>
      </c>
      <c r="AJ440" s="763"/>
    </row>
    <row r="441" spans="7:36" ht="30.75" customHeight="1">
      <c r="G441" s="238"/>
      <c r="L441" s="915"/>
      <c r="X441" s="913" t="s">
        <v>2203</v>
      </c>
      <c r="Y441" s="1103" t="s">
        <v>2204</v>
      </c>
      <c r="AB441" s="1103">
        <v>32</v>
      </c>
      <c r="AC441" s="909">
        <v>1</v>
      </c>
      <c r="AD441" s="885" t="s">
        <v>407</v>
      </c>
      <c r="AE441" s="366" t="s">
        <v>2140</v>
      </c>
      <c r="AF441" s="304">
        <v>1</v>
      </c>
      <c r="AG441" s="291">
        <v>0</v>
      </c>
      <c r="AH441" s="243"/>
      <c r="AI441" s="243">
        <v>0</v>
      </c>
      <c r="AJ441" s="763"/>
    </row>
    <row r="442" spans="7:36" ht="30.75" customHeight="1">
      <c r="G442" s="238"/>
      <c r="L442" s="915"/>
      <c r="X442" s="913" t="s">
        <v>2205</v>
      </c>
      <c r="Y442" s="1103" t="s">
        <v>2206</v>
      </c>
      <c r="AB442" s="1103">
        <v>33</v>
      </c>
      <c r="AC442" s="909">
        <v>1</v>
      </c>
      <c r="AD442" s="885" t="s">
        <v>407</v>
      </c>
      <c r="AE442" s="1103" t="s">
        <v>2207</v>
      </c>
      <c r="AF442" s="304">
        <v>1</v>
      </c>
      <c r="AG442" s="291">
        <v>0</v>
      </c>
      <c r="AH442" s="243"/>
      <c r="AI442" s="243">
        <v>0</v>
      </c>
      <c r="AJ442" s="763"/>
    </row>
    <row r="443" spans="7:36" ht="30.75" customHeight="1">
      <c r="G443" s="238"/>
      <c r="L443" s="915"/>
      <c r="X443" s="913" t="s">
        <v>2208</v>
      </c>
      <c r="Y443" s="1103" t="s">
        <v>2209</v>
      </c>
      <c r="AB443" s="1103">
        <v>34</v>
      </c>
      <c r="AC443" s="909">
        <v>1</v>
      </c>
      <c r="AD443" s="885" t="s">
        <v>407</v>
      </c>
      <c r="AE443" s="1103" t="s">
        <v>2210</v>
      </c>
      <c r="AF443" s="304">
        <v>1</v>
      </c>
      <c r="AG443" s="291">
        <v>0</v>
      </c>
      <c r="AH443" s="243"/>
      <c r="AI443" s="243">
        <v>0</v>
      </c>
      <c r="AJ443" s="763"/>
    </row>
    <row r="444" spans="7:36" ht="30.75" customHeight="1">
      <c r="G444" s="238"/>
      <c r="L444" s="915"/>
      <c r="X444" s="913" t="s">
        <v>2211</v>
      </c>
      <c r="Y444" s="1103" t="s">
        <v>2212</v>
      </c>
      <c r="AB444" s="1103">
        <v>35</v>
      </c>
      <c r="AC444" s="909">
        <v>1</v>
      </c>
      <c r="AD444" s="885" t="s">
        <v>407</v>
      </c>
      <c r="AE444" s="1103" t="s">
        <v>2213</v>
      </c>
      <c r="AF444" s="304">
        <v>1</v>
      </c>
      <c r="AG444" s="291">
        <v>0</v>
      </c>
      <c r="AH444" s="243"/>
      <c r="AI444" s="243">
        <v>0</v>
      </c>
      <c r="AJ444" s="763"/>
    </row>
    <row r="445" spans="7:36" ht="30.75" customHeight="1">
      <c r="G445" s="238"/>
      <c r="L445" s="915"/>
      <c r="X445" s="913" t="s">
        <v>2214</v>
      </c>
      <c r="Y445" s="1103" t="s">
        <v>2215</v>
      </c>
      <c r="AB445" s="1103">
        <v>36</v>
      </c>
      <c r="AC445" s="909">
        <v>1</v>
      </c>
      <c r="AD445" s="885" t="s">
        <v>407</v>
      </c>
      <c r="AE445" s="1103" t="s">
        <v>2216</v>
      </c>
      <c r="AF445" s="304">
        <v>1</v>
      </c>
      <c r="AG445" s="291">
        <v>0</v>
      </c>
      <c r="AH445" s="243"/>
      <c r="AI445" s="243">
        <v>0</v>
      </c>
      <c r="AJ445" s="763"/>
    </row>
    <row r="446" spans="7:36" ht="30.75" customHeight="1">
      <c r="G446" s="238"/>
      <c r="L446" s="915"/>
      <c r="X446" s="913" t="s">
        <v>2217</v>
      </c>
      <c r="Y446" s="1103" t="s">
        <v>2218</v>
      </c>
      <c r="AB446" s="1103">
        <v>37</v>
      </c>
      <c r="AC446" s="909">
        <v>1</v>
      </c>
      <c r="AD446" s="885" t="s">
        <v>407</v>
      </c>
      <c r="AE446" s="1103" t="s">
        <v>2219</v>
      </c>
      <c r="AF446" s="304">
        <v>1</v>
      </c>
      <c r="AG446" s="291">
        <v>0</v>
      </c>
      <c r="AH446" s="243"/>
      <c r="AI446" s="243">
        <v>0</v>
      </c>
      <c r="AJ446" s="763"/>
    </row>
    <row r="447" spans="7:36" ht="30.75" customHeight="1">
      <c r="G447" s="238"/>
      <c r="L447" s="915"/>
      <c r="X447" s="913" t="s">
        <v>2220</v>
      </c>
      <c r="Y447" s="1103" t="s">
        <v>2221</v>
      </c>
      <c r="AB447" s="1103">
        <v>38</v>
      </c>
      <c r="AC447" s="909">
        <v>1</v>
      </c>
      <c r="AD447" s="885" t="s">
        <v>407</v>
      </c>
      <c r="AE447" s="1103" t="s">
        <v>2222</v>
      </c>
      <c r="AF447" s="304">
        <v>1</v>
      </c>
      <c r="AG447" s="291">
        <v>0</v>
      </c>
      <c r="AH447" s="243"/>
      <c r="AI447" s="243">
        <v>0</v>
      </c>
      <c r="AJ447" s="763"/>
    </row>
    <row r="448" spans="7:36" ht="30.75" customHeight="1">
      <c r="G448" s="238"/>
      <c r="L448" s="915"/>
      <c r="X448" s="913" t="s">
        <v>2223</v>
      </c>
      <c r="Y448" s="1103" t="s">
        <v>2224</v>
      </c>
      <c r="AB448" s="1103">
        <v>39</v>
      </c>
      <c r="AC448" s="909">
        <v>1</v>
      </c>
      <c r="AD448" s="885" t="s">
        <v>407</v>
      </c>
      <c r="AE448" s="1103" t="s">
        <v>2225</v>
      </c>
      <c r="AF448" s="304">
        <v>1</v>
      </c>
      <c r="AG448" s="291">
        <v>0</v>
      </c>
      <c r="AH448" s="243"/>
      <c r="AI448" s="243">
        <v>0</v>
      </c>
      <c r="AJ448" s="763"/>
    </row>
    <row r="449" spans="1:50" ht="30.75" customHeight="1">
      <c r="G449" s="238"/>
      <c r="L449" s="915"/>
      <c r="X449" s="913" t="s">
        <v>2226</v>
      </c>
      <c r="Y449" s="1103" t="s">
        <v>2227</v>
      </c>
      <c r="AB449" s="1103">
        <v>40</v>
      </c>
      <c r="AC449" s="909">
        <v>1</v>
      </c>
      <c r="AD449" s="885" t="s">
        <v>407</v>
      </c>
      <c r="AE449" s="1103" t="s">
        <v>2228</v>
      </c>
      <c r="AF449" s="304">
        <v>1</v>
      </c>
      <c r="AG449" s="291">
        <v>0</v>
      </c>
      <c r="AH449" s="243"/>
      <c r="AI449" s="243">
        <v>0</v>
      </c>
      <c r="AJ449" s="763"/>
    </row>
    <row r="450" spans="1:50" ht="30.75" customHeight="1">
      <c r="G450" s="238"/>
      <c r="L450" s="915"/>
      <c r="X450" s="913" t="s">
        <v>2229</v>
      </c>
      <c r="Y450" s="1103" t="s">
        <v>2230</v>
      </c>
      <c r="AB450" s="1103">
        <v>41</v>
      </c>
      <c r="AC450" s="909">
        <v>1</v>
      </c>
      <c r="AD450" s="885" t="s">
        <v>407</v>
      </c>
      <c r="AE450" s="1103" t="s">
        <v>2231</v>
      </c>
      <c r="AF450" s="304">
        <v>1</v>
      </c>
      <c r="AG450" s="291">
        <v>0</v>
      </c>
      <c r="AH450" s="243"/>
      <c r="AI450" s="243">
        <v>0</v>
      </c>
      <c r="AJ450" s="763"/>
    </row>
    <row r="451" spans="1:50" ht="30.75" customHeight="1">
      <c r="G451" s="238"/>
      <c r="L451" s="915"/>
      <c r="X451" s="913" t="s">
        <v>2232</v>
      </c>
      <c r="Y451" s="1103" t="s">
        <v>2233</v>
      </c>
      <c r="AB451" s="1103">
        <v>42</v>
      </c>
      <c r="AC451" s="909">
        <v>1</v>
      </c>
      <c r="AD451" s="885" t="s">
        <v>407</v>
      </c>
      <c r="AE451" s="1103" t="s">
        <v>2234</v>
      </c>
      <c r="AF451" s="304">
        <v>1</v>
      </c>
      <c r="AG451" s="291">
        <v>0</v>
      </c>
      <c r="AH451" s="243"/>
      <c r="AI451" s="243">
        <v>0</v>
      </c>
      <c r="AJ451" s="763"/>
    </row>
    <row r="452" spans="1:50" ht="30.75" customHeight="1">
      <c r="G452" s="238"/>
      <c r="L452" s="915"/>
      <c r="X452" s="913" t="s">
        <v>2235</v>
      </c>
      <c r="Y452" s="1103" t="s">
        <v>2236</v>
      </c>
      <c r="AB452" s="1103">
        <v>43</v>
      </c>
      <c r="AC452" s="909">
        <v>1</v>
      </c>
      <c r="AD452" s="885" t="s">
        <v>407</v>
      </c>
      <c r="AE452" s="1103" t="s">
        <v>2237</v>
      </c>
      <c r="AF452" s="304">
        <v>1</v>
      </c>
      <c r="AG452" s="291">
        <v>0</v>
      </c>
      <c r="AH452" s="243"/>
      <c r="AI452" s="243">
        <v>0</v>
      </c>
      <c r="AJ452" s="763"/>
    </row>
    <row r="453" spans="1:50" ht="30.75" customHeight="1">
      <c r="G453" s="238"/>
      <c r="L453" s="915"/>
      <c r="X453" s="913" t="s">
        <v>2238</v>
      </c>
      <c r="Y453" s="1103" t="s">
        <v>2239</v>
      </c>
      <c r="AB453" s="1103">
        <v>44</v>
      </c>
      <c r="AC453" s="909">
        <v>1</v>
      </c>
      <c r="AD453" s="885" t="s">
        <v>407</v>
      </c>
      <c r="AE453" s="1103" t="s">
        <v>2240</v>
      </c>
      <c r="AF453" s="304">
        <v>1</v>
      </c>
      <c r="AG453" s="291">
        <v>0</v>
      </c>
      <c r="AH453" s="243"/>
      <c r="AI453" s="243">
        <v>0</v>
      </c>
      <c r="AJ453" s="763"/>
    </row>
    <row r="454" spans="1:50" ht="30.75" customHeight="1">
      <c r="A454" s="243"/>
      <c r="B454" s="243"/>
      <c r="C454" s="243"/>
      <c r="D454" s="243"/>
      <c r="E454" s="243"/>
      <c r="F454" s="243"/>
      <c r="G454" s="238"/>
      <c r="H454" s="1391"/>
      <c r="I454" s="1391"/>
      <c r="J454" s="1391"/>
      <c r="K454" s="1391"/>
      <c r="L454" s="1550"/>
      <c r="M454" s="1391"/>
      <c r="N454" s="1391"/>
      <c r="O454" s="1391"/>
      <c r="P454" s="1391"/>
      <c r="Q454" s="1391"/>
      <c r="R454" s="1391"/>
      <c r="S454" s="1391"/>
      <c r="T454" s="1391"/>
      <c r="U454" s="1391"/>
      <c r="V454" s="1391"/>
      <c r="W454" s="1391"/>
      <c r="X454" s="1551" t="s">
        <v>2241</v>
      </c>
      <c r="Y454" s="1370" t="s">
        <v>2242</v>
      </c>
      <c r="Z454" s="243"/>
      <c r="AA454" s="243"/>
      <c r="AB454" s="1370">
        <v>45</v>
      </c>
      <c r="AC454" s="1552">
        <v>1</v>
      </c>
      <c r="AD454" s="1510" t="s">
        <v>407</v>
      </c>
      <c r="AE454" s="1370" t="s">
        <v>2243</v>
      </c>
      <c r="AF454" s="304">
        <v>1</v>
      </c>
      <c r="AG454" s="1391">
        <v>0</v>
      </c>
      <c r="AH454" s="243"/>
      <c r="AI454" s="243">
        <v>0</v>
      </c>
      <c r="AJ454" s="1553"/>
      <c r="AK454" s="243"/>
      <c r="AL454" s="243"/>
      <c r="AM454" s="243"/>
      <c r="AN454" s="243"/>
      <c r="AO454" s="243"/>
      <c r="AP454" s="243"/>
      <c r="AQ454" s="243"/>
      <c r="AR454" s="243"/>
      <c r="AS454" s="243"/>
      <c r="AT454" s="243"/>
      <c r="AU454" s="243"/>
      <c r="AV454" s="243"/>
      <c r="AW454" s="243"/>
      <c r="AX454" s="243"/>
    </row>
    <row r="455" spans="1:50" s="1554" customFormat="1" ht="30.75" customHeight="1">
      <c r="A455" s="784"/>
      <c r="B455" s="784"/>
      <c r="C455" s="784"/>
      <c r="D455" s="784"/>
      <c r="E455" s="784"/>
      <c r="F455" s="784"/>
      <c r="G455" s="1421"/>
      <c r="H455" s="1421"/>
      <c r="I455" s="1421"/>
      <c r="J455" s="1421"/>
      <c r="K455" s="1421"/>
      <c r="L455" s="1549"/>
      <c r="M455" s="1421"/>
      <c r="N455" s="1421"/>
      <c r="O455" s="1421"/>
      <c r="P455" s="1421"/>
      <c r="Q455" s="1421"/>
      <c r="R455" s="1421"/>
      <c r="S455" s="1421"/>
      <c r="T455" s="1421"/>
      <c r="U455" s="1421"/>
      <c r="V455" s="1421"/>
      <c r="W455" s="1421"/>
      <c r="X455" s="913"/>
      <c r="Y455" s="1468"/>
      <c r="Z455" s="784"/>
      <c r="AA455" s="784"/>
      <c r="AB455" s="1468"/>
      <c r="AC455" s="909"/>
      <c r="AD455" s="1528"/>
      <c r="AE455" s="1468"/>
      <c r="AF455" s="1555"/>
      <c r="AG455" s="1421"/>
      <c r="AH455" s="784"/>
      <c r="AI455" s="784"/>
      <c r="AJ455" s="784"/>
      <c r="AK455" s="784"/>
      <c r="AL455" s="784"/>
      <c r="AM455" s="784"/>
      <c r="AN455" s="784"/>
      <c r="AO455" s="784"/>
      <c r="AP455" s="784"/>
      <c r="AQ455" s="784"/>
      <c r="AR455" s="784"/>
      <c r="AS455" s="784"/>
      <c r="AT455" s="784"/>
      <c r="AU455" s="784"/>
      <c r="AV455" s="784"/>
      <c r="AW455" s="784"/>
      <c r="AX455" s="784"/>
    </row>
    <row r="456" spans="1:50" s="1554" customFormat="1" ht="30.75" customHeight="1">
      <c r="A456" s="784"/>
      <c r="B456" s="784"/>
      <c r="C456" s="784"/>
      <c r="D456" s="784"/>
      <c r="E456" s="784"/>
      <c r="F456" s="784"/>
      <c r="G456" s="1421"/>
      <c r="H456" s="1421"/>
      <c r="I456" s="1421"/>
      <c r="J456" s="1421"/>
      <c r="K456" s="1421"/>
      <c r="L456" s="1549"/>
      <c r="M456" s="1421"/>
      <c r="N456" s="1421"/>
      <c r="O456" s="1421"/>
      <c r="P456" s="1421"/>
      <c r="Q456" s="1421"/>
      <c r="R456" s="1421"/>
      <c r="S456" s="1421"/>
      <c r="T456" s="1421"/>
      <c r="U456" s="1421"/>
      <c r="V456" s="1421"/>
      <c r="W456" s="1421"/>
      <c r="X456" s="913"/>
      <c r="Y456" s="1468"/>
      <c r="Z456" s="784"/>
      <c r="AA456" s="784"/>
      <c r="AB456" s="1468"/>
      <c r="AC456" s="909"/>
      <c r="AD456" s="1528"/>
      <c r="AE456" s="1468"/>
      <c r="AF456" s="1555"/>
      <c r="AG456" s="1421"/>
      <c r="AH456" s="784"/>
      <c r="AI456" s="784"/>
      <c r="AJ456" s="784"/>
      <c r="AK456" s="784"/>
      <c r="AL456" s="784"/>
      <c r="AM456" s="784"/>
      <c r="AN456" s="784"/>
      <c r="AO456" s="784"/>
      <c r="AP456" s="784"/>
      <c r="AQ456" s="784"/>
      <c r="AR456" s="784"/>
      <c r="AS456" s="784"/>
      <c r="AT456" s="784"/>
      <c r="AU456" s="784"/>
      <c r="AV456" s="784"/>
      <c r="AW456" s="784"/>
      <c r="AX456" s="784"/>
    </row>
    <row r="457" spans="1:50" ht="30.75" customHeight="1">
      <c r="A457" s="1093">
        <v>2</v>
      </c>
      <c r="B457" s="1093" t="s">
        <v>3074</v>
      </c>
      <c r="C457" s="1093" t="s">
        <v>3075</v>
      </c>
      <c r="D457" s="1093" t="s">
        <v>259</v>
      </c>
      <c r="E457" s="1093">
        <v>8</v>
      </c>
      <c r="F457" s="1093" t="s">
        <v>260</v>
      </c>
      <c r="G457" s="1094" t="s">
        <v>261</v>
      </c>
      <c r="H457" s="1093"/>
      <c r="I457" s="1093"/>
      <c r="J457" s="1093"/>
      <c r="K457" s="1093"/>
      <c r="L457" s="1093" t="s">
        <v>325</v>
      </c>
      <c r="M457" s="1093"/>
      <c r="N457" s="1093"/>
      <c r="O457" s="1093"/>
      <c r="P457" s="1093" t="s">
        <v>325</v>
      </c>
      <c r="Q457" s="1093" t="s">
        <v>325</v>
      </c>
      <c r="R457" s="1093"/>
      <c r="S457" s="1093"/>
      <c r="T457" s="1093"/>
      <c r="U457" s="1093"/>
      <c r="V457" s="1095"/>
      <c r="W457" s="1095"/>
      <c r="X457" s="1095" t="s">
        <v>3076</v>
      </c>
      <c r="Y457" s="1095"/>
      <c r="Z457" s="1093"/>
      <c r="AA457" s="1093"/>
      <c r="AB457" s="1093"/>
      <c r="AC457" s="1093"/>
      <c r="AD457" s="1093"/>
      <c r="AE457" s="1093" t="s">
        <v>3077</v>
      </c>
      <c r="AF457" s="1093"/>
      <c r="AG457" s="1093"/>
      <c r="AH457" s="1093"/>
      <c r="AI457" s="1093"/>
      <c r="AJ457" s="1093"/>
      <c r="AK457" s="1096"/>
      <c r="AL457" s="1097"/>
      <c r="AM457" s="1097"/>
      <c r="AN457" s="1097"/>
      <c r="AO457" s="1"/>
      <c r="AP457" s="1"/>
      <c r="AQ457" s="1"/>
      <c r="AR457" s="1"/>
      <c r="AS457" s="1"/>
      <c r="AT457" s="1"/>
      <c r="AU457" s="1"/>
      <c r="AV457" s="1"/>
      <c r="AW457" s="1"/>
      <c r="AX457" s="1"/>
    </row>
    <row r="458" spans="1:50" ht="30.75" customHeight="1" outlineLevel="1">
      <c r="A458" s="1363"/>
      <c r="B458" s="1363"/>
      <c r="C458" s="1363"/>
      <c r="D458" s="1363"/>
      <c r="E458" s="1363"/>
      <c r="F458" s="1363"/>
      <c r="G458" s="1363" t="s">
        <v>261</v>
      </c>
      <c r="H458" s="1363"/>
      <c r="I458" s="1363"/>
      <c r="J458" s="1363"/>
      <c r="K458" s="1363"/>
      <c r="L458" s="1363"/>
      <c r="M458" s="1363"/>
      <c r="N458" s="1363"/>
      <c r="O458" s="1363"/>
      <c r="P458" s="1363" t="s">
        <v>325</v>
      </c>
      <c r="Q458" s="1363"/>
      <c r="R458" s="1363"/>
      <c r="S458" s="1363"/>
      <c r="T458" s="1363"/>
      <c r="U458" s="1363"/>
      <c r="V458" s="1363"/>
      <c r="W458" s="1363"/>
      <c r="X458" s="2794" t="s">
        <v>3078</v>
      </c>
      <c r="Y458" s="1503" t="s">
        <v>3079</v>
      </c>
      <c r="Z458" s="1530">
        <v>0</v>
      </c>
      <c r="AA458" s="1530">
        <v>0</v>
      </c>
      <c r="AB458" s="1499">
        <v>0</v>
      </c>
      <c r="AC458" s="1530">
        <v>8</v>
      </c>
      <c r="AD458" s="1530" t="s">
        <v>286</v>
      </c>
      <c r="AE458" s="1530" t="s">
        <v>398</v>
      </c>
      <c r="AF458" s="1530">
        <v>1</v>
      </c>
      <c r="AG458" s="1530">
        <v>0</v>
      </c>
      <c r="AH458" s="1530" t="s">
        <v>398</v>
      </c>
      <c r="AI458" s="1530" t="s">
        <v>398</v>
      </c>
      <c r="AJ458" s="1530" t="s">
        <v>452</v>
      </c>
      <c r="AK458" s="1363"/>
      <c r="AL458" s="1363"/>
      <c r="AM458" s="1363"/>
      <c r="AN458" s="1363"/>
      <c r="AO458" s="1"/>
      <c r="AP458" s="1"/>
      <c r="AQ458" s="1"/>
      <c r="AR458" s="1"/>
      <c r="AS458" s="1"/>
      <c r="AT458" s="1"/>
      <c r="AU458" s="1"/>
      <c r="AV458" s="1"/>
      <c r="AW458" s="1"/>
      <c r="AX458" s="1"/>
    </row>
    <row r="459" spans="1:50" ht="30.75" customHeight="1" outlineLevel="1">
      <c r="A459" s="1363"/>
      <c r="B459" s="1363"/>
      <c r="C459" s="1363"/>
      <c r="D459" s="1363"/>
      <c r="E459" s="1363"/>
      <c r="F459" s="1363"/>
      <c r="G459" s="1363" t="s">
        <v>261</v>
      </c>
      <c r="H459" s="1363"/>
      <c r="I459" s="1363"/>
      <c r="J459" s="1363"/>
      <c r="K459" s="1363"/>
      <c r="L459" s="1363"/>
      <c r="M459" s="1363"/>
      <c r="N459" s="1363"/>
      <c r="O459" s="1363"/>
      <c r="P459" s="1363" t="s">
        <v>325</v>
      </c>
      <c r="Q459" s="1363"/>
      <c r="R459" s="1363"/>
      <c r="S459" s="1363"/>
      <c r="T459" s="1363"/>
      <c r="U459" s="1363"/>
      <c r="V459" s="1363"/>
      <c r="W459" s="1363"/>
      <c r="X459" s="2795" t="s">
        <v>3080</v>
      </c>
      <c r="Y459" s="1504" t="s">
        <v>3081</v>
      </c>
      <c r="Z459" s="1530">
        <v>1</v>
      </c>
      <c r="AA459" s="1530">
        <v>0</v>
      </c>
      <c r="AB459" s="1530">
        <v>8</v>
      </c>
      <c r="AC459" s="1530">
        <v>8</v>
      </c>
      <c r="AD459" s="1530" t="s">
        <v>286</v>
      </c>
      <c r="AE459" s="1530" t="s">
        <v>398</v>
      </c>
      <c r="AF459" s="1530">
        <v>1</v>
      </c>
      <c r="AG459" s="1530">
        <v>0</v>
      </c>
      <c r="AH459" s="1530" t="s">
        <v>398</v>
      </c>
      <c r="AI459" s="1530" t="s">
        <v>398</v>
      </c>
      <c r="AJ459" s="1530" t="s">
        <v>452</v>
      </c>
      <c r="AK459" s="1363"/>
      <c r="AL459" s="1363"/>
      <c r="AM459" s="1363"/>
      <c r="AN459" s="1363"/>
      <c r="AO459" s="1"/>
      <c r="AP459" s="1"/>
      <c r="AQ459" s="1"/>
      <c r="AR459" s="1"/>
      <c r="AS459" s="1"/>
      <c r="AT459" s="1"/>
      <c r="AU459" s="1"/>
      <c r="AV459" s="1"/>
      <c r="AW459" s="1"/>
      <c r="AX459" s="1"/>
    </row>
    <row r="460" spans="1:50" ht="29.25" customHeight="1" outlineLevel="1">
      <c r="A460" s="1363"/>
      <c r="B460" s="1363"/>
      <c r="C460" s="1363"/>
      <c r="D460" s="1363"/>
      <c r="E460" s="1363"/>
      <c r="F460" s="1363"/>
      <c r="G460" s="1363" t="s">
        <v>261</v>
      </c>
      <c r="H460" s="1363"/>
      <c r="I460" s="1363"/>
      <c r="J460" s="1363"/>
      <c r="K460" s="1363"/>
      <c r="L460" s="1363"/>
      <c r="M460" s="1363"/>
      <c r="N460" s="1363"/>
      <c r="O460" s="1363"/>
      <c r="P460" s="1363" t="s">
        <v>325</v>
      </c>
      <c r="Q460" s="1363"/>
      <c r="R460" s="1363"/>
      <c r="S460" s="1363"/>
      <c r="T460" s="1363"/>
      <c r="U460" s="1363"/>
      <c r="V460" s="1363"/>
      <c r="W460" s="1363"/>
      <c r="X460" s="2796" t="s">
        <v>3082</v>
      </c>
      <c r="Y460" s="1504" t="s">
        <v>3083</v>
      </c>
      <c r="Z460" s="1530">
        <v>2</v>
      </c>
      <c r="AA460" s="1530">
        <v>0</v>
      </c>
      <c r="AB460" s="1530">
        <v>16</v>
      </c>
      <c r="AC460" s="1530">
        <v>1</v>
      </c>
      <c r="AD460" s="1530" t="s">
        <v>398</v>
      </c>
      <c r="AE460" s="2797" t="s">
        <v>3084</v>
      </c>
      <c r="AF460" s="1530" t="s">
        <v>444</v>
      </c>
      <c r="AG460" s="1530" t="s">
        <v>444</v>
      </c>
      <c r="AH460" s="1530" t="s">
        <v>444</v>
      </c>
      <c r="AI460" s="1530" t="s">
        <v>444</v>
      </c>
      <c r="AJ460" s="1530" t="s">
        <v>444</v>
      </c>
      <c r="AK460" s="1363"/>
      <c r="AL460" s="1363"/>
      <c r="AM460" s="1363"/>
      <c r="AN460" s="1363"/>
      <c r="AO460" s="243"/>
      <c r="AP460" s="243"/>
      <c r="AQ460" s="243"/>
      <c r="AR460" s="243"/>
      <c r="AS460" s="243"/>
      <c r="AT460" s="243"/>
      <c r="AU460" s="243"/>
      <c r="AV460" s="243"/>
      <c r="AW460" s="243"/>
      <c r="AX460" s="243"/>
    </row>
    <row r="461" spans="1:50" ht="29.25" customHeight="1" outlineLevel="1">
      <c r="A461" s="1363"/>
      <c r="B461" s="1363"/>
      <c r="C461" s="1363"/>
      <c r="D461" s="1363"/>
      <c r="E461" s="1363"/>
      <c r="F461" s="1363"/>
      <c r="G461" s="1363" t="s">
        <v>261</v>
      </c>
      <c r="H461" s="1363"/>
      <c r="I461" s="1363"/>
      <c r="J461" s="1363"/>
      <c r="K461" s="1363"/>
      <c r="L461" s="1363"/>
      <c r="M461" s="1363"/>
      <c r="N461" s="1363"/>
      <c r="O461" s="1363"/>
      <c r="P461" s="1363" t="s">
        <v>325</v>
      </c>
      <c r="Q461" s="1363"/>
      <c r="R461" s="1363"/>
      <c r="S461" s="1363"/>
      <c r="T461" s="1363"/>
      <c r="U461" s="1363"/>
      <c r="V461" s="1363"/>
      <c r="W461" s="1363"/>
      <c r="X461" s="1527" t="s">
        <v>680</v>
      </c>
      <c r="Y461" s="1504" t="s">
        <v>3085</v>
      </c>
      <c r="Z461" s="1530">
        <v>2</v>
      </c>
      <c r="AA461" s="1530">
        <v>2</v>
      </c>
      <c r="AB461" s="1530">
        <v>18</v>
      </c>
      <c r="AC461" s="1530">
        <v>1</v>
      </c>
      <c r="AD461" s="1530" t="s">
        <v>398</v>
      </c>
      <c r="AE461" s="2798" t="s">
        <v>3086</v>
      </c>
      <c r="AF461" s="1530" t="s">
        <v>398</v>
      </c>
      <c r="AG461" s="1530" t="s">
        <v>398</v>
      </c>
      <c r="AH461" s="1530" t="s">
        <v>398</v>
      </c>
      <c r="AI461" s="1530" t="s">
        <v>398</v>
      </c>
      <c r="AJ461" s="1530" t="s">
        <v>398</v>
      </c>
      <c r="AK461" s="1363"/>
      <c r="AL461" s="1363"/>
      <c r="AM461" s="1363"/>
      <c r="AN461" s="1363"/>
    </row>
    <row r="462" spans="1:50" ht="43.5" customHeight="1" outlineLevel="1">
      <c r="A462" s="1363"/>
      <c r="B462" s="1363"/>
      <c r="C462" s="1363"/>
      <c r="D462" s="1363"/>
      <c r="E462" s="1363"/>
      <c r="F462" s="1363"/>
      <c r="G462" s="1363" t="s">
        <v>261</v>
      </c>
      <c r="H462" s="1363"/>
      <c r="I462" s="1363"/>
      <c r="J462" s="1363"/>
      <c r="K462" s="1363"/>
      <c r="L462" s="1363"/>
      <c r="M462" s="1363"/>
      <c r="N462" s="1363"/>
      <c r="O462" s="1363"/>
      <c r="P462" s="1363" t="s">
        <v>325</v>
      </c>
      <c r="Q462" s="1363"/>
      <c r="R462" s="1363"/>
      <c r="S462" s="1363"/>
      <c r="T462" s="1363"/>
      <c r="U462" s="1363"/>
      <c r="V462" s="1363"/>
      <c r="W462" s="1363"/>
      <c r="X462" s="2799" t="s">
        <v>3087</v>
      </c>
      <c r="Y462" s="1493" t="s">
        <v>3088</v>
      </c>
      <c r="Z462" s="1530">
        <v>2</v>
      </c>
      <c r="AA462" s="1530">
        <v>5</v>
      </c>
      <c r="AB462" s="1530">
        <v>21</v>
      </c>
      <c r="AC462" s="1530">
        <v>2</v>
      </c>
      <c r="AD462" s="1530" t="s">
        <v>407</v>
      </c>
      <c r="AE462" s="2800" t="s">
        <v>3089</v>
      </c>
      <c r="AF462" s="1530" t="s">
        <v>398</v>
      </c>
      <c r="AG462" s="1530" t="s">
        <v>398</v>
      </c>
      <c r="AH462" s="1530" t="s">
        <v>398</v>
      </c>
      <c r="AI462" s="1530" t="s">
        <v>398</v>
      </c>
      <c r="AJ462" s="1530" t="s">
        <v>398</v>
      </c>
      <c r="AK462" s="1363"/>
      <c r="AL462" s="1363"/>
      <c r="AM462" s="1363"/>
      <c r="AN462" s="1363"/>
    </row>
    <row r="463" spans="1:50" ht="29.25" customHeight="1" outlineLevel="1">
      <c r="A463" s="1363"/>
      <c r="B463" s="1363"/>
      <c r="C463" s="1363"/>
      <c r="D463" s="1363"/>
      <c r="E463" s="1363"/>
      <c r="F463" s="1363"/>
      <c r="G463" s="1363" t="s">
        <v>261</v>
      </c>
      <c r="H463" s="1363"/>
      <c r="I463" s="1363"/>
      <c r="J463" s="1363"/>
      <c r="K463" s="1363"/>
      <c r="L463" s="1363"/>
      <c r="M463" s="1363"/>
      <c r="N463" s="1363"/>
      <c r="O463" s="1363"/>
      <c r="P463" s="1363" t="s">
        <v>325</v>
      </c>
      <c r="Q463" s="1363"/>
      <c r="R463" s="1363"/>
      <c r="S463" s="1363"/>
      <c r="T463" s="1363"/>
      <c r="U463" s="1363"/>
      <c r="V463" s="1363"/>
      <c r="W463" s="1363"/>
      <c r="X463" s="2801" t="s">
        <v>3090</v>
      </c>
      <c r="Y463" s="1504" t="s">
        <v>3091</v>
      </c>
      <c r="Z463" s="1530">
        <v>2</v>
      </c>
      <c r="AA463" s="1530">
        <v>7</v>
      </c>
      <c r="AB463" s="1530">
        <v>23</v>
      </c>
      <c r="AC463" s="1530">
        <v>1</v>
      </c>
      <c r="AD463" s="1530" t="s">
        <v>398</v>
      </c>
      <c r="AE463" s="2802" t="s">
        <v>3092</v>
      </c>
      <c r="AF463" s="1530" t="s">
        <v>398</v>
      </c>
      <c r="AG463" s="1530" t="s">
        <v>398</v>
      </c>
      <c r="AH463" s="1530" t="s">
        <v>398</v>
      </c>
      <c r="AI463" s="1530" t="s">
        <v>398</v>
      </c>
      <c r="AJ463" s="1530" t="s">
        <v>398</v>
      </c>
      <c r="AK463" s="1363"/>
      <c r="AL463" s="1363"/>
      <c r="AM463" s="1363"/>
      <c r="AN463" s="1363"/>
    </row>
    <row r="464" spans="1:50" ht="29.25" customHeight="1" outlineLevel="1">
      <c r="A464" s="1363"/>
      <c r="B464" s="1363"/>
      <c r="C464" s="1363"/>
      <c r="D464" s="1363"/>
      <c r="E464" s="1363"/>
      <c r="F464" s="1363"/>
      <c r="G464" s="1363" t="s">
        <v>261</v>
      </c>
      <c r="H464" s="1363"/>
      <c r="I464" s="1363"/>
      <c r="J464" s="1363"/>
      <c r="K464" s="1363"/>
      <c r="L464" s="1363"/>
      <c r="M464" s="1363"/>
      <c r="N464" s="1363"/>
      <c r="O464" s="1363"/>
      <c r="P464" s="1363" t="s">
        <v>325</v>
      </c>
      <c r="Q464" s="1363"/>
      <c r="R464" s="1363"/>
      <c r="S464" s="1363"/>
      <c r="T464" s="1363"/>
      <c r="U464" s="1363"/>
      <c r="V464" s="1363"/>
      <c r="W464" s="1363"/>
      <c r="X464" s="2803" t="s">
        <v>688</v>
      </c>
      <c r="Y464" s="1504" t="s">
        <v>3093</v>
      </c>
      <c r="Z464" s="1530">
        <v>3</v>
      </c>
      <c r="AA464" s="1530">
        <v>0</v>
      </c>
      <c r="AB464" s="1530">
        <v>24</v>
      </c>
      <c r="AC464" s="1530">
        <v>8</v>
      </c>
      <c r="AD464" s="1530" t="s">
        <v>407</v>
      </c>
      <c r="AE464" s="1530" t="s">
        <v>3094</v>
      </c>
      <c r="AF464" s="1530">
        <v>0.1</v>
      </c>
      <c r="AG464" s="1530">
        <v>0</v>
      </c>
      <c r="AH464" s="1530" t="s">
        <v>691</v>
      </c>
      <c r="AI464" s="1530">
        <v>20</v>
      </c>
      <c r="AJ464" s="1530" t="s">
        <v>692</v>
      </c>
      <c r="AK464" s="1363"/>
      <c r="AL464" s="1363"/>
      <c r="AM464" s="1363"/>
      <c r="AN464" s="1363"/>
    </row>
    <row r="465" spans="1:40" ht="43.5" customHeight="1" outlineLevel="1">
      <c r="A465" s="1363"/>
      <c r="B465" s="1363"/>
      <c r="C465" s="1363"/>
      <c r="D465" s="1363"/>
      <c r="E465" s="1363"/>
      <c r="F465" s="1363"/>
      <c r="G465" s="1363" t="s">
        <v>261</v>
      </c>
      <c r="H465" s="1363"/>
      <c r="I465" s="1363"/>
      <c r="J465" s="1363"/>
      <c r="K465" s="1363"/>
      <c r="L465" s="1363"/>
      <c r="M465" s="1363"/>
      <c r="N465" s="1363"/>
      <c r="O465" s="1363"/>
      <c r="P465" s="1363" t="s">
        <v>325</v>
      </c>
      <c r="Q465" s="1363"/>
      <c r="R465" s="1363"/>
      <c r="S465" s="1363"/>
      <c r="T465" s="1363"/>
      <c r="U465" s="1363"/>
      <c r="V465" s="1363"/>
      <c r="W465" s="1363"/>
      <c r="X465" s="2804" t="s">
        <v>693</v>
      </c>
      <c r="Y465" s="1504" t="s">
        <v>3095</v>
      </c>
      <c r="Z465" s="1530">
        <v>4</v>
      </c>
      <c r="AA465" s="1530">
        <v>0</v>
      </c>
      <c r="AB465" s="1530">
        <v>32</v>
      </c>
      <c r="AC465" s="1530">
        <v>8</v>
      </c>
      <c r="AD465" s="1530" t="s">
        <v>407</v>
      </c>
      <c r="AE465" s="1530" t="s">
        <v>3096</v>
      </c>
      <c r="AF465" s="1530">
        <v>1</v>
      </c>
      <c r="AG465" s="1530">
        <v>0</v>
      </c>
      <c r="AH465" s="1530" t="s">
        <v>3097</v>
      </c>
      <c r="AI465" s="1530">
        <v>0</v>
      </c>
      <c r="AJ465" s="1530" t="s">
        <v>409</v>
      </c>
      <c r="AK465" s="1363"/>
      <c r="AL465" s="1363"/>
      <c r="AM465" s="1363"/>
      <c r="AN465" s="1363"/>
    </row>
    <row r="466" spans="1:40" ht="57.75" customHeight="1" outlineLevel="1">
      <c r="A466" s="1363"/>
      <c r="B466" s="1363"/>
      <c r="C466" s="1363"/>
      <c r="D466" s="1363"/>
      <c r="E466" s="1363"/>
      <c r="F466" s="1363"/>
      <c r="G466" s="1363" t="s">
        <v>261</v>
      </c>
      <c r="H466" s="1363"/>
      <c r="I466" s="1363"/>
      <c r="J466" s="1363"/>
      <c r="K466" s="1363"/>
      <c r="L466" s="1363"/>
      <c r="M466" s="1363"/>
      <c r="N466" s="1363"/>
      <c r="O466" s="1363"/>
      <c r="P466" s="1363" t="s">
        <v>325</v>
      </c>
      <c r="Q466" s="1363"/>
      <c r="R466" s="1363"/>
      <c r="S466" s="1363"/>
      <c r="T466" s="1363"/>
      <c r="U466" s="1363"/>
      <c r="V466" s="1363"/>
      <c r="W466" s="1363"/>
      <c r="X466" s="2805" t="s">
        <v>672</v>
      </c>
      <c r="Y466" s="370" t="s">
        <v>3098</v>
      </c>
      <c r="Z466" s="1530" t="s">
        <v>398</v>
      </c>
      <c r="AA466" s="1530" t="s">
        <v>398</v>
      </c>
      <c r="AB466" s="1530">
        <v>40</v>
      </c>
      <c r="AC466" s="1530">
        <v>2</v>
      </c>
      <c r="AD466" s="1530" t="s">
        <v>407</v>
      </c>
      <c r="AE466" s="2806" t="s">
        <v>671</v>
      </c>
      <c r="AF466" s="1530" t="s">
        <v>398</v>
      </c>
      <c r="AG466" s="1530" t="s">
        <v>398</v>
      </c>
      <c r="AH466" s="1530" t="s">
        <v>398</v>
      </c>
      <c r="AI466" s="1530" t="s">
        <v>398</v>
      </c>
      <c r="AJ466" s="1530" t="s">
        <v>398</v>
      </c>
      <c r="AK466" s="371">
        <v>20250818</v>
      </c>
      <c r="AL466" s="1363"/>
      <c r="AM466" s="1363"/>
      <c r="AN466" s="1363"/>
    </row>
    <row r="467" spans="1:40" ht="57.75" customHeight="1" outlineLevel="1">
      <c r="A467" s="1363"/>
      <c r="B467" s="1363"/>
      <c r="C467" s="1363"/>
      <c r="D467" s="1363"/>
      <c r="E467" s="1363"/>
      <c r="F467" s="1363"/>
      <c r="G467" s="1363" t="s">
        <v>261</v>
      </c>
      <c r="H467" s="1363"/>
      <c r="I467" s="1363"/>
      <c r="J467" s="1363"/>
      <c r="K467" s="1363"/>
      <c r="L467" s="1363"/>
      <c r="M467" s="1363"/>
      <c r="N467" s="1363"/>
      <c r="O467" s="1363"/>
      <c r="P467" s="1363" t="s">
        <v>325</v>
      </c>
      <c r="Q467" s="1363"/>
      <c r="R467" s="1363"/>
      <c r="S467" s="1363"/>
      <c r="T467" s="1363"/>
      <c r="U467" s="1363"/>
      <c r="V467" s="1363"/>
      <c r="W467" s="1363"/>
      <c r="X467" s="2807" t="s">
        <v>677</v>
      </c>
      <c r="Y467" s="370" t="s">
        <v>3099</v>
      </c>
      <c r="Z467" s="1530" t="s">
        <v>398</v>
      </c>
      <c r="AA467" s="1530" t="s">
        <v>398</v>
      </c>
      <c r="AB467" s="1530">
        <v>42</v>
      </c>
      <c r="AC467" s="1530">
        <v>2</v>
      </c>
      <c r="AD467" s="1530" t="s">
        <v>398</v>
      </c>
      <c r="AE467" s="2808" t="s">
        <v>679</v>
      </c>
      <c r="AF467" s="1530" t="s">
        <v>398</v>
      </c>
      <c r="AG467" s="1530" t="s">
        <v>398</v>
      </c>
      <c r="AH467" s="1530" t="s">
        <v>398</v>
      </c>
      <c r="AI467" s="1530" t="s">
        <v>398</v>
      </c>
      <c r="AJ467" s="1530" t="s">
        <v>398</v>
      </c>
      <c r="AK467" s="371">
        <v>20250818</v>
      </c>
      <c r="AL467" s="1363"/>
      <c r="AM467" s="1363"/>
      <c r="AN467" s="1363"/>
    </row>
    <row r="468" spans="1:40" ht="72" customHeight="1" outlineLevel="1">
      <c r="A468" s="1526"/>
      <c r="B468" s="1526"/>
      <c r="C468" s="1526"/>
      <c r="D468" s="1526"/>
      <c r="E468" s="1526"/>
      <c r="F468" s="1526"/>
      <c r="G468" s="1363" t="s">
        <v>261</v>
      </c>
      <c r="H468" s="1363"/>
      <c r="I468" s="1363"/>
      <c r="J468" s="1363"/>
      <c r="K468" s="1363"/>
      <c r="L468" s="1363"/>
      <c r="M468" s="1363"/>
      <c r="N468" s="1363"/>
      <c r="O468" s="1363"/>
      <c r="P468" s="1363"/>
      <c r="Q468" s="1363"/>
      <c r="R468" s="1363"/>
      <c r="S468" s="1363"/>
      <c r="T468" s="1363"/>
      <c r="U468" s="1363"/>
      <c r="V468" s="1363"/>
      <c r="W468" s="1363"/>
      <c r="X468" s="2809" t="s">
        <v>3100</v>
      </c>
      <c r="Y468" s="370" t="s">
        <v>3101</v>
      </c>
      <c r="Z468" s="1529"/>
      <c r="AA468" s="1529"/>
      <c r="AB468" s="1504">
        <v>48</v>
      </c>
      <c r="AC468" s="1504">
        <v>6</v>
      </c>
      <c r="AD468" s="1529"/>
      <c r="AE468" s="2810" t="s">
        <v>687</v>
      </c>
      <c r="AF468" s="1529" t="s">
        <v>398</v>
      </c>
      <c r="AG468" s="1529" t="s">
        <v>398</v>
      </c>
      <c r="AH468" s="1529" t="s">
        <v>398</v>
      </c>
      <c r="AI468" s="1529" t="s">
        <v>398</v>
      </c>
      <c r="AJ468" s="1529" t="s">
        <v>398</v>
      </c>
      <c r="AK468" s="371">
        <v>20251126</v>
      </c>
      <c r="AL468" s="1363"/>
      <c r="AM468" s="1363"/>
      <c r="AN468" s="1363"/>
    </row>
    <row r="469" spans="1:40" ht="29.25" customHeight="1" outlineLevel="1">
      <c r="A469" s="1526"/>
      <c r="B469" s="1526"/>
      <c r="C469" s="1526"/>
      <c r="D469" s="1526"/>
      <c r="E469" s="1526"/>
      <c r="F469" s="1526"/>
      <c r="G469" s="1363"/>
      <c r="H469" s="1363"/>
      <c r="I469" s="1363"/>
      <c r="J469" s="1363"/>
      <c r="K469" s="1363"/>
      <c r="L469" s="1363"/>
      <c r="M469" s="1363"/>
      <c r="N469" s="1363"/>
      <c r="O469" s="1363"/>
      <c r="P469" s="1363"/>
      <c r="Q469" s="1363"/>
      <c r="R469" s="1363"/>
      <c r="S469" s="1363"/>
      <c r="T469" s="1363"/>
      <c r="U469" s="1363"/>
      <c r="V469" s="1363"/>
      <c r="W469" s="1363"/>
      <c r="X469" s="2811" t="s">
        <v>3102</v>
      </c>
      <c r="Y469" s="370" t="s">
        <v>3103</v>
      </c>
      <c r="Z469" s="1529"/>
      <c r="AA469" s="1529"/>
      <c r="AB469" s="1504">
        <v>54</v>
      </c>
      <c r="AC469" s="1504">
        <v>1</v>
      </c>
      <c r="AD469" s="1529"/>
      <c r="AE469" s="2812" t="s">
        <v>3104</v>
      </c>
      <c r="AF469" s="1529"/>
      <c r="AG469" s="1529"/>
      <c r="AH469" s="1529"/>
      <c r="AI469" s="1529"/>
      <c r="AJ469" s="1529"/>
      <c r="AK469" s="371"/>
      <c r="AL469" s="1363"/>
      <c r="AM469" s="1363"/>
      <c r="AN469" s="1363"/>
    </row>
    <row r="470" spans="1:40" ht="29.25" customHeight="1" outlineLevel="1">
      <c r="A470" s="1526"/>
      <c r="B470" s="1526"/>
      <c r="C470" s="1526"/>
      <c r="D470" s="1526"/>
      <c r="E470" s="1526"/>
      <c r="F470" s="1526"/>
      <c r="G470" s="1363"/>
      <c r="H470" s="1363"/>
      <c r="I470" s="1363"/>
      <c r="J470" s="1363"/>
      <c r="K470" s="1363"/>
      <c r="L470" s="1363"/>
      <c r="M470" s="1363"/>
      <c r="N470" s="1363"/>
      <c r="O470" s="1363"/>
      <c r="P470" s="1363"/>
      <c r="Q470" s="1363"/>
      <c r="R470" s="1363"/>
      <c r="S470" s="1363"/>
      <c r="T470" s="1363"/>
      <c r="U470" s="1363"/>
      <c r="V470" s="1363"/>
      <c r="W470" s="1363"/>
      <c r="X470" s="2813" t="s">
        <v>3105</v>
      </c>
      <c r="Y470" s="370" t="s">
        <v>3106</v>
      </c>
      <c r="Z470" s="1529"/>
      <c r="AA470" s="1529"/>
      <c r="AB470" s="1504">
        <v>55</v>
      </c>
      <c r="AC470" s="1504">
        <v>1</v>
      </c>
      <c r="AD470" s="1529"/>
      <c r="AE470" s="2814" t="s">
        <v>3107</v>
      </c>
      <c r="AF470" s="1529"/>
      <c r="AG470" s="1529"/>
      <c r="AH470" s="1529"/>
      <c r="AI470" s="1529"/>
      <c r="AJ470" s="1529"/>
      <c r="AK470" s="371"/>
      <c r="AL470" s="1363"/>
      <c r="AM470" s="1363"/>
      <c r="AN470" s="1363"/>
    </row>
    <row r="471" spans="1:40" ht="43.5" customHeight="1" outlineLevel="1">
      <c r="A471" s="1363"/>
      <c r="B471" s="1500"/>
      <c r="C471" s="1500"/>
      <c r="D471" s="1500"/>
      <c r="E471" s="1500"/>
      <c r="F471" s="1500"/>
      <c r="G471" s="1363"/>
      <c r="H471" s="1500"/>
      <c r="I471" s="1500"/>
      <c r="J471" s="1500"/>
      <c r="K471" s="1500"/>
      <c r="L471" s="1500"/>
      <c r="M471" s="1500"/>
      <c r="N471" s="1500"/>
      <c r="O471" s="1500"/>
      <c r="P471" s="1500"/>
      <c r="Q471" s="1500"/>
      <c r="R471" s="1500"/>
      <c r="S471" s="1500"/>
      <c r="T471" s="1500"/>
      <c r="U471" s="1500"/>
      <c r="V471" s="117"/>
      <c r="W471" s="117"/>
      <c r="X471" s="2815" t="s">
        <v>3108</v>
      </c>
      <c r="Y471" s="1547" t="s">
        <v>3109</v>
      </c>
      <c r="Z471" s="670"/>
      <c r="AA471" s="1548"/>
      <c r="AB471" s="1548">
        <v>56</v>
      </c>
      <c r="AC471" s="1548">
        <v>8</v>
      </c>
      <c r="AD471" s="1548" t="s">
        <v>286</v>
      </c>
      <c r="AE471" s="1539"/>
      <c r="AF471" s="1548">
        <v>1</v>
      </c>
      <c r="AG471" s="1548">
        <v>0</v>
      </c>
      <c r="AH471" s="1548"/>
      <c r="AI471" s="1548">
        <v>0</v>
      </c>
      <c r="AJ471" s="1548" t="s">
        <v>452</v>
      </c>
      <c r="AK471" s="1500"/>
      <c r="AL471" s="364"/>
      <c r="AM471" s="1363"/>
      <c r="AN471" s="1363"/>
    </row>
    <row r="472" spans="1:40" s="1026" customFormat="1" ht="18" customHeight="1">
      <c r="A472" s="1093">
        <v>3</v>
      </c>
      <c r="B472" s="1093" t="s">
        <v>3110</v>
      </c>
      <c r="C472" s="1093" t="s">
        <v>3111</v>
      </c>
      <c r="D472" s="1093" t="s">
        <v>259</v>
      </c>
      <c r="E472" s="1093">
        <v>8</v>
      </c>
      <c r="F472" s="1093" t="s">
        <v>260</v>
      </c>
      <c r="G472" s="1094" t="s">
        <v>261</v>
      </c>
      <c r="H472" s="1093"/>
      <c r="I472" s="1093"/>
      <c r="J472" s="1093"/>
      <c r="K472" s="1093"/>
      <c r="L472" s="1093"/>
      <c r="M472" s="1093"/>
      <c r="N472" s="1093"/>
      <c r="O472" s="1093"/>
      <c r="P472" s="1093"/>
      <c r="Q472" s="1093"/>
      <c r="R472" s="1093" t="s">
        <v>325</v>
      </c>
      <c r="S472" s="1093" t="s">
        <v>325</v>
      </c>
      <c r="T472" s="1093"/>
      <c r="U472" s="1093"/>
      <c r="V472" s="1095"/>
      <c r="W472" s="1095"/>
      <c r="X472" s="1095" t="s">
        <v>3112</v>
      </c>
      <c r="Y472" s="1095"/>
      <c r="Z472" s="1093"/>
      <c r="AA472" s="1093"/>
      <c r="AB472" s="1093"/>
      <c r="AC472" s="1093"/>
      <c r="AD472" s="1093"/>
      <c r="AE472" s="1093" t="s">
        <v>3113</v>
      </c>
      <c r="AF472" s="1093"/>
      <c r="AG472" s="1093"/>
      <c r="AH472" s="1093"/>
      <c r="AI472" s="1093"/>
      <c r="AJ472" s="1093"/>
      <c r="AK472" s="1096"/>
      <c r="AL472" s="1097"/>
      <c r="AM472" s="1097"/>
      <c r="AN472" s="1097"/>
    </row>
    <row r="473" spans="1:40" ht="30.75" customHeight="1" outlineLevel="1">
      <c r="A473" s="1363"/>
      <c r="B473" s="1500"/>
      <c r="C473" s="1500"/>
      <c r="D473" s="1500"/>
      <c r="E473" s="1500"/>
      <c r="F473" s="1500"/>
      <c r="G473" s="1363" t="s">
        <v>261</v>
      </c>
      <c r="H473" s="1500"/>
      <c r="I473" s="1500"/>
      <c r="J473" s="1500"/>
      <c r="K473" s="1500"/>
      <c r="L473" s="1500"/>
      <c r="M473" s="1500"/>
      <c r="N473" s="1500"/>
      <c r="O473" s="1500"/>
      <c r="P473" s="1500"/>
      <c r="Q473" s="1500"/>
      <c r="R473" s="1500"/>
      <c r="S473" s="1500"/>
      <c r="T473" s="1500"/>
      <c r="U473" s="1389"/>
      <c r="V473" s="117"/>
      <c r="W473" s="117"/>
      <c r="X473" s="2816" t="s">
        <v>3114</v>
      </c>
      <c r="Y473" s="1547" t="s">
        <v>3115</v>
      </c>
      <c r="Z473" s="454">
        <v>0</v>
      </c>
      <c r="AA473" s="1512">
        <v>0</v>
      </c>
      <c r="AB473" s="1548">
        <f>Z473*8+AA473</f>
        <v>0</v>
      </c>
      <c r="AC473" s="1512">
        <v>1</v>
      </c>
      <c r="AD473" s="1512" t="s">
        <v>286</v>
      </c>
      <c r="AE473" s="2817" t="s">
        <v>3116</v>
      </c>
      <c r="AF473" s="1512"/>
      <c r="AG473" s="1512"/>
      <c r="AH473" s="1512"/>
      <c r="AI473" s="1512"/>
      <c r="AJ473" s="1512"/>
      <c r="AK473" s="1500"/>
      <c r="AL473" s="364"/>
      <c r="AM473" s="1363"/>
      <c r="AN473" s="1363"/>
    </row>
    <row r="474" spans="1:40" ht="30.75" customHeight="1" outlineLevel="1">
      <c r="A474" s="1363"/>
      <c r="B474" s="1500"/>
      <c r="C474" s="1500"/>
      <c r="D474" s="1500"/>
      <c r="E474" s="1500"/>
      <c r="F474" s="1500"/>
      <c r="G474" s="1363" t="s">
        <v>261</v>
      </c>
      <c r="H474" s="1500"/>
      <c r="I474" s="1500"/>
      <c r="J474" s="1500"/>
      <c r="K474" s="1500"/>
      <c r="L474" s="1500"/>
      <c r="M474" s="1500"/>
      <c r="N474" s="1500"/>
      <c r="O474" s="1500"/>
      <c r="P474" s="1500"/>
      <c r="Q474" s="1500"/>
      <c r="R474" s="1500"/>
      <c r="S474" s="1500"/>
      <c r="T474" s="1500"/>
      <c r="U474" s="1389"/>
      <c r="V474" s="117"/>
      <c r="W474" s="117"/>
      <c r="X474" s="2818" t="s">
        <v>3117</v>
      </c>
      <c r="Y474" s="1547" t="s">
        <v>3118</v>
      </c>
      <c r="Z474" s="670">
        <v>0</v>
      </c>
      <c r="AA474" s="1548">
        <v>1</v>
      </c>
      <c r="AB474" s="1548">
        <f>Z474*8+AA474</f>
        <v>1</v>
      </c>
      <c r="AC474" s="1548">
        <v>1</v>
      </c>
      <c r="AD474" s="1512" t="s">
        <v>286</v>
      </c>
      <c r="AE474" s="2819" t="s">
        <v>3116</v>
      </c>
      <c r="AF474" s="1548"/>
      <c r="AG474" s="1548"/>
      <c r="AH474" s="1548"/>
      <c r="AI474" s="1505"/>
      <c r="AJ474" s="1505"/>
      <c r="AK474" s="614"/>
      <c r="AL474" s="364"/>
      <c r="AM474" s="1363"/>
      <c r="AN474" s="1363"/>
    </row>
    <row r="475" spans="1:40" ht="30.75" customHeight="1" outlineLevel="1">
      <c r="A475" s="1363"/>
      <c r="B475" s="1500"/>
      <c r="C475" s="1500"/>
      <c r="D475" s="1500"/>
      <c r="E475" s="1500"/>
      <c r="F475" s="1500"/>
      <c r="G475" s="1363" t="s">
        <v>261</v>
      </c>
      <c r="H475" s="1500"/>
      <c r="I475" s="1500"/>
      <c r="J475" s="1500"/>
      <c r="K475" s="1500"/>
      <c r="L475" s="1500"/>
      <c r="M475" s="1500"/>
      <c r="N475" s="1500"/>
      <c r="O475" s="1500"/>
      <c r="P475" s="1500"/>
      <c r="Q475" s="1500"/>
      <c r="R475" s="1500"/>
      <c r="S475" s="1500"/>
      <c r="T475" s="1500"/>
      <c r="U475" s="1389"/>
      <c r="V475" s="117"/>
      <c r="W475" s="117"/>
      <c r="X475" s="2820" t="s">
        <v>3119</v>
      </c>
      <c r="Y475" s="1547" t="s">
        <v>3120</v>
      </c>
      <c r="Z475" s="670">
        <v>0</v>
      </c>
      <c r="AA475" s="1548">
        <v>2</v>
      </c>
      <c r="AB475" s="1548">
        <f>Z475*8+AA475</f>
        <v>2</v>
      </c>
      <c r="AC475" s="1548">
        <v>1</v>
      </c>
      <c r="AD475" s="1512" t="s">
        <v>286</v>
      </c>
      <c r="AE475" s="2821" t="s">
        <v>3121</v>
      </c>
      <c r="AF475" s="1548"/>
      <c r="AG475" s="1548"/>
      <c r="AH475" s="1548"/>
      <c r="AI475" s="1505"/>
      <c r="AJ475" s="1505"/>
      <c r="AK475" s="614"/>
      <c r="AL475" s="364"/>
      <c r="AM475" s="1363"/>
      <c r="AN475" s="1363"/>
    </row>
    <row r="476" spans="1:40" ht="30.75" customHeight="1" outlineLevel="1">
      <c r="A476" s="1363"/>
      <c r="B476" s="1500"/>
      <c r="C476" s="1500"/>
      <c r="D476" s="1500"/>
      <c r="E476" s="1500"/>
      <c r="F476" s="1500"/>
      <c r="G476" s="1363" t="s">
        <v>261</v>
      </c>
      <c r="H476" s="1500"/>
      <c r="I476" s="1500"/>
      <c r="J476" s="1500"/>
      <c r="K476" s="1500"/>
      <c r="L476" s="1500"/>
      <c r="M476" s="1500"/>
      <c r="N476" s="1500"/>
      <c r="O476" s="1500"/>
      <c r="P476" s="1500"/>
      <c r="Q476" s="1500"/>
      <c r="R476" s="1500"/>
      <c r="S476" s="1500"/>
      <c r="T476" s="1500"/>
      <c r="U476" s="1389"/>
      <c r="V476" s="117"/>
      <c r="W476" s="117"/>
      <c r="X476" s="2822" t="s">
        <v>3122</v>
      </c>
      <c r="Y476" s="1547" t="s">
        <v>3123</v>
      </c>
      <c r="Z476" s="670">
        <v>0</v>
      </c>
      <c r="AA476" s="1548">
        <v>3</v>
      </c>
      <c r="AB476" s="1548">
        <f>Z476*8+AA476</f>
        <v>3</v>
      </c>
      <c r="AC476" s="1548">
        <v>1</v>
      </c>
      <c r="AD476" s="1512" t="s">
        <v>286</v>
      </c>
      <c r="AE476" s="2823" t="s">
        <v>3121</v>
      </c>
      <c r="AF476" s="1548"/>
      <c r="AG476" s="1548"/>
      <c r="AH476" s="1548"/>
      <c r="AI476" s="1505"/>
      <c r="AJ476" s="1505"/>
      <c r="AK476" s="614"/>
      <c r="AL476" s="364"/>
      <c r="AM476" s="1363"/>
      <c r="AN476" s="1363"/>
    </row>
    <row r="477" spans="1:40" s="1232" customFormat="1" ht="18" customHeight="1">
      <c r="A477" s="1233">
        <v>5</v>
      </c>
      <c r="B477" s="1233" t="s">
        <v>3124</v>
      </c>
      <c r="C477" s="1233" t="s">
        <v>3125</v>
      </c>
      <c r="D477" s="1233" t="s">
        <v>259</v>
      </c>
      <c r="E477" s="1233">
        <v>8</v>
      </c>
      <c r="F477" s="1233" t="s">
        <v>260</v>
      </c>
      <c r="G477" s="1234" t="s">
        <v>261</v>
      </c>
      <c r="H477" s="1233"/>
      <c r="I477" s="1233"/>
      <c r="J477" s="1233"/>
      <c r="K477" s="1233"/>
      <c r="L477" s="1233" t="s">
        <v>325</v>
      </c>
      <c r="M477" s="1233"/>
      <c r="N477" s="1233"/>
      <c r="O477" s="1233"/>
      <c r="P477" s="1233" t="s">
        <v>325</v>
      </c>
      <c r="Q477" s="1233" t="s">
        <v>325</v>
      </c>
      <c r="R477" s="1233"/>
      <c r="S477" s="1233"/>
      <c r="T477" s="1233"/>
      <c r="U477" s="1233"/>
      <c r="V477" s="1235"/>
      <c r="W477" s="1235"/>
      <c r="X477" s="1235" t="s">
        <v>3126</v>
      </c>
      <c r="Y477" s="1235"/>
      <c r="Z477" s="1233"/>
      <c r="AA477" s="1233"/>
      <c r="AB477" s="1233"/>
      <c r="AC477" s="1233"/>
      <c r="AD477" s="1233"/>
      <c r="AE477" s="1233"/>
      <c r="AF477" s="1233"/>
      <c r="AG477" s="1233"/>
      <c r="AH477" s="1233"/>
      <c r="AI477" s="1233"/>
      <c r="AJ477" s="1233"/>
      <c r="AK477" s="1236"/>
      <c r="AL477" s="1237"/>
      <c r="AM477" s="1237"/>
      <c r="AN477" s="1237"/>
    </row>
    <row r="478" spans="1:40" ht="30.75" customHeight="1" outlineLevel="1">
      <c r="A478" s="1363"/>
      <c r="B478" s="1363"/>
      <c r="C478" s="1363"/>
      <c r="D478" s="1363"/>
      <c r="E478" s="1363"/>
      <c r="F478" s="1363"/>
      <c r="G478" s="1363"/>
      <c r="H478" s="1363"/>
      <c r="I478" s="1363"/>
      <c r="J478" s="1363"/>
      <c r="K478" s="1363"/>
      <c r="L478" s="1363"/>
      <c r="M478" s="1363"/>
      <c r="N478" s="1363"/>
      <c r="O478" s="1363"/>
      <c r="P478" s="1363"/>
      <c r="Q478" s="1363"/>
      <c r="R478" s="1363"/>
      <c r="S478" s="1363"/>
      <c r="T478" s="1363"/>
      <c r="U478" s="435"/>
      <c r="V478" s="1363"/>
      <c r="W478" s="1363"/>
      <c r="X478" s="2824" t="s">
        <v>3127</v>
      </c>
      <c r="Y478" s="1503" t="s">
        <v>3128</v>
      </c>
      <c r="Z478" s="1530">
        <v>0</v>
      </c>
      <c r="AA478" s="1530">
        <v>0</v>
      </c>
      <c r="AB478" s="1499">
        <v>0</v>
      </c>
      <c r="AC478" s="1530">
        <v>1</v>
      </c>
      <c r="AD478" s="1530" t="s">
        <v>398</v>
      </c>
      <c r="AE478" s="2825" t="s">
        <v>3129</v>
      </c>
      <c r="AF478" s="1530" t="s">
        <v>398</v>
      </c>
      <c r="AG478" s="1530" t="s">
        <v>398</v>
      </c>
      <c r="AH478" s="1529" t="s">
        <v>398</v>
      </c>
      <c r="AI478" s="1529" t="s">
        <v>398</v>
      </c>
      <c r="AJ478" s="1529" t="s">
        <v>398</v>
      </c>
      <c r="AK478" s="1529" t="s">
        <v>398</v>
      </c>
      <c r="AL478" s="635">
        <v>20240619</v>
      </c>
      <c r="AM478" s="1363"/>
      <c r="AN478" s="1363"/>
    </row>
    <row r="479" spans="1:40" ht="30.75" customHeight="1" outlineLevel="1">
      <c r="A479" s="1363"/>
      <c r="B479" s="1363"/>
      <c r="C479" s="1363"/>
      <c r="D479" s="1363"/>
      <c r="E479" s="1363"/>
      <c r="F479" s="1363"/>
      <c r="G479" s="1363"/>
      <c r="H479" s="1363"/>
      <c r="I479" s="1363"/>
      <c r="J479" s="1363"/>
      <c r="K479" s="1363"/>
      <c r="L479" s="1363"/>
      <c r="M479" s="1363"/>
      <c r="N479" s="1363"/>
      <c r="O479" s="1363"/>
      <c r="P479" s="1363"/>
      <c r="Q479" s="1363"/>
      <c r="R479" s="1363"/>
      <c r="S479" s="1363"/>
      <c r="T479" s="1363"/>
      <c r="U479" s="435"/>
      <c r="V479" s="1363"/>
      <c r="W479" s="1363"/>
      <c r="X479" s="2826" t="s">
        <v>3130</v>
      </c>
      <c r="Y479" s="1504" t="s">
        <v>3131</v>
      </c>
      <c r="Z479" s="1530">
        <v>0</v>
      </c>
      <c r="AA479" s="1530">
        <v>1</v>
      </c>
      <c r="AB479" s="1530">
        <v>1</v>
      </c>
      <c r="AC479" s="1530">
        <v>1</v>
      </c>
      <c r="AD479" s="1530" t="s">
        <v>398</v>
      </c>
      <c r="AE479" s="2827" t="s">
        <v>3132</v>
      </c>
      <c r="AF479" s="1530"/>
      <c r="AG479" s="1530" t="s">
        <v>444</v>
      </c>
      <c r="AH479" s="1530" t="s">
        <v>444</v>
      </c>
      <c r="AI479" s="1530" t="s">
        <v>444</v>
      </c>
      <c r="AJ479" s="1530"/>
      <c r="AK479" s="1363"/>
      <c r="AL479" s="1363"/>
      <c r="AM479" s="1363"/>
      <c r="AN479" s="1363"/>
    </row>
    <row r="480" spans="1:40" ht="105.75" customHeight="1" outlineLevel="1">
      <c r="A480" s="1363"/>
      <c r="B480" s="1363"/>
      <c r="C480" s="1363"/>
      <c r="D480" s="1363"/>
      <c r="E480" s="1363"/>
      <c r="F480" s="1363"/>
      <c r="G480" s="1363"/>
      <c r="H480" s="1363"/>
      <c r="I480" s="1363"/>
      <c r="J480" s="1363"/>
      <c r="K480" s="1363"/>
      <c r="L480" s="1363"/>
      <c r="M480" s="1363"/>
      <c r="N480" s="1363"/>
      <c r="O480" s="1363"/>
      <c r="P480" s="1363"/>
      <c r="Q480" s="1363"/>
      <c r="R480" s="1363"/>
      <c r="S480" s="1363"/>
      <c r="T480" s="1363"/>
      <c r="U480" s="435"/>
      <c r="V480" s="1363"/>
      <c r="W480" s="1363"/>
      <c r="X480" s="2828" t="s">
        <v>3133</v>
      </c>
      <c r="Y480" s="1504" t="s">
        <v>3134</v>
      </c>
      <c r="Z480" s="1530">
        <v>0</v>
      </c>
      <c r="AA480" s="1530">
        <v>2</v>
      </c>
      <c r="AB480" s="1530">
        <v>2</v>
      </c>
      <c r="AC480" s="1530">
        <v>3</v>
      </c>
      <c r="AD480" s="1530" t="s">
        <v>398</v>
      </c>
      <c r="AE480" s="2829" t="s">
        <v>3135</v>
      </c>
      <c r="AF480" s="1530" t="s">
        <v>444</v>
      </c>
      <c r="AG480" s="1530" t="s">
        <v>444</v>
      </c>
      <c r="AH480" s="1530" t="s">
        <v>444</v>
      </c>
      <c r="AI480" s="1530" t="s">
        <v>444</v>
      </c>
      <c r="AJ480" s="1530" t="s">
        <v>444</v>
      </c>
      <c r="AK480" s="1363"/>
      <c r="AL480" s="1363"/>
      <c r="AM480" s="1363"/>
      <c r="AN480" s="1363"/>
    </row>
    <row r="481" spans="1:40" ht="30.75" customHeight="1" outlineLevel="1">
      <c r="A481" s="1363"/>
      <c r="B481" s="1363"/>
      <c r="C481" s="1363"/>
      <c r="D481" s="1363"/>
      <c r="E481" s="1363"/>
      <c r="F481" s="1363"/>
      <c r="G481" s="1363"/>
      <c r="H481" s="1363"/>
      <c r="I481" s="1363"/>
      <c r="J481" s="1363"/>
      <c r="K481" s="1363"/>
      <c r="L481" s="1363"/>
      <c r="M481" s="1363"/>
      <c r="N481" s="1363"/>
      <c r="O481" s="1363"/>
      <c r="P481" s="1363"/>
      <c r="Q481" s="1363"/>
      <c r="R481" s="1363"/>
      <c r="S481" s="1363"/>
      <c r="T481" s="1363"/>
      <c r="U481" s="435"/>
      <c r="V481" s="1363"/>
      <c r="W481" s="1363"/>
      <c r="X481" s="2830" t="s">
        <v>3136</v>
      </c>
      <c r="Y481" s="1504" t="s">
        <v>3137</v>
      </c>
      <c r="Z481" s="1530">
        <v>0</v>
      </c>
      <c r="AA481" s="1530">
        <v>5</v>
      </c>
      <c r="AB481" s="1530">
        <v>5</v>
      </c>
      <c r="AC481" s="1530">
        <v>1</v>
      </c>
      <c r="AD481" s="1530" t="s">
        <v>398</v>
      </c>
      <c r="AE481" s="2831" t="s">
        <v>3138</v>
      </c>
      <c r="AF481" s="1530" t="s">
        <v>398</v>
      </c>
      <c r="AG481" s="1530" t="s">
        <v>398</v>
      </c>
      <c r="AH481" s="1530" t="s">
        <v>398</v>
      </c>
      <c r="AI481" s="1530" t="s">
        <v>398</v>
      </c>
      <c r="AJ481" s="1530" t="s">
        <v>398</v>
      </c>
      <c r="AK481" s="1363"/>
      <c r="AL481" s="1363"/>
      <c r="AM481" s="1363"/>
      <c r="AN481" s="1363"/>
    </row>
    <row r="482" spans="1:40" ht="30.75" customHeight="1" outlineLevel="1">
      <c r="A482" s="1363"/>
      <c r="B482" s="1363"/>
      <c r="C482" s="1363"/>
      <c r="D482" s="1363"/>
      <c r="E482" s="1363"/>
      <c r="F482" s="1363"/>
      <c r="G482" s="1363"/>
      <c r="H482" s="1363"/>
      <c r="I482" s="1363"/>
      <c r="J482" s="1363"/>
      <c r="K482" s="1363"/>
      <c r="L482" s="1363"/>
      <c r="M482" s="1363"/>
      <c r="N482" s="1363"/>
      <c r="O482" s="1363"/>
      <c r="P482" s="1363"/>
      <c r="Q482" s="1363"/>
      <c r="R482" s="1363"/>
      <c r="S482" s="1363"/>
      <c r="T482" s="1363"/>
      <c r="U482" s="435"/>
      <c r="V482" s="1363"/>
      <c r="W482" s="1363"/>
      <c r="X482" s="2832" t="s">
        <v>3139</v>
      </c>
      <c r="Y482" s="1526" t="s">
        <v>3140</v>
      </c>
      <c r="Z482" s="1530">
        <v>0</v>
      </c>
      <c r="AA482" s="1530">
        <v>6</v>
      </c>
      <c r="AB482" s="1530">
        <v>6</v>
      </c>
      <c r="AC482" s="1530">
        <v>1</v>
      </c>
      <c r="AD482" s="1530" t="s">
        <v>398</v>
      </c>
      <c r="AE482" s="2833" t="s">
        <v>3141</v>
      </c>
      <c r="AF482" s="1530" t="s">
        <v>398</v>
      </c>
      <c r="AG482" s="1530" t="s">
        <v>398</v>
      </c>
      <c r="AH482" s="1530" t="s">
        <v>398</v>
      </c>
      <c r="AI482" s="380" t="s">
        <v>398</v>
      </c>
      <c r="AJ482" s="1527" t="s">
        <v>398</v>
      </c>
      <c r="AK482" s="1363">
        <v>20251126</v>
      </c>
      <c r="AL482" s="1363"/>
      <c r="AM482" s="1363"/>
      <c r="AN482" s="1363"/>
    </row>
    <row r="483" spans="1:40" ht="30.75" customHeight="1" outlineLevel="1">
      <c r="A483" s="1363"/>
      <c r="B483" s="1363"/>
      <c r="C483" s="1363"/>
      <c r="D483" s="1363"/>
      <c r="E483" s="1363"/>
      <c r="F483" s="1363"/>
      <c r="G483" s="1363"/>
      <c r="H483" s="1363"/>
      <c r="I483" s="1363"/>
      <c r="J483" s="1363"/>
      <c r="K483" s="1363"/>
      <c r="L483" s="1363"/>
      <c r="M483" s="1363"/>
      <c r="N483" s="1363"/>
      <c r="O483" s="1363"/>
      <c r="P483" s="1363"/>
      <c r="Q483" s="1363"/>
      <c r="R483" s="1363"/>
      <c r="S483" s="1363"/>
      <c r="T483" s="1363"/>
      <c r="U483" s="435"/>
      <c r="V483" s="1363"/>
      <c r="W483" s="1363"/>
      <c r="X483" s="2834" t="s">
        <v>3142</v>
      </c>
      <c r="Y483" s="1503" t="s">
        <v>3143</v>
      </c>
      <c r="Z483" s="1530">
        <v>0</v>
      </c>
      <c r="AA483" s="1530">
        <v>7</v>
      </c>
      <c r="AB483" s="1530">
        <v>7</v>
      </c>
      <c r="AC483" s="1530">
        <v>1</v>
      </c>
      <c r="AD483" s="1530" t="s">
        <v>398</v>
      </c>
      <c r="AE483" s="2835" t="s">
        <v>3144</v>
      </c>
      <c r="AF483" s="1530" t="s">
        <v>398</v>
      </c>
      <c r="AG483" s="1530" t="s">
        <v>398</v>
      </c>
      <c r="AH483" s="1530" t="s">
        <v>398</v>
      </c>
      <c r="AI483" s="1530" t="s">
        <v>398</v>
      </c>
      <c r="AJ483" s="1530" t="s">
        <v>398</v>
      </c>
      <c r="AK483" s="1363"/>
      <c r="AL483" s="1363"/>
      <c r="AM483" s="1363"/>
      <c r="AN483" s="1363"/>
    </row>
    <row r="484" spans="1:40" ht="45.75" customHeight="1" outlineLevel="1">
      <c r="A484" s="1363"/>
      <c r="B484" s="1363"/>
      <c r="C484" s="1363"/>
      <c r="D484" s="1363"/>
      <c r="E484" s="1363"/>
      <c r="F484" s="1363"/>
      <c r="G484" s="1363"/>
      <c r="H484" s="1363"/>
      <c r="I484" s="1363"/>
      <c r="J484" s="1363"/>
      <c r="K484" s="1363"/>
      <c r="L484" s="1363"/>
      <c r="M484" s="1363"/>
      <c r="N484" s="1363"/>
      <c r="O484" s="1363"/>
      <c r="P484" s="1363"/>
      <c r="Q484" s="1363"/>
      <c r="R484" s="1363"/>
      <c r="S484" s="1363"/>
      <c r="T484" s="1363"/>
      <c r="U484" s="435"/>
      <c r="V484" s="1363"/>
      <c r="W484" s="1363"/>
      <c r="X484" s="2836" t="s">
        <v>3145</v>
      </c>
      <c r="Y484" s="1504" t="s">
        <v>3146</v>
      </c>
      <c r="Z484" s="1530">
        <v>1</v>
      </c>
      <c r="AA484" s="1530">
        <v>0</v>
      </c>
      <c r="AB484" s="1530">
        <v>8</v>
      </c>
      <c r="AC484" s="1530">
        <v>2</v>
      </c>
      <c r="AD484" s="1530" t="s">
        <v>398</v>
      </c>
      <c r="AE484" s="2837" t="s">
        <v>3147</v>
      </c>
      <c r="AF484" s="1530" t="s">
        <v>444</v>
      </c>
      <c r="AG484" s="1530" t="s">
        <v>444</v>
      </c>
      <c r="AH484" s="1530" t="s">
        <v>444</v>
      </c>
      <c r="AI484" s="1530" t="s">
        <v>444</v>
      </c>
      <c r="AJ484" s="1530" t="s">
        <v>444</v>
      </c>
      <c r="AK484" s="1363"/>
      <c r="AL484" s="1363"/>
      <c r="AM484" s="1363"/>
      <c r="AN484" s="1363"/>
    </row>
    <row r="485" spans="1:40" ht="45.75" customHeight="1" outlineLevel="1">
      <c r="A485" s="1363"/>
      <c r="B485" s="1363"/>
      <c r="C485" s="1363"/>
      <c r="D485" s="1363"/>
      <c r="E485" s="1363"/>
      <c r="F485" s="1363"/>
      <c r="G485" s="1363"/>
      <c r="H485" s="1363"/>
      <c r="I485" s="1363"/>
      <c r="J485" s="1363"/>
      <c r="K485" s="1363"/>
      <c r="L485" s="1363"/>
      <c r="M485" s="1363"/>
      <c r="N485" s="1363"/>
      <c r="O485" s="1363"/>
      <c r="P485" s="1363"/>
      <c r="Q485" s="1363"/>
      <c r="R485" s="1363"/>
      <c r="S485" s="1363"/>
      <c r="T485" s="1363"/>
      <c r="U485" s="435"/>
      <c r="V485" s="1363"/>
      <c r="W485" s="1363"/>
      <c r="X485" s="2838" t="s">
        <v>3148</v>
      </c>
      <c r="Y485" s="1504" t="s">
        <v>3149</v>
      </c>
      <c r="Z485" s="1530">
        <v>1</v>
      </c>
      <c r="AA485" s="1530">
        <v>2</v>
      </c>
      <c r="AB485" s="1530">
        <v>10</v>
      </c>
      <c r="AC485" s="1530">
        <v>2</v>
      </c>
      <c r="AD485" s="1530" t="s">
        <v>398</v>
      </c>
      <c r="AE485" s="2839" t="s">
        <v>3147</v>
      </c>
      <c r="AF485" s="1530" t="s">
        <v>444</v>
      </c>
      <c r="AG485" s="1530" t="s">
        <v>444</v>
      </c>
      <c r="AH485" s="1530" t="s">
        <v>444</v>
      </c>
      <c r="AI485" s="1530" t="s">
        <v>444</v>
      </c>
      <c r="AJ485" s="1530" t="s">
        <v>444</v>
      </c>
      <c r="AK485" s="1363"/>
      <c r="AL485" s="1363"/>
      <c r="AM485" s="1363"/>
      <c r="AN485" s="1363"/>
    </row>
    <row r="486" spans="1:40" ht="30.75" customHeight="1" outlineLevel="1">
      <c r="A486" s="1363"/>
      <c r="B486" s="1363"/>
      <c r="C486" s="1363"/>
      <c r="D486" s="1363"/>
      <c r="E486" s="1363"/>
      <c r="F486" s="1363"/>
      <c r="G486" s="1363"/>
      <c r="H486" s="1363"/>
      <c r="I486" s="1363"/>
      <c r="J486" s="1363"/>
      <c r="K486" s="1363"/>
      <c r="L486" s="1363"/>
      <c r="M486" s="1363"/>
      <c r="N486" s="1363"/>
      <c r="O486" s="1363"/>
      <c r="P486" s="1363"/>
      <c r="Q486" s="1363"/>
      <c r="R486" s="1363"/>
      <c r="S486" s="1363"/>
      <c r="T486" s="1363"/>
      <c r="U486" s="435"/>
      <c r="V486" s="1363"/>
      <c r="W486" s="1363"/>
      <c r="X486" s="2840" t="s">
        <v>3150</v>
      </c>
      <c r="Y486" s="1504" t="s">
        <v>3151</v>
      </c>
      <c r="Z486" s="1530">
        <v>1</v>
      </c>
      <c r="AA486" s="1530">
        <v>4</v>
      </c>
      <c r="AB486" s="1530">
        <v>12</v>
      </c>
      <c r="AC486" s="1530">
        <v>1</v>
      </c>
      <c r="AD486" s="1530" t="s">
        <v>398</v>
      </c>
      <c r="AE486" s="2841" t="s">
        <v>3152</v>
      </c>
      <c r="AF486" s="1530" t="s">
        <v>398</v>
      </c>
      <c r="AG486" s="1530" t="s">
        <v>398</v>
      </c>
      <c r="AH486" s="1530" t="s">
        <v>398</v>
      </c>
      <c r="AI486" s="1530" t="s">
        <v>398</v>
      </c>
      <c r="AJ486" s="1530" t="s">
        <v>398</v>
      </c>
      <c r="AK486" s="1363"/>
      <c r="AL486" s="1363"/>
      <c r="AM486" s="1363"/>
      <c r="AN486" s="1363"/>
    </row>
    <row r="487" spans="1:40" ht="64.5" customHeight="1" outlineLevel="1">
      <c r="A487" s="1363"/>
      <c r="B487" s="1363"/>
      <c r="C487" s="1363"/>
      <c r="D487" s="1363"/>
      <c r="E487" s="1363"/>
      <c r="F487" s="1363"/>
      <c r="G487" s="1363"/>
      <c r="H487" s="1363"/>
      <c r="I487" s="1363"/>
      <c r="J487" s="1363"/>
      <c r="K487" s="1363"/>
      <c r="L487" s="1363"/>
      <c r="M487" s="1363"/>
      <c r="N487" s="1363"/>
      <c r="O487" s="1363"/>
      <c r="P487" s="1363"/>
      <c r="Q487" s="1363"/>
      <c r="R487" s="1363"/>
      <c r="S487" s="1363"/>
      <c r="T487" s="1363"/>
      <c r="U487" s="435"/>
      <c r="V487" s="1363"/>
      <c r="W487" s="1363"/>
      <c r="X487" s="2842" t="s">
        <v>3153</v>
      </c>
      <c r="Y487" s="1504" t="s">
        <v>3154</v>
      </c>
      <c r="Z487" s="1530">
        <v>1</v>
      </c>
      <c r="AA487" s="1530">
        <v>5</v>
      </c>
      <c r="AB487" s="1530">
        <v>13</v>
      </c>
      <c r="AC487" s="1530">
        <v>2</v>
      </c>
      <c r="AD487" s="1530" t="s">
        <v>398</v>
      </c>
      <c r="AE487" s="2843" t="s">
        <v>3155</v>
      </c>
      <c r="AF487" s="1530" t="s">
        <v>398</v>
      </c>
      <c r="AG487" s="1530" t="s">
        <v>398</v>
      </c>
      <c r="AH487" s="1530" t="s">
        <v>398</v>
      </c>
      <c r="AI487" s="1530" t="s">
        <v>398</v>
      </c>
      <c r="AJ487" s="1530" t="s">
        <v>398</v>
      </c>
      <c r="AK487" s="1363"/>
      <c r="AL487" s="1363"/>
      <c r="AM487" s="1363"/>
      <c r="AN487" s="1363"/>
    </row>
    <row r="488" spans="1:40" ht="30.75" customHeight="1" outlineLevel="1">
      <c r="A488" s="1363"/>
      <c r="B488" s="1363"/>
      <c r="C488" s="1363"/>
      <c r="D488" s="1363"/>
      <c r="E488" s="1363"/>
      <c r="F488" s="1363"/>
      <c r="G488" s="1363"/>
      <c r="H488" s="1363"/>
      <c r="I488" s="1363"/>
      <c r="J488" s="1363"/>
      <c r="K488" s="1363"/>
      <c r="L488" s="1363"/>
      <c r="M488" s="1363"/>
      <c r="N488" s="1363"/>
      <c r="O488" s="1363"/>
      <c r="P488" s="1363"/>
      <c r="Q488" s="1363"/>
      <c r="R488" s="1363"/>
      <c r="S488" s="1363"/>
      <c r="T488" s="1363"/>
      <c r="U488" s="435"/>
      <c r="V488" s="1363"/>
      <c r="W488" s="1363"/>
      <c r="X488" s="2844" t="s">
        <v>3156</v>
      </c>
      <c r="Y488" s="1504" t="s">
        <v>3157</v>
      </c>
      <c r="Z488" s="1530">
        <v>1</v>
      </c>
      <c r="AA488" s="1530">
        <v>7</v>
      </c>
      <c r="AB488" s="1530">
        <v>15</v>
      </c>
      <c r="AC488" s="1530">
        <v>1</v>
      </c>
      <c r="AD488" s="1530" t="s">
        <v>398</v>
      </c>
      <c r="AE488" s="2845" t="s">
        <v>3158</v>
      </c>
      <c r="AF488" s="1530" t="s">
        <v>398</v>
      </c>
      <c r="AG488" s="1530" t="s">
        <v>398</v>
      </c>
      <c r="AH488" s="1530" t="s">
        <v>398</v>
      </c>
      <c r="AI488" s="1530" t="s">
        <v>398</v>
      </c>
      <c r="AJ488" s="1530" t="s">
        <v>398</v>
      </c>
      <c r="AK488" s="1363"/>
      <c r="AL488" s="1363"/>
      <c r="AM488" s="1363"/>
      <c r="AN488" s="1363"/>
    </row>
    <row r="489" spans="1:40" s="109" customFormat="1" ht="45.75" customHeight="1" outlineLevel="1">
      <c r="A489" s="1363"/>
      <c r="B489" s="1363"/>
      <c r="C489" s="1363"/>
      <c r="D489" s="1363"/>
      <c r="E489" s="1363"/>
      <c r="F489" s="1363"/>
      <c r="G489" s="1363"/>
      <c r="H489" s="1363"/>
      <c r="I489" s="1363"/>
      <c r="J489" s="1363"/>
      <c r="K489" s="1363"/>
      <c r="L489" s="1363"/>
      <c r="M489" s="1363"/>
      <c r="N489" s="1363"/>
      <c r="O489" s="1363"/>
      <c r="P489" s="1363"/>
      <c r="Q489" s="1363"/>
      <c r="R489" s="1363"/>
      <c r="S489" s="1363"/>
      <c r="T489" s="1363"/>
      <c r="U489" s="435"/>
      <c r="V489" s="1363"/>
      <c r="W489" s="1363"/>
      <c r="X489" s="2846" t="s">
        <v>3159</v>
      </c>
      <c r="Y489" s="432" t="s">
        <v>3160</v>
      </c>
      <c r="Z489" s="1530">
        <v>2</v>
      </c>
      <c r="AA489" s="1530">
        <v>0</v>
      </c>
      <c r="AB489" s="1530">
        <v>16</v>
      </c>
      <c r="AC489" s="1530">
        <v>2</v>
      </c>
      <c r="AD489" s="1530" t="s">
        <v>398</v>
      </c>
      <c r="AE489" s="2847" t="s">
        <v>3161</v>
      </c>
      <c r="AF489" s="1530" t="s">
        <v>444</v>
      </c>
      <c r="AG489" s="1530" t="s">
        <v>444</v>
      </c>
      <c r="AH489" s="1530" t="s">
        <v>444</v>
      </c>
      <c r="AI489" s="1530" t="s">
        <v>444</v>
      </c>
      <c r="AJ489" s="1530" t="s">
        <v>444</v>
      </c>
      <c r="AK489" s="1363"/>
      <c r="AL489" s="1363"/>
    </row>
    <row r="490" spans="1:40" ht="67.5" customHeight="1" outlineLevel="1">
      <c r="A490" s="1363"/>
      <c r="B490" s="1363"/>
      <c r="C490" s="1363"/>
      <c r="D490" s="1363"/>
      <c r="E490" s="1363"/>
      <c r="F490" s="1363"/>
      <c r="G490" s="1363"/>
      <c r="H490" s="1363"/>
      <c r="I490" s="1363"/>
      <c r="J490" s="1363"/>
      <c r="K490" s="1363"/>
      <c r="L490" s="1363"/>
      <c r="M490" s="1363"/>
      <c r="N490" s="1363"/>
      <c r="O490" s="1363"/>
      <c r="P490" s="1363"/>
      <c r="Q490" s="1363"/>
      <c r="R490" s="1363"/>
      <c r="S490" s="1363"/>
      <c r="T490" s="1363"/>
      <c r="U490" s="1363"/>
      <c r="V490" s="1363"/>
      <c r="W490" s="1363"/>
      <c r="X490" s="2848" t="s">
        <v>3162</v>
      </c>
      <c r="Y490" s="1528" t="s">
        <v>3163</v>
      </c>
      <c r="Z490" s="1530"/>
      <c r="AA490" s="1530"/>
      <c r="AB490" s="1530">
        <v>18</v>
      </c>
      <c r="AC490" s="1530">
        <v>1</v>
      </c>
      <c r="AD490" s="1530"/>
      <c r="AE490" s="2849" t="s">
        <v>3164</v>
      </c>
      <c r="AF490" s="1498"/>
      <c r="AG490" s="1498"/>
      <c r="AH490" s="1498"/>
      <c r="AI490" s="1363"/>
      <c r="AJ490" s="1524"/>
      <c r="AK490" s="447">
        <v>20261218</v>
      </c>
      <c r="AL490" s="377"/>
      <c r="AM490" s="1363"/>
      <c r="AN490" s="1363"/>
    </row>
    <row r="491" spans="1:40" ht="60.75" customHeight="1" outlineLevel="1">
      <c r="A491" s="1363"/>
      <c r="B491" s="1363"/>
      <c r="C491" s="1363"/>
      <c r="D491" s="1363"/>
      <c r="E491" s="1363"/>
      <c r="F491" s="1363"/>
      <c r="G491" s="1363"/>
      <c r="H491" s="1363"/>
      <c r="I491" s="1363"/>
      <c r="J491" s="1363"/>
      <c r="K491" s="1363"/>
      <c r="L491" s="1363"/>
      <c r="M491" s="1363"/>
      <c r="N491" s="1363"/>
      <c r="O491" s="1363"/>
      <c r="P491" s="1363"/>
      <c r="Q491" s="1363"/>
      <c r="R491" s="1363"/>
      <c r="S491" s="1363"/>
      <c r="T491" s="1363"/>
      <c r="U491" s="435"/>
      <c r="V491" s="1363"/>
      <c r="W491" s="1363"/>
      <c r="X491" s="2850" t="s">
        <v>3165</v>
      </c>
      <c r="Y491" s="1547" t="s">
        <v>3166</v>
      </c>
      <c r="Z491" s="1530">
        <v>2</v>
      </c>
      <c r="AA491" s="1530">
        <v>3</v>
      </c>
      <c r="AB491" s="1530">
        <v>19</v>
      </c>
      <c r="AC491" s="1530">
        <v>2</v>
      </c>
      <c r="AD491" s="1530" t="s">
        <v>398</v>
      </c>
      <c r="AE491" s="2851" t="s">
        <v>3167</v>
      </c>
      <c r="AF491" s="1530" t="s">
        <v>398</v>
      </c>
      <c r="AG491" s="1530" t="s">
        <v>398</v>
      </c>
      <c r="AH491" s="1530" t="s">
        <v>398</v>
      </c>
      <c r="AI491" s="1530" t="s">
        <v>398</v>
      </c>
      <c r="AJ491" s="1530" t="s">
        <v>398</v>
      </c>
      <c r="AK491" s="1499" t="s">
        <v>398</v>
      </c>
      <c r="AL491" s="636">
        <v>20240606</v>
      </c>
      <c r="AM491" s="1363"/>
      <c r="AN491" s="1363"/>
    </row>
    <row r="492" spans="1:40" s="1354" customFormat="1" ht="75.75" customHeight="1" outlineLevel="1">
      <c r="A492" s="1363"/>
      <c r="B492" s="1363"/>
      <c r="C492" s="1363"/>
      <c r="D492" s="1363"/>
      <c r="E492" s="1363"/>
      <c r="F492" s="1363"/>
      <c r="G492" s="1363"/>
      <c r="H492" s="1363"/>
      <c r="I492" s="1363"/>
      <c r="J492" s="1363"/>
      <c r="K492" s="1363"/>
      <c r="L492" s="1363"/>
      <c r="M492" s="1363"/>
      <c r="N492" s="1363"/>
      <c r="O492" s="1363"/>
      <c r="P492" s="1363"/>
      <c r="Q492" s="1363"/>
      <c r="R492" s="1363"/>
      <c r="S492" s="1363"/>
      <c r="T492" s="1363"/>
      <c r="U492" s="435"/>
      <c r="V492" s="1363"/>
      <c r="W492" s="1363"/>
      <c r="X492" s="2852" t="s">
        <v>3168</v>
      </c>
      <c r="Y492" s="1504" t="s">
        <v>3169</v>
      </c>
      <c r="Z492" s="1530">
        <v>2</v>
      </c>
      <c r="AA492" s="1530">
        <v>5</v>
      </c>
      <c r="AB492" s="1530">
        <v>21</v>
      </c>
      <c r="AC492" s="1530">
        <v>2</v>
      </c>
      <c r="AD492" s="1530" t="s">
        <v>398</v>
      </c>
      <c r="AE492" s="2853" t="s">
        <v>3170</v>
      </c>
      <c r="AF492" s="1530" t="s">
        <v>398</v>
      </c>
      <c r="AG492" s="1530" t="s">
        <v>398</v>
      </c>
      <c r="AH492" s="1530" t="s">
        <v>398</v>
      </c>
      <c r="AI492" s="1530" t="s">
        <v>398</v>
      </c>
      <c r="AJ492" s="1530" t="s">
        <v>398</v>
      </c>
      <c r="AK492" s="1530"/>
      <c r="AL492" s="385" t="s">
        <v>3171</v>
      </c>
      <c r="AM492" s="1363"/>
      <c r="AN492" s="1363"/>
    </row>
    <row r="493" spans="1:40" ht="30.75" customHeight="1" outlineLevel="1">
      <c r="A493" s="1363"/>
      <c r="B493" s="1363"/>
      <c r="C493" s="1363"/>
      <c r="D493" s="1363"/>
      <c r="E493" s="1363"/>
      <c r="F493" s="1363"/>
      <c r="G493" s="1363"/>
      <c r="H493" s="1363"/>
      <c r="I493" s="1363"/>
      <c r="J493" s="1363"/>
      <c r="K493" s="1363"/>
      <c r="L493" s="1363"/>
      <c r="M493" s="1363"/>
      <c r="N493" s="1363"/>
      <c r="O493" s="1363"/>
      <c r="P493" s="1363"/>
      <c r="Q493" s="1363"/>
      <c r="R493" s="1363"/>
      <c r="S493" s="1363"/>
      <c r="T493" s="1363"/>
      <c r="U493" s="1363"/>
      <c r="V493" s="1363"/>
      <c r="W493" s="1363"/>
      <c r="X493" s="2854" t="s">
        <v>3172</v>
      </c>
      <c r="Y493" s="1504" t="s">
        <v>3173</v>
      </c>
      <c r="Z493" s="1530">
        <v>2</v>
      </c>
      <c r="AA493" s="1530">
        <v>7</v>
      </c>
      <c r="AB493" s="1530">
        <v>23</v>
      </c>
      <c r="AC493" s="1530">
        <v>1</v>
      </c>
      <c r="AD493" s="1530" t="s">
        <v>398</v>
      </c>
      <c r="AE493" s="2855" t="s">
        <v>3174</v>
      </c>
      <c r="AF493" s="1530" t="s">
        <v>398</v>
      </c>
      <c r="AG493" s="1530" t="s">
        <v>398</v>
      </c>
      <c r="AH493" s="1530" t="s">
        <v>398</v>
      </c>
      <c r="AI493" s="1530" t="s">
        <v>398</v>
      </c>
      <c r="AJ493" s="1530" t="s">
        <v>398</v>
      </c>
      <c r="AK493" s="435">
        <v>20240822</v>
      </c>
      <c r="AL493" s="435" t="s">
        <v>2938</v>
      </c>
      <c r="AM493" s="1363"/>
      <c r="AN493" s="1363"/>
    </row>
    <row r="494" spans="1:40" ht="60.75" customHeight="1" outlineLevel="1">
      <c r="A494" s="1363"/>
      <c r="B494" s="1363"/>
      <c r="C494" s="1363"/>
      <c r="D494" s="1363"/>
      <c r="E494" s="1363"/>
      <c r="F494" s="1363"/>
      <c r="G494" s="1363"/>
      <c r="H494" s="1363"/>
      <c r="I494" s="1363"/>
      <c r="J494" s="1363"/>
      <c r="K494" s="1363"/>
      <c r="L494" s="1363"/>
      <c r="M494" s="1363"/>
      <c r="N494" s="1363"/>
      <c r="O494" s="1363"/>
      <c r="P494" s="1363"/>
      <c r="Q494" s="1363"/>
      <c r="R494" s="1363"/>
      <c r="S494" s="1363"/>
      <c r="T494" s="1363"/>
      <c r="U494" s="1363"/>
      <c r="V494" s="1363"/>
      <c r="W494" s="1363"/>
      <c r="X494" s="2856" t="s">
        <v>3175</v>
      </c>
      <c r="Y494" s="1498" t="s">
        <v>3176</v>
      </c>
      <c r="Z494" s="1530">
        <v>3</v>
      </c>
      <c r="AA494" s="1530">
        <v>0</v>
      </c>
      <c r="AB494" s="1530">
        <v>24</v>
      </c>
      <c r="AC494" s="1530">
        <v>2</v>
      </c>
      <c r="AD494" s="1530" t="s">
        <v>398</v>
      </c>
      <c r="AE494" s="2857" t="s">
        <v>3177</v>
      </c>
      <c r="AF494" s="1530" t="s">
        <v>398</v>
      </c>
      <c r="AG494" s="1530" t="s">
        <v>398</v>
      </c>
      <c r="AH494" s="1530" t="s">
        <v>398</v>
      </c>
      <c r="AI494" s="1530" t="s">
        <v>398</v>
      </c>
      <c r="AJ494" s="1530" t="s">
        <v>398</v>
      </c>
      <c r="AK494" s="377">
        <v>20241207</v>
      </c>
      <c r="AL494" s="377" t="s">
        <v>2938</v>
      </c>
      <c r="AM494" s="1363"/>
      <c r="AN494" s="1363"/>
    </row>
    <row r="495" spans="1:40" ht="45.75" customHeight="1" outlineLevel="1">
      <c r="A495" s="1363"/>
      <c r="B495" s="1363"/>
      <c r="C495" s="1363"/>
      <c r="D495" s="1363"/>
      <c r="E495" s="1363"/>
      <c r="F495" s="1363"/>
      <c r="G495" s="1363"/>
      <c r="H495" s="1363"/>
      <c r="I495" s="1363"/>
      <c r="J495" s="1363"/>
      <c r="K495" s="1363"/>
      <c r="L495" s="1363"/>
      <c r="M495" s="1363"/>
      <c r="N495" s="1363"/>
      <c r="O495" s="1363"/>
      <c r="P495" s="1363"/>
      <c r="Q495" s="1363"/>
      <c r="R495" s="1363"/>
      <c r="S495" s="1363"/>
      <c r="T495" s="1363"/>
      <c r="U495" s="435"/>
      <c r="V495" s="1363"/>
      <c r="W495" s="1363"/>
      <c r="X495" s="2858" t="s">
        <v>3178</v>
      </c>
      <c r="Y495" s="1547" t="s">
        <v>3179</v>
      </c>
      <c r="Z495" s="1530">
        <v>3</v>
      </c>
      <c r="AA495" s="1530">
        <v>2</v>
      </c>
      <c r="AB495" s="1530">
        <v>26</v>
      </c>
      <c r="AC495" s="1530">
        <v>2</v>
      </c>
      <c r="AD495" s="1530" t="s">
        <v>398</v>
      </c>
      <c r="AE495" s="2859" t="s">
        <v>3161</v>
      </c>
      <c r="AF495" s="1530" t="s">
        <v>444</v>
      </c>
      <c r="AG495" s="1530" t="s">
        <v>444</v>
      </c>
      <c r="AH495" s="1530" t="s">
        <v>444</v>
      </c>
      <c r="AI495" s="1530" t="s">
        <v>444</v>
      </c>
      <c r="AJ495" s="1530" t="s">
        <v>444</v>
      </c>
      <c r="AK495" s="1363">
        <v>20251120</v>
      </c>
      <c r="AL495" s="1363"/>
      <c r="AM495" s="1363"/>
      <c r="AN495" s="1363"/>
    </row>
    <row r="496" spans="1:40" ht="30.75" customHeight="1" outlineLevel="1">
      <c r="A496" s="1363"/>
      <c r="B496" s="1363"/>
      <c r="C496" s="1363"/>
      <c r="D496" s="1363"/>
      <c r="E496" s="1363"/>
      <c r="F496" s="1363"/>
      <c r="G496" s="1363"/>
      <c r="H496" s="1363"/>
      <c r="I496" s="1363"/>
      <c r="J496" s="1363"/>
      <c r="K496" s="1363"/>
      <c r="L496" s="1363"/>
      <c r="M496" s="1363"/>
      <c r="N496" s="1363"/>
      <c r="O496" s="1363"/>
      <c r="P496" s="1363"/>
      <c r="Q496" s="1363"/>
      <c r="R496" s="1363"/>
      <c r="S496" s="1363"/>
      <c r="T496" s="1363"/>
      <c r="U496" s="1363"/>
      <c r="V496" s="1363"/>
      <c r="W496" s="1363"/>
      <c r="X496" s="2860" t="s">
        <v>3180</v>
      </c>
      <c r="Y496" s="1530" t="s">
        <v>3181</v>
      </c>
      <c r="Z496" s="1530" t="s">
        <v>398</v>
      </c>
      <c r="AA496" s="1530" t="s">
        <v>398</v>
      </c>
      <c r="AB496" s="1530">
        <v>28</v>
      </c>
      <c r="AC496" s="1530">
        <v>1</v>
      </c>
      <c r="AD496" s="379" t="s">
        <v>398</v>
      </c>
      <c r="AE496" s="2861" t="s">
        <v>3182</v>
      </c>
      <c r="AF496" s="1530" t="s">
        <v>398</v>
      </c>
      <c r="AG496" s="1530" t="s">
        <v>398</v>
      </c>
      <c r="AH496" s="1530" t="s">
        <v>398</v>
      </c>
      <c r="AI496" s="380" t="s">
        <v>398</v>
      </c>
      <c r="AJ496" s="1527" t="s">
        <v>398</v>
      </c>
      <c r="AK496" s="377">
        <v>20251126</v>
      </c>
      <c r="AL496" s="377" t="s">
        <v>398</v>
      </c>
      <c r="AM496" s="1363"/>
      <c r="AN496" s="1363"/>
    </row>
    <row r="497" spans="1:40" ht="30.75" customHeight="1" outlineLevel="1">
      <c r="A497" s="1363"/>
      <c r="B497" s="1363"/>
      <c r="C497" s="1363"/>
      <c r="D497" s="1363"/>
      <c r="E497" s="1363"/>
      <c r="F497" s="1363"/>
      <c r="G497" s="1363"/>
      <c r="H497" s="1363"/>
      <c r="I497" s="1363"/>
      <c r="J497" s="1363"/>
      <c r="K497" s="1363"/>
      <c r="L497" s="1363"/>
      <c r="M497" s="1363"/>
      <c r="N497" s="1363"/>
      <c r="O497" s="1363"/>
      <c r="P497" s="1363"/>
      <c r="Q497" s="1363"/>
      <c r="R497" s="1363"/>
      <c r="S497" s="1363"/>
      <c r="T497" s="1363"/>
      <c r="U497" s="1363"/>
      <c r="V497" s="1363"/>
      <c r="W497" s="1363"/>
      <c r="X497" s="2862" t="s">
        <v>3183</v>
      </c>
      <c r="Y497" s="1530" t="s">
        <v>3184</v>
      </c>
      <c r="Z497" s="1530" t="s">
        <v>398</v>
      </c>
      <c r="AA497" s="1530" t="s">
        <v>398</v>
      </c>
      <c r="AB497" s="1530">
        <v>29</v>
      </c>
      <c r="AC497" s="1530">
        <v>1</v>
      </c>
      <c r="AD497" s="379" t="s">
        <v>398</v>
      </c>
      <c r="AE497" s="2863" t="s">
        <v>3185</v>
      </c>
      <c r="AF497" s="1530" t="s">
        <v>398</v>
      </c>
      <c r="AG497" s="1530" t="s">
        <v>398</v>
      </c>
      <c r="AH497" s="1530" t="s">
        <v>398</v>
      </c>
      <c r="AI497" s="380" t="s">
        <v>398</v>
      </c>
      <c r="AJ497" s="1527" t="s">
        <v>398</v>
      </c>
      <c r="AK497" s="377">
        <v>20251126</v>
      </c>
      <c r="AL497" s="377" t="s">
        <v>398</v>
      </c>
      <c r="AM497" s="1363"/>
      <c r="AN497" s="1363"/>
    </row>
    <row r="498" spans="1:40" ht="44.65" customHeight="1" outlineLevel="1">
      <c r="A498" s="1363"/>
      <c r="B498" s="1363"/>
      <c r="C498" s="1363"/>
      <c r="D498" s="1363"/>
      <c r="E498" s="1363"/>
      <c r="F498" s="1363"/>
      <c r="G498" s="1363"/>
      <c r="H498" s="1363"/>
      <c r="I498" s="1363"/>
      <c r="J498" s="1363"/>
      <c r="K498" s="1363"/>
      <c r="L498" s="1363"/>
      <c r="M498" s="1363"/>
      <c r="N498" s="1363"/>
      <c r="O498" s="1363"/>
      <c r="P498" s="1363"/>
      <c r="Q498" s="1363"/>
      <c r="R498" s="1363"/>
      <c r="S498" s="1363"/>
      <c r="T498" s="1363"/>
      <c r="U498" s="1363"/>
      <c r="V498" s="1363"/>
      <c r="W498" s="1363"/>
      <c r="X498" s="2864" t="s">
        <v>3186</v>
      </c>
      <c r="Y498" s="1530" t="s">
        <v>3187</v>
      </c>
      <c r="Z498" s="1530"/>
      <c r="AA498" s="1530"/>
      <c r="AB498" s="1530">
        <v>30</v>
      </c>
      <c r="AC498" s="1530">
        <v>1</v>
      </c>
      <c r="AD498" s="379"/>
      <c r="AE498" s="2865" t="s">
        <v>3188</v>
      </c>
      <c r="AF498" s="1530"/>
      <c r="AG498" s="1530"/>
      <c r="AH498" s="1530"/>
      <c r="AI498" s="380"/>
      <c r="AJ498" s="1527"/>
      <c r="AK498" s="377">
        <v>20260113</v>
      </c>
      <c r="AL498" s="377"/>
      <c r="AM498" s="1363"/>
      <c r="AN498" s="1363"/>
    </row>
    <row r="499" spans="1:40" ht="30.75" customHeight="1" outlineLevel="1">
      <c r="A499" s="1363"/>
      <c r="B499" s="1363"/>
      <c r="C499" s="1363"/>
      <c r="D499" s="1363"/>
      <c r="E499" s="1363"/>
      <c r="F499" s="1363"/>
      <c r="G499" s="1363"/>
      <c r="H499" s="1363"/>
      <c r="I499" s="1363"/>
      <c r="J499" s="1363"/>
      <c r="K499" s="1363"/>
      <c r="L499" s="1363"/>
      <c r="M499" s="1363"/>
      <c r="N499" s="1363"/>
      <c r="O499" s="1363"/>
      <c r="P499" s="1363"/>
      <c r="Q499" s="1363"/>
      <c r="R499" s="1363"/>
      <c r="S499" s="1363"/>
      <c r="T499" s="1363"/>
      <c r="U499" s="1363"/>
      <c r="V499" s="1363"/>
      <c r="W499" s="1363"/>
      <c r="X499" s="2866" t="s">
        <v>3189</v>
      </c>
      <c r="Y499" s="1530" t="s">
        <v>3190</v>
      </c>
      <c r="Z499" s="1530" t="s">
        <v>398</v>
      </c>
      <c r="AA499" s="1530" t="s">
        <v>398</v>
      </c>
      <c r="AB499" s="1530">
        <v>32</v>
      </c>
      <c r="AC499" s="1530">
        <v>16</v>
      </c>
      <c r="AD499" s="379" t="s">
        <v>474</v>
      </c>
      <c r="AE499" s="1530" t="s">
        <v>2793</v>
      </c>
      <c r="AF499" s="1530">
        <v>0.1</v>
      </c>
      <c r="AG499" s="1530">
        <v>0</v>
      </c>
      <c r="AH499" s="387" t="s">
        <v>476</v>
      </c>
      <c r="AI499" s="380" t="s">
        <v>444</v>
      </c>
      <c r="AJ499" s="1527" t="s">
        <v>477</v>
      </c>
      <c r="AK499" s="377">
        <v>20251120</v>
      </c>
      <c r="AL499" s="377" t="s">
        <v>398</v>
      </c>
      <c r="AM499" s="1363"/>
      <c r="AN499" s="1363"/>
    </row>
    <row r="500" spans="1:40" ht="30.75" customHeight="1" outlineLevel="1">
      <c r="A500" s="1363"/>
      <c r="B500" s="1363"/>
      <c r="C500" s="1363"/>
      <c r="D500" s="1363"/>
      <c r="E500" s="1363"/>
      <c r="F500" s="1363"/>
      <c r="G500" s="1363"/>
      <c r="H500" s="1363"/>
      <c r="I500" s="1363"/>
      <c r="J500" s="1363"/>
      <c r="K500" s="1363"/>
      <c r="L500" s="1363"/>
      <c r="M500" s="1363"/>
      <c r="N500" s="1363"/>
      <c r="O500" s="1363"/>
      <c r="P500" s="1363"/>
      <c r="Q500" s="1363"/>
      <c r="R500" s="1363"/>
      <c r="S500" s="1363"/>
      <c r="T500" s="1363"/>
      <c r="U500" s="435"/>
      <c r="V500" s="1363"/>
      <c r="W500" s="1363"/>
      <c r="X500" s="1527" t="s">
        <v>3191</v>
      </c>
      <c r="Y500" s="1504" t="s">
        <v>3192</v>
      </c>
      <c r="Z500" s="1530">
        <v>6</v>
      </c>
      <c r="AA500" s="1530">
        <v>0</v>
      </c>
      <c r="AB500" s="1530">
        <v>48</v>
      </c>
      <c r="AC500" s="1530">
        <v>8</v>
      </c>
      <c r="AD500" s="1530" t="s">
        <v>407</v>
      </c>
      <c r="AE500" s="1530" t="s">
        <v>398</v>
      </c>
      <c r="AF500" s="1530">
        <v>1</v>
      </c>
      <c r="AG500" s="1530">
        <v>0</v>
      </c>
      <c r="AH500" s="1530" t="s">
        <v>398</v>
      </c>
      <c r="AI500" s="1530">
        <v>0</v>
      </c>
      <c r="AJ500" s="1530" t="s">
        <v>528</v>
      </c>
      <c r="AK500" s="1363"/>
      <c r="AL500" s="1363"/>
      <c r="AM500" s="1363"/>
      <c r="AN500" s="1363"/>
    </row>
    <row r="501" spans="1:40" ht="30.75" customHeight="1" outlineLevel="1">
      <c r="A501" s="1363"/>
      <c r="B501" s="1363"/>
      <c r="C501" s="1363"/>
      <c r="D501" s="1363"/>
      <c r="E501" s="1363"/>
      <c r="F501" s="1363"/>
      <c r="G501" s="1363"/>
      <c r="H501" s="1363"/>
      <c r="I501" s="1363"/>
      <c r="J501" s="1363"/>
      <c r="K501" s="1363"/>
      <c r="L501" s="1363"/>
      <c r="M501" s="1363"/>
      <c r="N501" s="1363"/>
      <c r="O501" s="1363"/>
      <c r="P501" s="1363"/>
      <c r="Q501" s="1363"/>
      <c r="R501" s="1363"/>
      <c r="S501" s="1363"/>
      <c r="T501" s="1363"/>
      <c r="U501" s="435"/>
      <c r="V501" s="1363"/>
      <c r="W501" s="1363"/>
      <c r="X501" s="1527" t="s">
        <v>3193</v>
      </c>
      <c r="Y501" s="1504" t="s">
        <v>3194</v>
      </c>
      <c r="Z501" s="1530" t="s">
        <v>398</v>
      </c>
      <c r="AA501" s="1530" t="s">
        <v>398</v>
      </c>
      <c r="AB501" s="1530">
        <v>56</v>
      </c>
      <c r="AC501" s="1530">
        <v>1</v>
      </c>
      <c r="AD501" s="1530" t="s">
        <v>398</v>
      </c>
      <c r="AE501" s="2867" t="s">
        <v>3195</v>
      </c>
      <c r="AF501" s="1530" t="s">
        <v>398</v>
      </c>
      <c r="AG501" s="1530" t="s">
        <v>398</v>
      </c>
      <c r="AH501" s="1530" t="s">
        <v>398</v>
      </c>
      <c r="AI501" s="380" t="s">
        <v>398</v>
      </c>
      <c r="AJ501" s="1527" t="s">
        <v>398</v>
      </c>
      <c r="AK501" s="377">
        <v>20251208</v>
      </c>
      <c r="AL501" s="1363"/>
      <c r="AM501" s="1363"/>
      <c r="AN501" s="1363"/>
    </row>
    <row r="502" spans="1:40" ht="45.75" customHeight="1" outlineLevel="1">
      <c r="A502" s="1363"/>
      <c r="B502" s="1363"/>
      <c r="C502" s="1363"/>
      <c r="D502" s="1363"/>
      <c r="E502" s="1363"/>
      <c r="F502" s="1363"/>
      <c r="G502" s="1363"/>
      <c r="H502" s="1363"/>
      <c r="I502" s="1363"/>
      <c r="J502" s="1363"/>
      <c r="K502" s="1363"/>
      <c r="L502" s="1363"/>
      <c r="M502" s="1363"/>
      <c r="N502" s="1363"/>
      <c r="O502" s="1363"/>
      <c r="P502" s="1363"/>
      <c r="Q502" s="1363"/>
      <c r="R502" s="1363"/>
      <c r="S502" s="1363"/>
      <c r="T502" s="1363"/>
      <c r="U502" s="1363"/>
      <c r="V502" s="1363"/>
      <c r="W502" s="1363"/>
      <c r="X502" s="1527" t="s">
        <v>3196</v>
      </c>
      <c r="Y502" s="1530" t="s">
        <v>3197</v>
      </c>
      <c r="Z502" s="1530" t="s">
        <v>398</v>
      </c>
      <c r="AA502" s="1530" t="s">
        <v>398</v>
      </c>
      <c r="AB502" s="1530">
        <v>57</v>
      </c>
      <c r="AC502" s="1530">
        <v>2</v>
      </c>
      <c r="AD502" s="379" t="s">
        <v>398</v>
      </c>
      <c r="AE502" s="2868" t="s">
        <v>3198</v>
      </c>
      <c r="AF502" s="1530" t="s">
        <v>398</v>
      </c>
      <c r="AG502" s="1530" t="s">
        <v>398</v>
      </c>
      <c r="AH502" s="1530" t="s">
        <v>398</v>
      </c>
      <c r="AI502" s="380" t="s">
        <v>398</v>
      </c>
      <c r="AJ502" s="1527" t="s">
        <v>398</v>
      </c>
      <c r="AK502" s="377">
        <v>20251208</v>
      </c>
      <c r="AL502" s="377" t="s">
        <v>398</v>
      </c>
      <c r="AM502" s="1363"/>
      <c r="AN502" s="1363"/>
    </row>
    <row r="503" spans="1:40" ht="45.75" customHeight="1" outlineLevel="1">
      <c r="A503" s="1363"/>
      <c r="B503" s="1363"/>
      <c r="C503" s="1363"/>
      <c r="D503" s="1363"/>
      <c r="E503" s="1363"/>
      <c r="F503" s="1363"/>
      <c r="G503" s="1363"/>
      <c r="H503" s="1363"/>
      <c r="I503" s="1363"/>
      <c r="J503" s="1363"/>
      <c r="K503" s="1363"/>
      <c r="L503" s="1363"/>
      <c r="M503" s="1363"/>
      <c r="N503" s="1363"/>
      <c r="O503" s="1363"/>
      <c r="P503" s="1363"/>
      <c r="Q503" s="1363"/>
      <c r="R503" s="1363"/>
      <c r="S503" s="1363"/>
      <c r="T503" s="1363"/>
      <c r="U503" s="1363"/>
      <c r="V503" s="1363"/>
      <c r="W503" s="1363"/>
      <c r="X503" s="1527" t="s">
        <v>3199</v>
      </c>
      <c r="Y503" s="1498" t="s">
        <v>3200</v>
      </c>
      <c r="Z503" s="1530" t="s">
        <v>398</v>
      </c>
      <c r="AA503" s="1530" t="s">
        <v>398</v>
      </c>
      <c r="AB503" s="1530">
        <v>59</v>
      </c>
      <c r="AC503" s="1530">
        <v>2</v>
      </c>
      <c r="AD503" s="379" t="s">
        <v>398</v>
      </c>
      <c r="AE503" s="2869" t="s">
        <v>3198</v>
      </c>
      <c r="AF503" s="1530" t="s">
        <v>398</v>
      </c>
      <c r="AG503" s="1530" t="s">
        <v>398</v>
      </c>
      <c r="AH503" s="1530" t="s">
        <v>398</v>
      </c>
      <c r="AI503" s="380" t="s">
        <v>398</v>
      </c>
      <c r="AJ503" s="1527" t="s">
        <v>398</v>
      </c>
      <c r="AK503" s="377">
        <v>20251208</v>
      </c>
      <c r="AL503" s="377" t="s">
        <v>398</v>
      </c>
      <c r="AM503" s="1363"/>
      <c r="AN503" s="1363"/>
    </row>
    <row r="504" spans="1:40" ht="45.75" customHeight="1" outlineLevel="1">
      <c r="A504" s="1363"/>
      <c r="B504" s="1363"/>
      <c r="C504" s="1363"/>
      <c r="D504" s="1363"/>
      <c r="E504" s="1363"/>
      <c r="F504" s="1363"/>
      <c r="G504" s="1363"/>
      <c r="H504" s="1363"/>
      <c r="I504" s="1363"/>
      <c r="J504" s="1363"/>
      <c r="K504" s="1363"/>
      <c r="L504" s="1363"/>
      <c r="M504" s="1363"/>
      <c r="N504" s="1363"/>
      <c r="O504" s="1363"/>
      <c r="P504" s="1363"/>
      <c r="Q504" s="1363"/>
      <c r="R504" s="1363"/>
      <c r="S504" s="1363"/>
      <c r="T504" s="1363"/>
      <c r="U504" s="1363"/>
      <c r="V504" s="1363"/>
      <c r="W504" s="1363"/>
      <c r="X504" s="2870" t="s">
        <v>3201</v>
      </c>
      <c r="Y504" s="1528" t="s">
        <v>3202</v>
      </c>
      <c r="Z504" s="1499"/>
      <c r="AA504" s="1528"/>
      <c r="AB504" s="1528">
        <v>61</v>
      </c>
      <c r="AC504" s="1528">
        <v>1</v>
      </c>
      <c r="AD504" s="446"/>
      <c r="AE504" s="2871" t="s">
        <v>3164</v>
      </c>
      <c r="AF504" s="1499"/>
      <c r="AG504" s="1528"/>
      <c r="AH504" s="1528"/>
      <c r="AI504" s="1528"/>
      <c r="AJ504" s="1528"/>
      <c r="AK504" s="447">
        <v>20261218</v>
      </c>
      <c r="AL504" s="377"/>
      <c r="AM504" s="1363"/>
      <c r="AN504" s="1363"/>
    </row>
    <row r="505" spans="1:40" ht="72" customHeight="1" outlineLevel="1">
      <c r="A505" s="1363"/>
      <c r="B505" s="1363"/>
      <c r="C505" s="1363"/>
      <c r="D505" s="1363"/>
      <c r="E505" s="1363"/>
      <c r="F505" s="1363"/>
      <c r="G505" s="1363"/>
      <c r="H505" s="1363"/>
      <c r="I505" s="1363"/>
      <c r="J505" s="1363"/>
      <c r="K505" s="1363"/>
      <c r="L505" s="1363"/>
      <c r="M505" s="1363"/>
      <c r="N505" s="1363"/>
      <c r="O505" s="1363"/>
      <c r="P505" s="1363"/>
      <c r="Q505" s="1363"/>
      <c r="R505" s="1363"/>
      <c r="S505" s="1363"/>
      <c r="T505" s="1363"/>
      <c r="U505" s="1363"/>
      <c r="V505" s="1363"/>
      <c r="W505" s="1363"/>
      <c r="X505" s="2872" t="s">
        <v>3203</v>
      </c>
      <c r="Y505" s="1528" t="s">
        <v>3204</v>
      </c>
      <c r="Z505" s="1499"/>
      <c r="AA505" s="1528"/>
      <c r="AB505" s="1528">
        <v>62</v>
      </c>
      <c r="AC505" s="1528">
        <v>2</v>
      </c>
      <c r="AD505" s="446"/>
      <c r="AE505" s="2873" t="s">
        <v>3205</v>
      </c>
      <c r="AF505" s="1363"/>
      <c r="AG505" s="1363"/>
      <c r="AH505" s="1363"/>
      <c r="AI505" s="1363"/>
      <c r="AJ505" s="1363"/>
      <c r="AK505" s="447"/>
      <c r="AL505" s="377"/>
      <c r="AM505" s="1363"/>
      <c r="AN505" s="1363"/>
    </row>
    <row r="506" spans="1:40" s="1232" customFormat="1" ht="18" customHeight="1">
      <c r="A506" s="1238">
        <v>6</v>
      </c>
      <c r="B506" s="1233" t="s">
        <v>3206</v>
      </c>
      <c r="C506" s="1233" t="s">
        <v>3207</v>
      </c>
      <c r="D506" s="1233" t="s">
        <v>259</v>
      </c>
      <c r="E506" s="1233">
        <v>8</v>
      </c>
      <c r="F506" s="1233" t="s">
        <v>260</v>
      </c>
      <c r="G506" s="1234" t="s">
        <v>261</v>
      </c>
      <c r="H506" s="1233"/>
      <c r="I506" s="1233"/>
      <c r="J506" s="1233"/>
      <c r="K506" s="1233"/>
      <c r="L506" s="1233"/>
      <c r="M506" s="1233"/>
      <c r="N506" s="1233" t="s">
        <v>325</v>
      </c>
      <c r="O506" s="1233"/>
      <c r="P506" s="1233"/>
      <c r="Q506" s="1233"/>
      <c r="R506" s="1233"/>
      <c r="S506" s="1233"/>
      <c r="T506" s="1233"/>
      <c r="U506" s="1233"/>
      <c r="V506" s="1235"/>
      <c r="W506" s="1235"/>
      <c r="X506" s="1239" t="s">
        <v>3208</v>
      </c>
      <c r="Y506" s="1239"/>
      <c r="Z506" s="1240"/>
      <c r="AA506" s="1240"/>
      <c r="AB506" s="1240"/>
      <c r="AC506" s="1240"/>
      <c r="AD506" s="1240"/>
      <c r="AE506" s="1240"/>
      <c r="AF506" s="1240"/>
      <c r="AG506" s="1240"/>
      <c r="AH506" s="1240"/>
      <c r="AI506" s="1240"/>
      <c r="AJ506" s="1240"/>
      <c r="AK506" s="1236"/>
      <c r="AL506" s="1237"/>
      <c r="AM506" s="1237"/>
      <c r="AN506" s="1237"/>
    </row>
    <row r="507" spans="1:40" ht="60.75" customHeight="1" outlineLevel="1">
      <c r="A507" s="1363"/>
      <c r="B507" s="1363"/>
      <c r="C507" s="1363"/>
      <c r="D507" s="1363"/>
      <c r="E507" s="1363"/>
      <c r="F507" s="1363"/>
      <c r="G507" s="1528" t="s">
        <v>261</v>
      </c>
      <c r="H507" s="1499" t="s">
        <v>398</v>
      </c>
      <c r="I507" s="1499" t="s">
        <v>398</v>
      </c>
      <c r="J507" s="1499"/>
      <c r="K507" s="1499"/>
      <c r="L507" s="1499"/>
      <c r="M507" s="1499" t="s">
        <v>398</v>
      </c>
      <c r="N507" s="1499" t="s">
        <v>398</v>
      </c>
      <c r="O507" s="1499" t="s">
        <v>398</v>
      </c>
      <c r="P507" s="1499" t="s">
        <v>398</v>
      </c>
      <c r="Q507" s="1499" t="s">
        <v>398</v>
      </c>
      <c r="R507" s="1499" t="s">
        <v>398</v>
      </c>
      <c r="S507" s="1499" t="s">
        <v>398</v>
      </c>
      <c r="T507" s="1499" t="s">
        <v>398</v>
      </c>
      <c r="U507" s="585" t="s">
        <v>398</v>
      </c>
      <c r="V507" s="1502" t="s">
        <v>398</v>
      </c>
      <c r="W507" s="1502" t="s">
        <v>398</v>
      </c>
      <c r="X507" s="1528" t="s">
        <v>3209</v>
      </c>
      <c r="Y507" s="1528" t="s">
        <v>3210</v>
      </c>
      <c r="Z507" s="1528">
        <v>0</v>
      </c>
      <c r="AA507" s="1528">
        <v>0</v>
      </c>
      <c r="AB507" s="1528">
        <v>0</v>
      </c>
      <c r="AC507" s="1528">
        <v>1</v>
      </c>
      <c r="AD507" s="1528" t="s">
        <v>398</v>
      </c>
      <c r="AE507" s="2874" t="s">
        <v>3211</v>
      </c>
      <c r="AF507" s="1528" t="s">
        <v>398</v>
      </c>
      <c r="AG507" s="1528" t="s">
        <v>398</v>
      </c>
      <c r="AH507" s="1528" t="s">
        <v>398</v>
      </c>
      <c r="AI507" s="1528" t="s">
        <v>398</v>
      </c>
      <c r="AJ507" s="1528" t="s">
        <v>398</v>
      </c>
      <c r="AK507" s="1526"/>
      <c r="AL507" s="1363"/>
      <c r="AM507" s="1363"/>
      <c r="AN507" s="1363"/>
    </row>
    <row r="508" spans="1:40" ht="30.75" customHeight="1" outlineLevel="1">
      <c r="A508" s="1500"/>
      <c r="B508" s="1500"/>
      <c r="C508" s="1500"/>
      <c r="D508" s="1500"/>
      <c r="E508" s="1500"/>
      <c r="F508" s="1500"/>
      <c r="G508" s="1528"/>
      <c r="H508" s="1548"/>
      <c r="I508" s="1548"/>
      <c r="J508" s="1548"/>
      <c r="K508" s="1548"/>
      <c r="L508" s="1548"/>
      <c r="M508" s="1548"/>
      <c r="N508" s="1548"/>
      <c r="O508" s="1548"/>
      <c r="P508" s="1548"/>
      <c r="Q508" s="1548"/>
      <c r="R508" s="1548"/>
      <c r="S508" s="1548"/>
      <c r="T508" s="1548"/>
      <c r="U508" s="586"/>
      <c r="V508" s="1501"/>
      <c r="W508" s="1501"/>
      <c r="X508" s="1528" t="s">
        <v>3212</v>
      </c>
      <c r="Y508" s="1528" t="s">
        <v>3213</v>
      </c>
      <c r="Z508" s="1528">
        <v>1</v>
      </c>
      <c r="AA508" s="1528">
        <v>0</v>
      </c>
      <c r="AB508" s="1528">
        <v>8</v>
      </c>
      <c r="AC508" s="1528">
        <v>1</v>
      </c>
      <c r="AD508" s="1528" t="s">
        <v>398</v>
      </c>
      <c r="AE508" s="2875" t="s">
        <v>3214</v>
      </c>
      <c r="AF508" s="1528" t="s">
        <v>398</v>
      </c>
      <c r="AG508" s="1528" t="s">
        <v>398</v>
      </c>
      <c r="AH508" s="1528" t="s">
        <v>398</v>
      </c>
      <c r="AI508" s="1528" t="s">
        <v>398</v>
      </c>
      <c r="AJ508" s="1528" t="s">
        <v>398</v>
      </c>
      <c r="AK508" s="1101" t="s">
        <v>3215</v>
      </c>
      <c r="AL508" s="364"/>
      <c r="AM508" s="1363"/>
      <c r="AN508" s="1363"/>
    </row>
    <row r="509" spans="1:40" ht="30.75" customHeight="1" outlineLevel="1">
      <c r="A509" s="1500"/>
      <c r="B509" s="1500"/>
      <c r="C509" s="1500"/>
      <c r="D509" s="1500"/>
      <c r="E509" s="1500"/>
      <c r="F509" s="1500"/>
      <c r="G509" s="1528"/>
      <c r="H509" s="1548"/>
      <c r="I509" s="1548"/>
      <c r="J509" s="1548"/>
      <c r="K509" s="1548"/>
      <c r="L509" s="1548"/>
      <c r="M509" s="1548"/>
      <c r="N509" s="1548"/>
      <c r="O509" s="1548"/>
      <c r="P509" s="1548"/>
      <c r="Q509" s="1548"/>
      <c r="R509" s="1548"/>
      <c r="S509" s="1548"/>
      <c r="T509" s="1548"/>
      <c r="U509" s="586"/>
      <c r="V509" s="1501"/>
      <c r="W509" s="268"/>
      <c r="X509" s="1528" t="s">
        <v>3216</v>
      </c>
      <c r="Y509" s="1528" t="s">
        <v>3217</v>
      </c>
      <c r="Z509" s="1528">
        <v>1</v>
      </c>
      <c r="AA509" s="1528">
        <v>1</v>
      </c>
      <c r="AB509" s="1528">
        <v>9</v>
      </c>
      <c r="AC509" s="1528">
        <v>1</v>
      </c>
      <c r="AD509" s="1528"/>
      <c r="AE509" s="2876" t="s">
        <v>3218</v>
      </c>
      <c r="AF509" s="1528" t="s">
        <v>398</v>
      </c>
      <c r="AG509" s="1528" t="s">
        <v>398</v>
      </c>
      <c r="AH509" s="1528" t="s">
        <v>398</v>
      </c>
      <c r="AI509" s="1528" t="s">
        <v>398</v>
      </c>
      <c r="AJ509" s="1528" t="s">
        <v>398</v>
      </c>
      <c r="AK509" s="1101" t="s">
        <v>3219</v>
      </c>
      <c r="AL509" s="364"/>
      <c r="AM509" s="1363"/>
      <c r="AN509" s="1363"/>
    </row>
    <row r="510" spans="1:40" ht="30.75" customHeight="1" outlineLevel="1">
      <c r="A510" s="1500"/>
      <c r="B510" s="1500"/>
      <c r="C510" s="1500"/>
      <c r="D510" s="1500"/>
      <c r="E510" s="1500"/>
      <c r="F510" s="1500"/>
      <c r="G510" s="1528"/>
      <c r="H510" s="1548"/>
      <c r="I510" s="1548"/>
      <c r="J510" s="1548"/>
      <c r="K510" s="1548"/>
      <c r="L510" s="1548"/>
      <c r="M510" s="1548"/>
      <c r="N510" s="1548"/>
      <c r="O510" s="1548"/>
      <c r="P510" s="1548"/>
      <c r="Q510" s="1548"/>
      <c r="R510" s="1548"/>
      <c r="S510" s="1548"/>
      <c r="T510" s="1548"/>
      <c r="U510" s="586"/>
      <c r="V510" s="1501"/>
      <c r="W510" s="268"/>
      <c r="X510" s="1528" t="s">
        <v>3220</v>
      </c>
      <c r="Y510" s="1528" t="s">
        <v>3221</v>
      </c>
      <c r="Z510" s="1528">
        <v>2</v>
      </c>
      <c r="AA510" s="1528">
        <v>0</v>
      </c>
      <c r="AB510" s="1528">
        <v>16</v>
      </c>
      <c r="AC510" s="1528">
        <v>16</v>
      </c>
      <c r="AD510" s="1528"/>
      <c r="AE510" s="1528" t="s">
        <v>3222</v>
      </c>
      <c r="AF510" s="1528">
        <v>1</v>
      </c>
      <c r="AG510" s="1528">
        <v>0</v>
      </c>
      <c r="AH510" s="1528" t="s">
        <v>398</v>
      </c>
      <c r="AI510" s="1528" t="s">
        <v>398</v>
      </c>
      <c r="AJ510" s="1528" t="s">
        <v>3223</v>
      </c>
      <c r="AK510" s="1101" t="s">
        <v>3219</v>
      </c>
      <c r="AL510" s="364"/>
      <c r="AM510" s="1363"/>
      <c r="AN510" s="1363"/>
    </row>
    <row r="511" spans="1:40" ht="15.75" customHeight="1" outlineLevel="1">
      <c r="A511" s="1500"/>
      <c r="B511" s="1500"/>
      <c r="C511" s="1500"/>
      <c r="D511" s="1500"/>
      <c r="E511" s="1500"/>
      <c r="F511" s="1500"/>
      <c r="G511" s="1528"/>
      <c r="H511" s="1548"/>
      <c r="I511" s="1548"/>
      <c r="J511" s="1548"/>
      <c r="K511" s="1548"/>
      <c r="L511" s="1548"/>
      <c r="M511" s="1548"/>
      <c r="N511" s="1548"/>
      <c r="O511" s="1548"/>
      <c r="P511" s="1548"/>
      <c r="Q511" s="1548"/>
      <c r="R511" s="1548"/>
      <c r="S511" s="1548"/>
      <c r="T511" s="1548"/>
      <c r="U511" s="586"/>
      <c r="V511" s="1501"/>
      <c r="W511" s="268"/>
      <c r="X511" s="1528" t="s">
        <v>3224</v>
      </c>
      <c r="Y511" s="1528" t="s">
        <v>3225</v>
      </c>
      <c r="Z511" s="1528">
        <v>4</v>
      </c>
      <c r="AA511" s="1528">
        <v>0</v>
      </c>
      <c r="AB511" s="1528">
        <v>32</v>
      </c>
      <c r="AC511" s="1528">
        <v>8</v>
      </c>
      <c r="AD511" s="1528"/>
      <c r="AE511" s="1528" t="s">
        <v>398</v>
      </c>
      <c r="AF511" s="1528">
        <v>0.5</v>
      </c>
      <c r="AG511" s="1528">
        <v>0</v>
      </c>
      <c r="AH511" s="1528" t="s">
        <v>3226</v>
      </c>
      <c r="AI511" s="1528" t="s">
        <v>398</v>
      </c>
      <c r="AJ511" s="1528" t="s">
        <v>904</v>
      </c>
      <c r="AK511" s="1101" t="s">
        <v>3219</v>
      </c>
      <c r="AL511" s="364"/>
      <c r="AM511" s="1363"/>
      <c r="AN511" s="1363"/>
    </row>
    <row r="512" spans="1:40" ht="133.5" customHeight="1" outlineLevel="1">
      <c r="A512" s="1500"/>
      <c r="B512" s="1500"/>
      <c r="C512" s="1500"/>
      <c r="D512" s="1500"/>
      <c r="E512" s="1500"/>
      <c r="F512" s="1500"/>
      <c r="G512" s="1528"/>
      <c r="H512" s="1548"/>
      <c r="I512" s="1548"/>
      <c r="J512" s="1548"/>
      <c r="K512" s="1548"/>
      <c r="L512" s="1548"/>
      <c r="M512" s="1548"/>
      <c r="N512" s="1548"/>
      <c r="O512" s="1548"/>
      <c r="P512" s="1548"/>
      <c r="Q512" s="1548"/>
      <c r="R512" s="1548"/>
      <c r="S512" s="1548"/>
      <c r="T512" s="1548"/>
      <c r="U512" s="586"/>
      <c r="V512" s="1501"/>
      <c r="W512" s="268"/>
      <c r="X512" s="1528" t="s">
        <v>3227</v>
      </c>
      <c r="Y512" s="1528" t="s">
        <v>3228</v>
      </c>
      <c r="Z512" s="1528">
        <v>5</v>
      </c>
      <c r="AA512" s="1528">
        <v>0</v>
      </c>
      <c r="AB512" s="1528">
        <v>40</v>
      </c>
      <c r="AC512" s="1528">
        <v>2</v>
      </c>
      <c r="AD512" s="1528"/>
      <c r="AE512" s="2877" t="s">
        <v>3229</v>
      </c>
      <c r="AF512" s="1528" t="s">
        <v>398</v>
      </c>
      <c r="AG512" s="1528" t="s">
        <v>398</v>
      </c>
      <c r="AH512" s="1528" t="s">
        <v>398</v>
      </c>
      <c r="AI512" s="1528" t="s">
        <v>398</v>
      </c>
      <c r="AJ512" s="1528" t="s">
        <v>398</v>
      </c>
      <c r="AK512" s="1101" t="s">
        <v>3230</v>
      </c>
      <c r="AL512" s="1102" t="s">
        <v>3231</v>
      </c>
      <c r="AM512" s="1363"/>
      <c r="AN512" s="1363"/>
    </row>
    <row r="513" spans="1:40" ht="57.75" customHeight="1" outlineLevel="1">
      <c r="A513" s="1500"/>
      <c r="B513" s="1500"/>
      <c r="C513" s="1500"/>
      <c r="D513" s="1500"/>
      <c r="E513" s="1500"/>
      <c r="F513" s="1500"/>
      <c r="G513" s="1528"/>
      <c r="H513" s="1548"/>
      <c r="I513" s="1548"/>
      <c r="J513" s="1548"/>
      <c r="K513" s="1548"/>
      <c r="L513" s="1548"/>
      <c r="M513" s="1548"/>
      <c r="N513" s="1548"/>
      <c r="O513" s="1548"/>
      <c r="P513" s="1548"/>
      <c r="Q513" s="1548"/>
      <c r="R513" s="1548"/>
      <c r="S513" s="1548"/>
      <c r="T513" s="1548"/>
      <c r="U513" s="586"/>
      <c r="V513" s="1501"/>
      <c r="W513" s="268"/>
      <c r="X513" s="1528" t="s">
        <v>3232</v>
      </c>
      <c r="Y513" s="1528" t="s">
        <v>3233</v>
      </c>
      <c r="Z513" s="1528">
        <v>5</v>
      </c>
      <c r="AA513" s="1528">
        <v>2</v>
      </c>
      <c r="AB513" s="1528">
        <v>42</v>
      </c>
      <c r="AC513" s="1528">
        <v>1</v>
      </c>
      <c r="AD513" s="1528"/>
      <c r="AE513" s="2878" t="s">
        <v>3234</v>
      </c>
      <c r="AF513" s="1528"/>
      <c r="AG513" s="1528"/>
      <c r="AH513" s="1528"/>
      <c r="AI513" s="1528"/>
      <c r="AJ513" s="1528"/>
      <c r="AK513" s="1101"/>
      <c r="AL513" s="364"/>
      <c r="AM513" s="1363"/>
      <c r="AN513" s="1363"/>
    </row>
    <row r="514" spans="1:40" s="1237" customFormat="1" ht="18" customHeight="1">
      <c r="A514" s="1233">
        <v>4</v>
      </c>
      <c r="B514" s="1233" t="s">
        <v>3235</v>
      </c>
      <c r="C514" s="1233" t="s">
        <v>3236</v>
      </c>
      <c r="D514" s="1233" t="s">
        <v>259</v>
      </c>
      <c r="E514" s="1233">
        <v>8</v>
      </c>
      <c r="F514" s="1233" t="s">
        <v>260</v>
      </c>
      <c r="G514" s="1234" t="s">
        <v>261</v>
      </c>
      <c r="H514" s="1233"/>
      <c r="I514" s="1233"/>
      <c r="J514" s="1233"/>
      <c r="K514" s="1233"/>
      <c r="L514" s="1233"/>
      <c r="M514" s="1233" t="s">
        <v>325</v>
      </c>
      <c r="N514" s="1233"/>
      <c r="O514" s="1233"/>
      <c r="P514" s="1233"/>
      <c r="Q514" s="1233"/>
      <c r="R514" s="1233"/>
      <c r="S514" s="1233"/>
      <c r="T514" s="1233"/>
      <c r="U514" s="1233"/>
      <c r="V514" s="1235"/>
      <c r="W514" s="1235"/>
      <c r="X514" s="1235" t="s">
        <v>3237</v>
      </c>
      <c r="Y514" s="1235"/>
      <c r="Z514" s="1233"/>
      <c r="AA514" s="1233"/>
      <c r="AB514" s="1233"/>
      <c r="AC514" s="1233"/>
      <c r="AD514" s="1233"/>
      <c r="AE514" s="1233"/>
      <c r="AF514" s="1233"/>
      <c r="AG514" s="1233"/>
      <c r="AH514" s="1233"/>
      <c r="AI514" s="1233"/>
      <c r="AJ514" s="1233"/>
      <c r="AK514" s="1236"/>
    </row>
    <row r="515" spans="1:40" ht="30.75" customHeight="1">
      <c r="A515" s="1363"/>
      <c r="B515" s="1500"/>
      <c r="C515" s="1500"/>
      <c r="D515" s="1500"/>
      <c r="E515" s="1500"/>
      <c r="F515" s="1500"/>
      <c r="G515" s="1363" t="s">
        <v>261</v>
      </c>
      <c r="H515" s="1500"/>
      <c r="I515" s="1500"/>
      <c r="J515" s="1500"/>
      <c r="K515" s="1500"/>
      <c r="L515" s="1500"/>
      <c r="M515" s="1500" t="s">
        <v>325</v>
      </c>
      <c r="N515" s="1500"/>
      <c r="O515" s="1500"/>
      <c r="P515" s="1500"/>
      <c r="Q515" s="1500"/>
      <c r="R515" s="1500"/>
      <c r="S515" s="1500"/>
      <c r="T515" s="1500"/>
      <c r="U515" s="1389"/>
      <c r="V515" s="117"/>
      <c r="W515" s="117"/>
      <c r="X515" s="2879" t="s">
        <v>3238</v>
      </c>
      <c r="Y515" s="1547" t="s">
        <v>3239</v>
      </c>
      <c r="Z515" s="454">
        <v>0</v>
      </c>
      <c r="AA515" s="1512">
        <v>0</v>
      </c>
      <c r="AB515" s="1548">
        <f>Z515*8+AA515</f>
        <v>0</v>
      </c>
      <c r="AC515" s="1512">
        <v>2</v>
      </c>
      <c r="AD515" s="1512"/>
      <c r="AE515" s="2880" t="s">
        <v>3240</v>
      </c>
      <c r="AF515" s="1512"/>
      <c r="AG515" s="1512"/>
      <c r="AH515" s="1512"/>
      <c r="AI515" s="1512"/>
      <c r="AJ515" s="1512"/>
      <c r="AK515" s="1500"/>
      <c r="AL515" s="364"/>
      <c r="AM515" s="1363"/>
      <c r="AN515" s="1363"/>
    </row>
    <row r="516" spans="1:40" ht="30.75" customHeight="1">
      <c r="A516" s="1363"/>
      <c r="B516" s="1500"/>
      <c r="C516" s="1500"/>
      <c r="D516" s="1500"/>
      <c r="E516" s="1500"/>
      <c r="F516" s="1500"/>
      <c r="G516" s="1363" t="s">
        <v>261</v>
      </c>
      <c r="H516" s="1500"/>
      <c r="I516" s="1500"/>
      <c r="J516" s="1500"/>
      <c r="K516" s="1500"/>
      <c r="L516" s="1500"/>
      <c r="M516" s="1500" t="s">
        <v>325</v>
      </c>
      <c r="N516" s="1500"/>
      <c r="O516" s="1500"/>
      <c r="P516" s="1500"/>
      <c r="Q516" s="1500"/>
      <c r="R516" s="1500"/>
      <c r="S516" s="1500"/>
      <c r="T516" s="1500"/>
      <c r="U516" s="1389"/>
      <c r="V516" s="117"/>
      <c r="W516" s="117"/>
      <c r="X516" s="2881" t="s">
        <v>3241</v>
      </c>
      <c r="Y516" s="1547" t="s">
        <v>3242</v>
      </c>
      <c r="Z516" s="670">
        <v>0</v>
      </c>
      <c r="AA516" s="1548">
        <v>2</v>
      </c>
      <c r="AB516" s="1548">
        <f>Z516*8+AA516</f>
        <v>2</v>
      </c>
      <c r="AC516" s="1548">
        <v>2</v>
      </c>
      <c r="AD516" s="1548"/>
      <c r="AE516" s="2882" t="s">
        <v>3240</v>
      </c>
      <c r="AF516" s="1548"/>
      <c r="AG516" s="1548"/>
      <c r="AH516" s="1548"/>
      <c r="AI516" s="1548"/>
      <c r="AJ516" s="1548"/>
      <c r="AK516" s="1101" t="s">
        <v>3243</v>
      </c>
      <c r="AL516" s="364"/>
      <c r="AM516" s="1363"/>
      <c r="AN516" s="1363"/>
    </row>
    <row r="517" spans="1:40" ht="30.75" customHeight="1">
      <c r="A517" s="1363"/>
      <c r="B517" s="1500"/>
      <c r="C517" s="1500"/>
      <c r="D517" s="1500"/>
      <c r="E517" s="1500"/>
      <c r="F517" s="1500"/>
      <c r="G517" s="1363"/>
      <c r="H517" s="1500"/>
      <c r="I517" s="1500"/>
      <c r="J517" s="1500"/>
      <c r="K517" s="1500"/>
      <c r="L517" s="1500"/>
      <c r="M517" s="1500"/>
      <c r="N517" s="1500"/>
      <c r="O517" s="1500"/>
      <c r="P517" s="1500"/>
      <c r="Q517" s="1500"/>
      <c r="R517" s="1500"/>
      <c r="S517" s="1500"/>
      <c r="T517" s="1500"/>
      <c r="U517" s="1389"/>
      <c r="V517" s="117"/>
      <c r="W517" s="117"/>
      <c r="X517" s="2883" t="s">
        <v>3244</v>
      </c>
      <c r="Y517" s="1547" t="s">
        <v>3245</v>
      </c>
      <c r="Z517" s="670">
        <v>0</v>
      </c>
      <c r="AA517" s="1548">
        <v>4</v>
      </c>
      <c r="AB517" s="1548">
        <v>4</v>
      </c>
      <c r="AC517" s="1548">
        <v>2</v>
      </c>
      <c r="AD517" s="1548"/>
      <c r="AE517" s="2884" t="s">
        <v>3240</v>
      </c>
      <c r="AF517" s="1548"/>
      <c r="AG517" s="1548"/>
      <c r="AH517" s="1548"/>
      <c r="AI517" s="1548"/>
      <c r="AJ517" s="1548"/>
      <c r="AK517" s="1101" t="s">
        <v>3246</v>
      </c>
      <c r="AL517" s="364"/>
      <c r="AM517" s="1363"/>
      <c r="AN517" s="1363"/>
    </row>
    <row r="518" spans="1:40" ht="30.75" customHeight="1">
      <c r="A518" s="1363"/>
      <c r="B518" s="1500"/>
      <c r="C518" s="1500"/>
      <c r="D518" s="1500"/>
      <c r="E518" s="1500"/>
      <c r="F518" s="1500"/>
      <c r="G518" s="1363" t="s">
        <v>261</v>
      </c>
      <c r="H518" s="1500"/>
      <c r="I518" s="1500"/>
      <c r="J518" s="1500"/>
      <c r="K518" s="1500"/>
      <c r="L518" s="1500"/>
      <c r="M518" s="1500" t="s">
        <v>325</v>
      </c>
      <c r="N518" s="1500"/>
      <c r="O518" s="1500"/>
      <c r="P518" s="1500"/>
      <c r="Q518" s="1500"/>
      <c r="R518" s="1500"/>
      <c r="S518" s="1500"/>
      <c r="T518" s="1500"/>
      <c r="U518" s="1389"/>
      <c r="V518" s="117"/>
      <c r="W518" s="117"/>
      <c r="X518" s="2885" t="s">
        <v>3247</v>
      </c>
      <c r="Y518" s="1547" t="s">
        <v>3248</v>
      </c>
      <c r="Z518" s="670">
        <v>1</v>
      </c>
      <c r="AA518" s="1548">
        <v>0</v>
      </c>
      <c r="AB518" s="1548">
        <f>Z518*8+AA518</f>
        <v>8</v>
      </c>
      <c r="AC518" s="1548">
        <v>16</v>
      </c>
      <c r="AD518" s="1548" t="s">
        <v>286</v>
      </c>
      <c r="AE518" s="1539"/>
      <c r="AF518" s="1548">
        <v>0.1</v>
      </c>
      <c r="AG518" s="1548">
        <v>0</v>
      </c>
      <c r="AH518" s="1548"/>
      <c r="AI518" s="1548"/>
      <c r="AJ518" s="1548" t="s">
        <v>1007</v>
      </c>
      <c r="AK518" s="1526"/>
      <c r="AL518" s="364"/>
      <c r="AM518" s="1363"/>
      <c r="AN518" s="1363"/>
    </row>
    <row r="519" spans="1:40" ht="30.75" customHeight="1">
      <c r="A519" s="1363"/>
      <c r="B519" s="1500"/>
      <c r="C519" s="1500"/>
      <c r="D519" s="1500"/>
      <c r="E519" s="1500"/>
      <c r="F519" s="1500"/>
      <c r="G519" s="1363" t="s">
        <v>261</v>
      </c>
      <c r="H519" s="1500"/>
      <c r="I519" s="1500"/>
      <c r="J519" s="1500"/>
      <c r="K519" s="1500"/>
      <c r="L519" s="1500"/>
      <c r="M519" s="1500" t="s">
        <v>325</v>
      </c>
      <c r="N519" s="1500"/>
      <c r="O519" s="1500"/>
      <c r="P519" s="1500"/>
      <c r="Q519" s="1500"/>
      <c r="R519" s="1500"/>
      <c r="S519" s="1500"/>
      <c r="T519" s="1500"/>
      <c r="U519" s="1389"/>
      <c r="V519" s="741"/>
      <c r="W519" s="741"/>
      <c r="X519" s="1215" t="s">
        <v>3249</v>
      </c>
      <c r="Y519" s="1545" t="s">
        <v>3250</v>
      </c>
      <c r="Z519" s="630">
        <v>3</v>
      </c>
      <c r="AA519" s="1330">
        <v>0</v>
      </c>
      <c r="AB519" s="1330">
        <f>Z519*8+AA519</f>
        <v>24</v>
      </c>
      <c r="AC519" s="1330">
        <v>16</v>
      </c>
      <c r="AD519" s="1330" t="s">
        <v>286</v>
      </c>
      <c r="AE519" s="1516"/>
      <c r="AF519" s="1330">
        <v>0.1</v>
      </c>
      <c r="AG519" s="1330">
        <v>0</v>
      </c>
      <c r="AH519" s="1330"/>
      <c r="AI519" s="1330"/>
      <c r="AJ519" s="1330" t="s">
        <v>1007</v>
      </c>
      <c r="AK519" s="1101" t="s">
        <v>3243</v>
      </c>
      <c r="AL519" s="364" t="s">
        <v>3251</v>
      </c>
      <c r="AM519" s="1363"/>
      <c r="AN519" s="1363"/>
    </row>
    <row r="520" spans="1:40" ht="30.75" customHeight="1">
      <c r="A520" s="1363"/>
      <c r="B520" s="1500"/>
      <c r="C520" s="1500"/>
      <c r="D520" s="1500"/>
      <c r="E520" s="1500"/>
      <c r="F520" s="1500"/>
      <c r="G520" s="1363" t="s">
        <v>261</v>
      </c>
      <c r="H520" s="1500"/>
      <c r="I520" s="1500"/>
      <c r="J520" s="1500"/>
      <c r="K520" s="1500"/>
      <c r="L520" s="1500"/>
      <c r="M520" s="1500" t="s">
        <v>325</v>
      </c>
      <c r="N520" s="1500"/>
      <c r="O520" s="1500"/>
      <c r="P520" s="1500"/>
      <c r="Q520" s="1500"/>
      <c r="R520" s="1500"/>
      <c r="S520" s="1500"/>
      <c r="T520" s="1500"/>
      <c r="U520" s="1389"/>
      <c r="V520" s="741"/>
      <c r="W520" s="741"/>
      <c r="X520" s="1215" t="s">
        <v>3252</v>
      </c>
      <c r="Y520" s="1545" t="s">
        <v>3253</v>
      </c>
      <c r="Z520" s="630">
        <v>5</v>
      </c>
      <c r="AA520" s="1330">
        <v>0</v>
      </c>
      <c r="AB520" s="1330">
        <f>Z520*8+AA520</f>
        <v>40</v>
      </c>
      <c r="AC520" s="1330">
        <v>8</v>
      </c>
      <c r="AD520" s="1330" t="s">
        <v>286</v>
      </c>
      <c r="AE520" s="1516"/>
      <c r="AF520" s="1330">
        <v>1</v>
      </c>
      <c r="AG520" s="1330">
        <v>0</v>
      </c>
      <c r="AH520" s="1330"/>
      <c r="AI520" s="1330"/>
      <c r="AJ520" s="1330" t="s">
        <v>3254</v>
      </c>
      <c r="AK520" s="1101" t="s">
        <v>3243</v>
      </c>
      <c r="AL520" s="364" t="s">
        <v>3255</v>
      </c>
      <c r="AM520" s="1363"/>
      <c r="AN520" s="1363"/>
    </row>
    <row r="521" spans="1:40" s="1232" customFormat="1" ht="18" customHeight="1">
      <c r="A521" s="1238">
        <v>7</v>
      </c>
      <c r="B521" s="1233" t="s">
        <v>3256</v>
      </c>
      <c r="C521" s="1233" t="s">
        <v>3257</v>
      </c>
      <c r="D521" s="1233" t="s">
        <v>3258</v>
      </c>
      <c r="E521" s="1233">
        <v>8</v>
      </c>
      <c r="F521" s="1233" t="s">
        <v>260</v>
      </c>
      <c r="G521" s="1234" t="s">
        <v>261</v>
      </c>
      <c r="H521" s="1233"/>
      <c r="I521" s="1233"/>
      <c r="J521" s="1233"/>
      <c r="K521" s="1233"/>
      <c r="L521" s="1233" t="s">
        <v>325</v>
      </c>
      <c r="M521" s="1233"/>
      <c r="N521" s="1233"/>
      <c r="O521" s="1233"/>
      <c r="P521" s="1233" t="s">
        <v>325</v>
      </c>
      <c r="Q521" s="1233" t="s">
        <v>325</v>
      </c>
      <c r="R521" s="1233"/>
      <c r="S521" s="1233"/>
      <c r="T521" s="1233"/>
      <c r="U521" s="1233"/>
      <c r="V521" s="1235"/>
      <c r="W521" s="1235"/>
      <c r="X521" s="1235" t="s">
        <v>3259</v>
      </c>
      <c r="Y521" s="1235"/>
      <c r="Z521" s="1233"/>
      <c r="AA521" s="1233"/>
      <c r="AB521" s="1233"/>
      <c r="AC521" s="1233"/>
      <c r="AD521" s="1233"/>
      <c r="AE521" s="1233" t="s">
        <v>3260</v>
      </c>
      <c r="AF521" s="1233"/>
      <c r="AG521" s="1233"/>
      <c r="AH521" s="1233"/>
      <c r="AI521" s="1233"/>
      <c r="AJ521" s="1233"/>
      <c r="AK521" s="1236">
        <v>20240815</v>
      </c>
      <c r="AL521" s="1237" t="s">
        <v>3261</v>
      </c>
      <c r="AM521" s="1237"/>
      <c r="AN521" s="1237"/>
    </row>
    <row r="522" spans="1:40" s="381" customFormat="1" ht="30.75" customHeight="1" outlineLevel="1">
      <c r="A522" s="1363"/>
      <c r="B522" s="129"/>
      <c r="C522" s="101"/>
      <c r="D522" s="101"/>
      <c r="E522" s="101"/>
      <c r="F522" s="101"/>
      <c r="G522" s="1528"/>
      <c r="H522" s="1548"/>
      <c r="I522" s="1548"/>
      <c r="J522" s="1548"/>
      <c r="K522" s="1548"/>
      <c r="L522" s="1548"/>
      <c r="M522" s="1548"/>
      <c r="N522" s="1548"/>
      <c r="O522" s="1548"/>
      <c r="P522" s="1548"/>
      <c r="Q522" s="1548"/>
      <c r="R522" s="1548"/>
      <c r="S522" s="1548"/>
      <c r="T522" s="1548"/>
      <c r="U522" s="586"/>
      <c r="V522" s="1501"/>
      <c r="W522" s="1501"/>
      <c r="X522" s="2886" t="s">
        <v>3262</v>
      </c>
      <c r="Y522" s="1547" t="s">
        <v>3263</v>
      </c>
      <c r="Z522" s="670">
        <v>0</v>
      </c>
      <c r="AA522" s="1548">
        <v>0</v>
      </c>
      <c r="AB522" s="1548">
        <f>Z522*8+AA522</f>
        <v>0</v>
      </c>
      <c r="AC522" s="1548">
        <v>16</v>
      </c>
      <c r="AD522" s="1548" t="s">
        <v>407</v>
      </c>
      <c r="AE522" s="1539" t="s">
        <v>3264</v>
      </c>
      <c r="AF522" s="1548">
        <v>1</v>
      </c>
      <c r="AG522" s="1548">
        <v>0</v>
      </c>
      <c r="AH522" s="1548"/>
      <c r="AI522" s="1548"/>
      <c r="AJ522" s="1548"/>
      <c r="AK522" s="1500"/>
      <c r="AL522" s="364"/>
      <c r="AM522" s="1363"/>
      <c r="AN522" s="1363"/>
    </row>
    <row r="523" spans="1:40" ht="30.75" customHeight="1" outlineLevel="1">
      <c r="A523" s="381"/>
      <c r="B523" s="373"/>
      <c r="C523" s="374"/>
      <c r="D523" s="374"/>
      <c r="E523" s="374"/>
      <c r="F523" s="374"/>
      <c r="G523" s="1511"/>
      <c r="H523" s="1525"/>
      <c r="I523" s="1525"/>
      <c r="J523" s="1525"/>
      <c r="K523" s="1525"/>
      <c r="L523" s="1525"/>
      <c r="M523" s="1525"/>
      <c r="N523" s="1525"/>
      <c r="O523" s="1525"/>
      <c r="P523" s="1525"/>
      <c r="Q523" s="1525"/>
      <c r="R523" s="1525"/>
      <c r="S523" s="1525"/>
      <c r="T523" s="1525"/>
      <c r="U523" s="588"/>
      <c r="V523" s="589"/>
      <c r="W523" s="589"/>
      <c r="X523" s="1532" t="s">
        <v>3265</v>
      </c>
      <c r="Y523" s="1024" t="s">
        <v>3266</v>
      </c>
      <c r="Z523" s="626">
        <v>2</v>
      </c>
      <c r="AA523" s="1525">
        <v>0</v>
      </c>
      <c r="AB523" s="1525">
        <f>Z523*8+AA523</f>
        <v>16</v>
      </c>
      <c r="AC523" s="1525">
        <v>16</v>
      </c>
      <c r="AD523" s="1525" t="s">
        <v>407</v>
      </c>
      <c r="AE523" s="1532" t="s">
        <v>3267</v>
      </c>
      <c r="AF523" s="1525"/>
      <c r="AG523" s="1525"/>
      <c r="AH523" s="1525"/>
      <c r="AI523" s="1525"/>
      <c r="AJ523" s="1525"/>
      <c r="AK523" s="215">
        <v>20240927</v>
      </c>
      <c r="AL523" s="344" t="s">
        <v>3268</v>
      </c>
      <c r="AM523" s="381"/>
      <c r="AN523" s="381"/>
    </row>
    <row r="524" spans="1:40" ht="30.75" customHeight="1" outlineLevel="1">
      <c r="A524" s="1363"/>
      <c r="B524" s="129"/>
      <c r="C524" s="101"/>
      <c r="D524" s="101"/>
      <c r="E524" s="101"/>
      <c r="F524" s="101"/>
      <c r="G524" s="1528"/>
      <c r="H524" s="1548"/>
      <c r="I524" s="1548"/>
      <c r="J524" s="1548"/>
      <c r="K524" s="1548"/>
      <c r="L524" s="1548"/>
      <c r="M524" s="1548"/>
      <c r="N524" s="1548"/>
      <c r="O524" s="1548"/>
      <c r="P524" s="1548"/>
      <c r="Q524" s="1548"/>
      <c r="R524" s="1548"/>
      <c r="S524" s="1548"/>
      <c r="T524" s="1548"/>
      <c r="U524" s="586"/>
      <c r="V524" s="1501"/>
      <c r="W524" s="1501"/>
      <c r="X524" s="1539" t="s">
        <v>3269</v>
      </c>
      <c r="Y524" s="1547" t="s">
        <v>3270</v>
      </c>
      <c r="Z524" s="670">
        <v>4</v>
      </c>
      <c r="AA524" s="1548">
        <v>0</v>
      </c>
      <c r="AB524" s="1548">
        <v>32</v>
      </c>
      <c r="AC524" s="1548">
        <v>8</v>
      </c>
      <c r="AD524" s="1548" t="s">
        <v>407</v>
      </c>
      <c r="AE524" s="1539"/>
      <c r="AF524" s="1548"/>
      <c r="AG524" s="1548"/>
      <c r="AH524" s="1548"/>
      <c r="AI524" s="1548"/>
      <c r="AJ524" s="1548"/>
      <c r="AK524" s="1500"/>
      <c r="AL524" s="364"/>
      <c r="AM524" s="1363"/>
      <c r="AN524" s="1363"/>
    </row>
    <row r="525" spans="1:40" ht="30.75" customHeight="1" outlineLevel="1">
      <c r="A525" s="1363"/>
      <c r="B525" s="129"/>
      <c r="C525" s="101"/>
      <c r="D525" s="101"/>
      <c r="E525" s="101"/>
      <c r="F525" s="101"/>
      <c r="G525" s="1528"/>
      <c r="H525" s="1499"/>
      <c r="I525" s="1499"/>
      <c r="J525" s="1499"/>
      <c r="K525" s="1499"/>
      <c r="L525" s="1499"/>
      <c r="M525" s="1499"/>
      <c r="N525" s="1499"/>
      <c r="O525" s="1499"/>
      <c r="P525" s="1499"/>
      <c r="Q525" s="1499"/>
      <c r="R525" s="1499" t="s">
        <v>398</v>
      </c>
      <c r="S525" s="1499" t="s">
        <v>398</v>
      </c>
      <c r="T525" s="1499" t="s">
        <v>398</v>
      </c>
      <c r="U525" s="585" t="s">
        <v>398</v>
      </c>
      <c r="V525" s="1502" t="s">
        <v>398</v>
      </c>
      <c r="W525" s="1502" t="s">
        <v>398</v>
      </c>
      <c r="X525" s="2887" t="s">
        <v>3271</v>
      </c>
      <c r="Y525" s="1503" t="s">
        <v>3272</v>
      </c>
      <c r="Z525" s="670">
        <v>5</v>
      </c>
      <c r="AA525" s="670">
        <v>0</v>
      </c>
      <c r="AB525" s="670">
        <v>40</v>
      </c>
      <c r="AC525" s="670">
        <v>8</v>
      </c>
      <c r="AD525" s="670" t="s">
        <v>407</v>
      </c>
      <c r="AE525" s="2888" t="s">
        <v>3273</v>
      </c>
      <c r="AF525" s="1499" t="s">
        <v>398</v>
      </c>
      <c r="AG525" s="1499" t="s">
        <v>398</v>
      </c>
      <c r="AH525" s="1499" t="s">
        <v>398</v>
      </c>
      <c r="AI525" s="1499" t="s">
        <v>398</v>
      </c>
      <c r="AJ525" s="1499" t="s">
        <v>398</v>
      </c>
      <c r="AK525" s="1363">
        <v>20251126</v>
      </c>
      <c r="AL525" s="364"/>
      <c r="AM525" s="1363"/>
      <c r="AN525" s="1363"/>
    </row>
    <row r="526" spans="1:40" ht="14.25" customHeight="1" outlineLevel="1">
      <c r="A526" s="1363"/>
      <c r="B526" s="129"/>
      <c r="C526" s="101"/>
      <c r="D526" s="101"/>
      <c r="E526" s="101"/>
      <c r="F526" s="101"/>
      <c r="G526" s="1528"/>
      <c r="H526" s="1548"/>
      <c r="I526" s="1548"/>
      <c r="J526" s="1548"/>
      <c r="K526" s="1548"/>
      <c r="L526" s="1548"/>
      <c r="M526" s="1548"/>
      <c r="N526" s="1548"/>
      <c r="O526" s="1548"/>
      <c r="P526" s="1548"/>
      <c r="Q526" s="1548"/>
      <c r="R526" s="1548"/>
      <c r="S526" s="1548"/>
      <c r="T526" s="1548"/>
      <c r="U526" s="586"/>
      <c r="V526" s="1501"/>
      <c r="W526" s="1501"/>
      <c r="X526" s="2889" t="s">
        <v>3274</v>
      </c>
      <c r="Y526" s="1547" t="s">
        <v>3275</v>
      </c>
      <c r="Z526" s="670">
        <v>6</v>
      </c>
      <c r="AA526" s="1548">
        <v>0</v>
      </c>
      <c r="AB526" s="1548">
        <v>48</v>
      </c>
      <c r="AC526" s="1548">
        <v>2</v>
      </c>
      <c r="AD526" s="1548" t="s">
        <v>407</v>
      </c>
      <c r="AE526" s="1539"/>
      <c r="AF526" s="1548"/>
      <c r="AG526" s="1548"/>
      <c r="AH526" s="1548"/>
      <c r="AI526" s="1548"/>
      <c r="AJ526" s="1548"/>
      <c r="AK526" s="1500"/>
      <c r="AL526" s="364"/>
      <c r="AM526" s="1363"/>
      <c r="AN526" s="1363"/>
    </row>
    <row r="527" spans="1:40" s="1232" customFormat="1" ht="18" customHeight="1">
      <c r="A527" s="1238">
        <v>8</v>
      </c>
      <c r="B527" s="1233" t="s">
        <v>3276</v>
      </c>
      <c r="C527" s="1233" t="s">
        <v>3277</v>
      </c>
      <c r="D527" s="1233" t="s">
        <v>401</v>
      </c>
      <c r="E527" s="1233">
        <v>8</v>
      </c>
      <c r="F527" s="1233" t="s">
        <v>260</v>
      </c>
      <c r="G527" s="1234" t="s">
        <v>261</v>
      </c>
      <c r="H527" s="1233"/>
      <c r="I527" s="1233"/>
      <c r="J527" s="1233"/>
      <c r="K527" s="1233"/>
      <c r="L527" s="1233" t="s">
        <v>325</v>
      </c>
      <c r="M527" s="1233"/>
      <c r="N527" s="1233"/>
      <c r="O527" s="1233"/>
      <c r="P527" s="1233" t="s">
        <v>325</v>
      </c>
      <c r="Q527" s="1233" t="s">
        <v>325</v>
      </c>
      <c r="R527" s="1233"/>
      <c r="S527" s="1233"/>
      <c r="T527" s="1233"/>
      <c r="U527" s="1233"/>
      <c r="V527" s="1235"/>
      <c r="W527" s="1235"/>
      <c r="X527" s="1235" t="s">
        <v>3278</v>
      </c>
      <c r="Y527" s="1235"/>
      <c r="Z527" s="1233"/>
      <c r="AA527" s="1233"/>
      <c r="AB527" s="1233"/>
      <c r="AC527" s="1233"/>
      <c r="AD527" s="1233"/>
      <c r="AE527" s="1233" t="s">
        <v>403</v>
      </c>
      <c r="AF527" s="1233"/>
      <c r="AG527" s="1233"/>
      <c r="AH527" s="1233"/>
      <c r="AI527" s="1233"/>
      <c r="AJ527" s="1233"/>
      <c r="AK527" s="1236"/>
      <c r="AL527" s="1241">
        <v>20240612</v>
      </c>
      <c r="AM527" s="1237"/>
      <c r="AN527" s="1237"/>
    </row>
    <row r="528" spans="1:40" ht="14.25" customHeight="1" outlineLevel="1">
      <c r="A528" s="1363"/>
      <c r="B528" s="1500"/>
      <c r="C528" s="1500"/>
      <c r="D528" s="1500"/>
      <c r="E528" s="1500"/>
      <c r="F528" s="1500"/>
      <c r="G528" s="1528"/>
      <c r="H528" s="1548"/>
      <c r="I528" s="1548"/>
      <c r="J528" s="1548"/>
      <c r="K528" s="1548"/>
      <c r="L528" s="1548"/>
      <c r="M528" s="1548"/>
      <c r="N528" s="1548"/>
      <c r="O528" s="1548"/>
      <c r="P528" s="1548"/>
      <c r="Q528" s="1548"/>
      <c r="R528" s="1548"/>
      <c r="S528" s="1548"/>
      <c r="T528" s="1548"/>
      <c r="U528" s="586"/>
      <c r="V528" s="1501"/>
      <c r="W528" s="1501"/>
      <c r="X528" s="2890" t="s">
        <v>3279</v>
      </c>
      <c r="Y528" s="1526" t="s">
        <v>3280</v>
      </c>
      <c r="Z528" s="670">
        <v>0</v>
      </c>
      <c r="AA528" s="1548">
        <v>0</v>
      </c>
      <c r="AB528" s="1548">
        <f>Z528*8+AA528</f>
        <v>0</v>
      </c>
      <c r="AC528" s="1548">
        <v>32</v>
      </c>
      <c r="AD528" s="1548" t="s">
        <v>407</v>
      </c>
      <c r="AE528" s="1539"/>
      <c r="AF528" s="1548">
        <v>10</v>
      </c>
      <c r="AG528" s="1548"/>
      <c r="AH528" s="1548"/>
      <c r="AI528" s="1548"/>
      <c r="AJ528" s="1548" t="s">
        <v>3281</v>
      </c>
      <c r="AK528" s="1500"/>
      <c r="AL528" s="364"/>
      <c r="AM528" s="1363"/>
      <c r="AN528" s="1363"/>
    </row>
    <row r="529" spans="1:50" s="1232" customFormat="1" ht="18" customHeight="1">
      <c r="A529" s="1238">
        <v>10</v>
      </c>
      <c r="B529" s="1233" t="s">
        <v>3282</v>
      </c>
      <c r="C529" s="1233" t="s">
        <v>3283</v>
      </c>
      <c r="D529" s="1233" t="s">
        <v>401</v>
      </c>
      <c r="E529" s="1233">
        <v>8</v>
      </c>
      <c r="F529" s="1233" t="s">
        <v>260</v>
      </c>
      <c r="G529" s="1234" t="s">
        <v>261</v>
      </c>
      <c r="H529" s="1233"/>
      <c r="I529" s="1233"/>
      <c r="J529" s="1233"/>
      <c r="K529" s="1233"/>
      <c r="L529" s="1233" t="s">
        <v>325</v>
      </c>
      <c r="M529" s="1233"/>
      <c r="N529" s="1233"/>
      <c r="O529" s="1233"/>
      <c r="P529" s="1233"/>
      <c r="Q529" s="1233" t="s">
        <v>325</v>
      </c>
      <c r="R529" s="1233"/>
      <c r="S529" s="1233"/>
      <c r="T529" s="1233"/>
      <c r="U529" s="1233"/>
      <c r="V529" s="1235"/>
      <c r="W529" s="1235"/>
      <c r="X529" s="1235" t="s">
        <v>3284</v>
      </c>
      <c r="Y529" s="1235"/>
      <c r="Z529" s="1234"/>
      <c r="AA529" s="1234"/>
      <c r="AB529" s="1238">
        <f>Z529*8+AA529</f>
        <v>0</v>
      </c>
      <c r="AC529" s="1234"/>
      <c r="AD529" s="1234"/>
      <c r="AE529" s="1234"/>
      <c r="AF529" s="1238"/>
      <c r="AG529" s="1238"/>
      <c r="AH529" s="1238"/>
      <c r="AI529" s="1238"/>
      <c r="AJ529" s="1238"/>
      <c r="AK529" s="1242"/>
      <c r="AL529" s="1237" t="s">
        <v>3285</v>
      </c>
      <c r="AM529" s="1237"/>
      <c r="AN529" s="1237"/>
    </row>
    <row r="530" spans="1:50" ht="30.75" customHeight="1" outlineLevel="1">
      <c r="A530" s="1363"/>
      <c r="B530" s="1500"/>
      <c r="C530" s="1500"/>
      <c r="D530" s="1500"/>
      <c r="E530" s="1500"/>
      <c r="F530" s="1500"/>
      <c r="G530" s="1528"/>
      <c r="H530" s="1548"/>
      <c r="I530" s="1548"/>
      <c r="J530" s="1548"/>
      <c r="K530" s="1548"/>
      <c r="L530" s="1548"/>
      <c r="M530" s="1548"/>
      <c r="N530" s="1548"/>
      <c r="O530" s="1548"/>
      <c r="P530" s="1548"/>
      <c r="Q530" s="1548"/>
      <c r="R530" s="1548"/>
      <c r="S530" s="1548"/>
      <c r="T530" s="1548"/>
      <c r="U530" s="586"/>
      <c r="V530" s="1501"/>
      <c r="W530" s="1501"/>
      <c r="X530" s="2891" t="s">
        <v>3286</v>
      </c>
      <c r="Y530" s="1526" t="s">
        <v>3287</v>
      </c>
      <c r="Z530" s="670">
        <v>0</v>
      </c>
      <c r="AA530" s="1548">
        <v>0</v>
      </c>
      <c r="AB530" s="1548">
        <f>Z530*8+AA530</f>
        <v>0</v>
      </c>
      <c r="AC530" s="1548">
        <v>16</v>
      </c>
      <c r="AD530" s="1548" t="s">
        <v>407</v>
      </c>
      <c r="AE530" s="1539" t="s">
        <v>450</v>
      </c>
      <c r="AF530" s="1548">
        <v>0.1</v>
      </c>
      <c r="AG530" s="1548"/>
      <c r="AH530" s="1548"/>
      <c r="AI530" s="1548">
        <v>0</v>
      </c>
      <c r="AJ530" s="1548" t="s">
        <v>452</v>
      </c>
      <c r="AK530" s="1500"/>
      <c r="AL530" s="364"/>
      <c r="AM530" s="1363"/>
      <c r="AN530" s="1363"/>
    </row>
    <row r="531" spans="1:50" ht="33" customHeight="1" outlineLevel="1">
      <c r="A531" s="1363"/>
      <c r="B531" s="1500"/>
      <c r="C531" s="1500"/>
      <c r="D531" s="1500"/>
      <c r="E531" s="1500"/>
      <c r="F531" s="1500"/>
      <c r="G531" s="1528"/>
      <c r="H531" s="1548"/>
      <c r="I531" s="1548"/>
      <c r="J531" s="1548"/>
      <c r="K531" s="1548"/>
      <c r="L531" s="1548"/>
      <c r="M531" s="1548"/>
      <c r="N531" s="1548"/>
      <c r="O531" s="1548"/>
      <c r="P531" s="1548"/>
      <c r="Q531" s="1548"/>
      <c r="R531" s="1548"/>
      <c r="S531" s="1548"/>
      <c r="T531" s="1548"/>
      <c r="U531" s="586"/>
      <c r="V531" s="1501"/>
      <c r="W531" s="1501"/>
      <c r="X531" s="1539" t="s">
        <v>3288</v>
      </c>
      <c r="Y531" s="1526" t="s">
        <v>3289</v>
      </c>
      <c r="Z531" s="670">
        <v>2</v>
      </c>
      <c r="AA531" s="1548">
        <v>0</v>
      </c>
      <c r="AB531" s="1548">
        <f>Z531*8+AA531</f>
        <v>16</v>
      </c>
      <c r="AC531" s="1548">
        <v>16</v>
      </c>
      <c r="AD531" s="1548" t="s">
        <v>407</v>
      </c>
      <c r="AE531" s="1539"/>
      <c r="AF531" s="1548">
        <v>0.1</v>
      </c>
      <c r="AG531" s="1548">
        <v>0</v>
      </c>
      <c r="AH531" s="1548"/>
      <c r="AI531" s="1548"/>
      <c r="AJ531" s="1548" t="s">
        <v>424</v>
      </c>
      <c r="AK531" s="1500"/>
      <c r="AL531" s="364"/>
      <c r="AM531" s="1363"/>
      <c r="AN531" s="1363"/>
    </row>
    <row r="532" spans="1:50" ht="14.25" customHeight="1" outlineLevel="1">
      <c r="A532" s="1363"/>
      <c r="B532" s="1500"/>
      <c r="C532" s="1500"/>
      <c r="D532" s="1500"/>
      <c r="E532" s="1500"/>
      <c r="F532" s="1500"/>
      <c r="G532" s="1528"/>
      <c r="H532" s="1548"/>
      <c r="I532" s="1548"/>
      <c r="J532" s="1548"/>
      <c r="K532" s="1548"/>
      <c r="L532" s="1548"/>
      <c r="M532" s="1548"/>
      <c r="N532" s="1548"/>
      <c r="O532" s="1548"/>
      <c r="P532" s="1548"/>
      <c r="Q532" s="1548"/>
      <c r="R532" s="1548"/>
      <c r="S532" s="1548"/>
      <c r="T532" s="1548"/>
      <c r="U532" s="586"/>
      <c r="V532" s="1501"/>
      <c r="W532" s="1501"/>
      <c r="X532" s="2892" t="s">
        <v>3290</v>
      </c>
      <c r="Y532" s="1547" t="s">
        <v>3291</v>
      </c>
      <c r="Z532" s="670">
        <v>4</v>
      </c>
      <c r="AA532" s="1548">
        <v>0</v>
      </c>
      <c r="AB532" s="1548">
        <v>32</v>
      </c>
      <c r="AC532" s="1548">
        <v>2</v>
      </c>
      <c r="AD532" s="1548" t="s">
        <v>407</v>
      </c>
      <c r="AE532" s="1363" t="s">
        <v>3292</v>
      </c>
      <c r="AF532" s="1548"/>
      <c r="AG532" s="1548"/>
      <c r="AH532" s="1548"/>
      <c r="AI532" s="1548"/>
      <c r="AJ532" s="1548"/>
      <c r="AK532" s="1500"/>
      <c r="AL532" s="364"/>
      <c r="AM532" s="1363"/>
      <c r="AN532" s="1363"/>
    </row>
    <row r="533" spans="1:50" s="1237" customFormat="1" ht="18" customHeight="1">
      <c r="A533" s="1233">
        <v>25</v>
      </c>
      <c r="B533" s="1233" t="s">
        <v>657</v>
      </c>
      <c r="C533" s="1233" t="s">
        <v>3293</v>
      </c>
      <c r="D533" s="1233" t="s">
        <v>259</v>
      </c>
      <c r="E533" s="1233">
        <v>8</v>
      </c>
      <c r="F533" s="1233" t="s">
        <v>260</v>
      </c>
      <c r="G533" s="1234" t="s">
        <v>325</v>
      </c>
      <c r="H533" s="1233"/>
      <c r="I533" s="1233"/>
      <c r="J533" s="1233"/>
      <c r="K533" s="1233"/>
      <c r="L533" s="1233"/>
      <c r="M533" s="1233"/>
      <c r="N533" s="1233"/>
      <c r="O533" s="1233"/>
      <c r="P533" s="1233"/>
      <c r="Q533" s="1233" t="s">
        <v>261</v>
      </c>
      <c r="R533" s="1233"/>
      <c r="S533" s="1233"/>
      <c r="T533" s="1233"/>
      <c r="U533" s="1233"/>
      <c r="V533" s="1235"/>
      <c r="W533" s="1235"/>
      <c r="X533" s="1235" t="s">
        <v>3294</v>
      </c>
      <c r="Y533" s="1235"/>
      <c r="Z533" s="1233"/>
      <c r="AA533" s="1233"/>
      <c r="AB533" s="1238">
        <f>Z533*8+AA533</f>
        <v>0</v>
      </c>
      <c r="AC533" s="1233"/>
      <c r="AD533" s="1233"/>
      <c r="AE533" s="1240"/>
      <c r="AF533" s="1233"/>
      <c r="AG533" s="1233"/>
      <c r="AH533" s="1233"/>
      <c r="AI533" s="1233"/>
      <c r="AJ533" s="1233"/>
      <c r="AK533" s="1236">
        <v>20250818</v>
      </c>
    </row>
    <row r="534" spans="1:50" ht="120.75" customHeight="1" outlineLevel="1">
      <c r="A534" s="1363" t="s">
        <v>398</v>
      </c>
      <c r="B534" s="1363" t="s">
        <v>398</v>
      </c>
      <c r="C534" s="1363" t="s">
        <v>398</v>
      </c>
      <c r="D534" s="1363" t="s">
        <v>398</v>
      </c>
      <c r="E534" s="1363" t="s">
        <v>398</v>
      </c>
      <c r="F534" s="1363" t="s">
        <v>398</v>
      </c>
      <c r="G534" s="1363" t="s">
        <v>325</v>
      </c>
      <c r="H534" s="1363"/>
      <c r="I534" s="1363"/>
      <c r="J534" s="1363" t="s">
        <v>398</v>
      </c>
      <c r="K534" s="1363"/>
      <c r="L534" s="1363"/>
      <c r="M534" s="1363" t="s">
        <v>398</v>
      </c>
      <c r="N534" s="1363" t="s">
        <v>398</v>
      </c>
      <c r="O534" s="1363" t="s">
        <v>398</v>
      </c>
      <c r="P534" s="1363" t="s">
        <v>398</v>
      </c>
      <c r="Q534" s="1363" t="s">
        <v>398</v>
      </c>
      <c r="R534" s="1363" t="s">
        <v>398</v>
      </c>
      <c r="S534" s="1363" t="s">
        <v>398</v>
      </c>
      <c r="T534" s="1363" t="s">
        <v>398</v>
      </c>
      <c r="U534" s="1363" t="s">
        <v>3295</v>
      </c>
      <c r="V534" s="1363" t="s">
        <v>398</v>
      </c>
      <c r="W534" s="1363" t="s">
        <v>398</v>
      </c>
      <c r="X534" s="2893" t="s">
        <v>3296</v>
      </c>
      <c r="Y534" s="1547" t="s">
        <v>3297</v>
      </c>
      <c r="Z534" s="1530">
        <v>0</v>
      </c>
      <c r="AA534" s="1530">
        <v>0</v>
      </c>
      <c r="AB534" s="1499">
        <v>0</v>
      </c>
      <c r="AC534" s="1530">
        <v>3</v>
      </c>
      <c r="AD534" s="380" t="s">
        <v>398</v>
      </c>
      <c r="AE534" s="2894" t="s">
        <v>3298</v>
      </c>
      <c r="AF534" s="1530" t="s">
        <v>444</v>
      </c>
      <c r="AG534" s="1530" t="s">
        <v>444</v>
      </c>
      <c r="AH534" s="1530" t="s">
        <v>444</v>
      </c>
      <c r="AI534" s="1530" t="s">
        <v>444</v>
      </c>
      <c r="AJ534" s="1530" t="s">
        <v>444</v>
      </c>
      <c r="AK534" s="435">
        <v>202512116</v>
      </c>
      <c r="AL534" s="1363" t="s">
        <v>3299</v>
      </c>
      <c r="AM534" s="1363"/>
      <c r="AN534" s="1363"/>
      <c r="AO534" s="243"/>
      <c r="AP534" s="243"/>
      <c r="AQ534" s="243"/>
      <c r="AR534" s="243"/>
      <c r="AS534" s="243"/>
      <c r="AT534" s="243"/>
      <c r="AU534" s="243"/>
      <c r="AV534" s="243"/>
      <c r="AW534" s="243"/>
      <c r="AX534" s="243"/>
    </row>
    <row r="535" spans="1:50" ht="75.75" customHeight="1" outlineLevel="1">
      <c r="A535" s="1363"/>
      <c r="B535" s="1363"/>
      <c r="C535" s="1363"/>
      <c r="D535" s="1363"/>
      <c r="E535" s="1363"/>
      <c r="F535" s="1363"/>
      <c r="G535" s="1363" t="s">
        <v>325</v>
      </c>
      <c r="H535" s="1363"/>
      <c r="I535" s="1363"/>
      <c r="J535" s="1363"/>
      <c r="K535" s="1363"/>
      <c r="L535" s="1363"/>
      <c r="M535" s="1363"/>
      <c r="N535" s="1363"/>
      <c r="O535" s="1363"/>
      <c r="P535" s="1363"/>
      <c r="Q535" s="1363"/>
      <c r="R535" s="1363"/>
      <c r="S535" s="1363"/>
      <c r="T535" s="1363"/>
      <c r="U535" s="1363" t="s">
        <v>3295</v>
      </c>
      <c r="V535" s="1363"/>
      <c r="W535" s="1363"/>
      <c r="X535" s="2895" t="s">
        <v>3300</v>
      </c>
      <c r="Y535" s="370" t="s">
        <v>3301</v>
      </c>
      <c r="Z535" s="1530">
        <v>0</v>
      </c>
      <c r="AA535" s="1530">
        <v>3</v>
      </c>
      <c r="AB535" s="1530">
        <v>3</v>
      </c>
      <c r="AC535" s="1530">
        <v>2</v>
      </c>
      <c r="AD535" s="1530" t="s">
        <v>398</v>
      </c>
      <c r="AE535" s="2896" t="s">
        <v>3302</v>
      </c>
      <c r="AF535" s="1530" t="s">
        <v>444</v>
      </c>
      <c r="AG535" s="1530" t="s">
        <v>444</v>
      </c>
      <c r="AH535" s="1530" t="s">
        <v>444</v>
      </c>
      <c r="AI535" s="1530" t="s">
        <v>444</v>
      </c>
      <c r="AJ535" s="1530" t="s">
        <v>444</v>
      </c>
      <c r="AK535" s="371">
        <v>20250818</v>
      </c>
      <c r="AL535" s="1363"/>
      <c r="AM535" s="1363"/>
      <c r="AN535" s="1363"/>
    </row>
    <row r="536" spans="1:50" ht="45.75" customHeight="1" outlineLevel="1">
      <c r="A536" s="1363"/>
      <c r="B536" s="1363"/>
      <c r="C536" s="1363"/>
      <c r="D536" s="1363"/>
      <c r="E536" s="1363"/>
      <c r="F536" s="1363"/>
      <c r="G536" s="1363" t="s">
        <v>325</v>
      </c>
      <c r="H536" s="1363"/>
      <c r="I536" s="1363"/>
      <c r="J536" s="1363"/>
      <c r="K536" s="1363"/>
      <c r="L536" s="1363"/>
      <c r="M536" s="1363"/>
      <c r="N536" s="1363"/>
      <c r="O536" s="1363"/>
      <c r="P536" s="1363"/>
      <c r="Q536" s="1363"/>
      <c r="R536" s="1363"/>
      <c r="S536" s="1363"/>
      <c r="T536" s="1363"/>
      <c r="U536" s="1363" t="s">
        <v>3295</v>
      </c>
      <c r="V536" s="1363"/>
      <c r="W536" s="1363"/>
      <c r="X536" s="2897" t="s">
        <v>3303</v>
      </c>
      <c r="Y536" s="370" t="s">
        <v>3304</v>
      </c>
      <c r="Z536" s="1530">
        <v>0</v>
      </c>
      <c r="AA536" s="1530">
        <v>5</v>
      </c>
      <c r="AB536" s="1530">
        <v>5</v>
      </c>
      <c r="AC536" s="1530">
        <v>2</v>
      </c>
      <c r="AD536" s="1530" t="s">
        <v>398</v>
      </c>
      <c r="AE536" s="1530" t="s">
        <v>3305</v>
      </c>
      <c r="AF536" s="1530" t="s">
        <v>444</v>
      </c>
      <c r="AG536" s="1530" t="s">
        <v>444</v>
      </c>
      <c r="AH536" s="1530" t="s">
        <v>444</v>
      </c>
      <c r="AI536" s="1530" t="s">
        <v>444</v>
      </c>
      <c r="AJ536" s="1530" t="s">
        <v>444</v>
      </c>
      <c r="AK536" s="371">
        <v>20250818</v>
      </c>
      <c r="AL536" s="1363"/>
      <c r="AM536" s="1363"/>
      <c r="AN536" s="1363"/>
    </row>
    <row r="537" spans="1:50" s="381" customFormat="1" ht="30.75" customHeight="1" outlineLevel="1">
      <c r="A537" s="1363"/>
      <c r="B537" s="1363"/>
      <c r="C537" s="1363"/>
      <c r="D537" s="1363"/>
      <c r="E537" s="1363"/>
      <c r="F537" s="1363"/>
      <c r="G537" s="1363" t="s">
        <v>325</v>
      </c>
      <c r="H537" s="1363"/>
      <c r="I537" s="1363"/>
      <c r="J537" s="1363"/>
      <c r="K537" s="1363"/>
      <c r="L537" s="1363"/>
      <c r="M537" s="1363"/>
      <c r="N537" s="1363"/>
      <c r="O537" s="1363"/>
      <c r="P537" s="1363"/>
      <c r="Q537" s="1363"/>
      <c r="R537" s="1363"/>
      <c r="S537" s="1363"/>
      <c r="T537" s="1363"/>
      <c r="U537" s="1363" t="s">
        <v>662</v>
      </c>
      <c r="V537" s="1363"/>
      <c r="W537" s="1363"/>
      <c r="X537" s="2898" t="s">
        <v>3306</v>
      </c>
      <c r="Y537" s="370" t="s">
        <v>3307</v>
      </c>
      <c r="Z537" s="1530">
        <v>0</v>
      </c>
      <c r="AA537" s="1530">
        <v>7</v>
      </c>
      <c r="AB537" s="1530">
        <v>7</v>
      </c>
      <c r="AC537" s="1530">
        <v>1</v>
      </c>
      <c r="AD537" s="1530" t="s">
        <v>398</v>
      </c>
      <c r="AE537" s="2899" t="s">
        <v>3308</v>
      </c>
      <c r="AF537" s="1530" t="s">
        <v>398</v>
      </c>
      <c r="AG537" s="1530" t="s">
        <v>398</v>
      </c>
      <c r="AH537" s="1530" t="s">
        <v>398</v>
      </c>
      <c r="AI537" s="1530" t="s">
        <v>398</v>
      </c>
      <c r="AJ537" s="1530" t="s">
        <v>398</v>
      </c>
      <c r="AK537" s="371">
        <v>20250818</v>
      </c>
      <c r="AL537" s="1363"/>
      <c r="AM537" s="1363"/>
      <c r="AN537" s="1363"/>
    </row>
    <row r="538" spans="1:50" s="381" customFormat="1" ht="45.75" customHeight="1" outlineLevel="1">
      <c r="A538" s="1295"/>
      <c r="B538" s="1295"/>
      <c r="C538" s="1295"/>
      <c r="D538" s="1295"/>
      <c r="E538" s="1295"/>
      <c r="F538" s="1295"/>
      <c r="G538" s="1363" t="s">
        <v>325</v>
      </c>
      <c r="H538" s="1363"/>
      <c r="I538" s="1363"/>
      <c r="J538" s="1363"/>
      <c r="K538" s="1363"/>
      <c r="L538" s="1363"/>
      <c r="M538" s="1363"/>
      <c r="N538" s="1363"/>
      <c r="O538" s="1363"/>
      <c r="P538" s="1363"/>
      <c r="Q538" s="1363"/>
      <c r="R538" s="1363"/>
      <c r="S538" s="1363"/>
      <c r="T538" s="1363"/>
      <c r="U538" s="1363" t="s">
        <v>662</v>
      </c>
      <c r="V538" s="1363"/>
      <c r="W538" s="1363"/>
      <c r="X538" s="2900" t="s">
        <v>3309</v>
      </c>
      <c r="Y538" s="370" t="s">
        <v>3310</v>
      </c>
      <c r="Z538" s="1530">
        <v>1</v>
      </c>
      <c r="AA538" s="1530">
        <v>0</v>
      </c>
      <c r="AB538" s="1530">
        <v>8</v>
      </c>
      <c r="AC538" s="1530">
        <v>1</v>
      </c>
      <c r="AD538" s="1530" t="s">
        <v>398</v>
      </c>
      <c r="AE538" s="2901" t="s">
        <v>3308</v>
      </c>
      <c r="AF538" s="1530" t="s">
        <v>398</v>
      </c>
      <c r="AG538" s="1530" t="s">
        <v>398</v>
      </c>
      <c r="AH538" s="1530" t="s">
        <v>398</v>
      </c>
      <c r="AI538" s="1530" t="s">
        <v>398</v>
      </c>
      <c r="AJ538" s="1530" t="s">
        <v>398</v>
      </c>
      <c r="AK538" s="433">
        <v>20251120</v>
      </c>
      <c r="AL538" s="1295"/>
    </row>
    <row r="539" spans="1:50" s="381" customFormat="1" ht="30.75" customHeight="1" outlineLevel="1">
      <c r="A539" s="1295"/>
      <c r="B539" s="1295"/>
      <c r="C539" s="1295"/>
      <c r="D539" s="1295"/>
      <c r="E539" s="1295"/>
      <c r="F539" s="1295"/>
      <c r="G539" s="1363" t="s">
        <v>325</v>
      </c>
      <c r="H539" s="1363"/>
      <c r="I539" s="1363"/>
      <c r="J539" s="1363"/>
      <c r="K539" s="1363"/>
      <c r="L539" s="1363"/>
      <c r="M539" s="1363"/>
      <c r="N539" s="1363"/>
      <c r="O539" s="1363"/>
      <c r="P539" s="1363"/>
      <c r="Q539" s="1363"/>
      <c r="R539" s="1363"/>
      <c r="S539" s="1363"/>
      <c r="T539" s="1363"/>
      <c r="U539" s="1363" t="s">
        <v>662</v>
      </c>
      <c r="V539" s="1363"/>
      <c r="W539" s="1363"/>
      <c r="X539" s="2902" t="s">
        <v>3311</v>
      </c>
      <c r="Y539" s="370" t="s">
        <v>3312</v>
      </c>
      <c r="Z539" s="1530">
        <v>1</v>
      </c>
      <c r="AA539" s="1530">
        <v>1</v>
      </c>
      <c r="AB539" s="1530">
        <v>9</v>
      </c>
      <c r="AC539" s="1530">
        <v>1</v>
      </c>
      <c r="AD539" s="1530" t="s">
        <v>398</v>
      </c>
      <c r="AE539" s="2903" t="s">
        <v>3308</v>
      </c>
      <c r="AF539" s="1530" t="s">
        <v>398</v>
      </c>
      <c r="AG539" s="1530" t="s">
        <v>398</v>
      </c>
      <c r="AH539" s="1530" t="s">
        <v>398</v>
      </c>
      <c r="AI539" s="1530" t="s">
        <v>398</v>
      </c>
      <c r="AJ539" s="1530" t="s">
        <v>398</v>
      </c>
      <c r="AK539" s="433">
        <v>20251126</v>
      </c>
      <c r="AL539" s="1295"/>
    </row>
    <row r="540" spans="1:50" s="381" customFormat="1" ht="30.75" customHeight="1" outlineLevel="1">
      <c r="A540" s="1363"/>
      <c r="B540" s="1363"/>
      <c r="C540" s="1363"/>
      <c r="D540" s="1363"/>
      <c r="E540" s="1363"/>
      <c r="F540" s="1363"/>
      <c r="G540" s="1363" t="s">
        <v>325</v>
      </c>
      <c r="H540" s="1363"/>
      <c r="I540" s="1363"/>
      <c r="J540" s="1363"/>
      <c r="K540" s="1363"/>
      <c r="L540" s="1363"/>
      <c r="M540" s="1363"/>
      <c r="N540" s="1363"/>
      <c r="O540" s="1363"/>
      <c r="P540" s="1363"/>
      <c r="Q540" s="1363"/>
      <c r="R540" s="1363"/>
      <c r="S540" s="1363"/>
      <c r="T540" s="1363"/>
      <c r="U540" s="1363" t="s">
        <v>662</v>
      </c>
      <c r="V540" s="1363"/>
      <c r="W540" s="1363"/>
      <c r="X540" s="2904" t="s">
        <v>3313</v>
      </c>
      <c r="Y540" s="370" t="s">
        <v>3314</v>
      </c>
      <c r="Z540" s="1530">
        <v>1</v>
      </c>
      <c r="AA540" s="1530">
        <v>2</v>
      </c>
      <c r="AB540" s="1530">
        <v>10</v>
      </c>
      <c r="AC540" s="1530">
        <v>1</v>
      </c>
      <c r="AD540" s="1530" t="s">
        <v>398</v>
      </c>
      <c r="AE540" s="2905" t="s">
        <v>3315</v>
      </c>
      <c r="AF540" s="1530" t="s">
        <v>398</v>
      </c>
      <c r="AG540" s="1530" t="s">
        <v>398</v>
      </c>
      <c r="AH540" s="1530" t="s">
        <v>398</v>
      </c>
      <c r="AI540" s="1530" t="s">
        <v>398</v>
      </c>
      <c r="AJ540" s="1530" t="s">
        <v>398</v>
      </c>
      <c r="AK540" s="371">
        <v>20251126</v>
      </c>
      <c r="AL540" s="1363" t="s">
        <v>3316</v>
      </c>
    </row>
    <row r="541" spans="1:50" s="37" customFormat="1" ht="30.75" customHeight="1" outlineLevel="1">
      <c r="A541" s="1363"/>
      <c r="B541" s="1363"/>
      <c r="C541" s="1363"/>
      <c r="D541" s="1363"/>
      <c r="E541" s="1363"/>
      <c r="F541" s="1363"/>
      <c r="G541" s="1363"/>
      <c r="H541" s="1363"/>
      <c r="I541" s="1363"/>
      <c r="J541" s="1363"/>
      <c r="K541" s="1363"/>
      <c r="L541" s="1363"/>
      <c r="M541" s="1363"/>
      <c r="N541" s="1363"/>
      <c r="O541" s="1363"/>
      <c r="P541" s="1363"/>
      <c r="Q541" s="1363"/>
      <c r="R541" s="1363"/>
      <c r="S541" s="1363"/>
      <c r="T541" s="1363"/>
      <c r="U541" s="1363" t="s">
        <v>662</v>
      </c>
      <c r="V541" s="1363"/>
      <c r="W541" s="1363"/>
      <c r="X541" s="2906" t="s">
        <v>754</v>
      </c>
      <c r="Y541" s="370" t="s">
        <v>3317</v>
      </c>
      <c r="Z541" s="1530">
        <v>1</v>
      </c>
      <c r="AA541" s="1530">
        <v>3</v>
      </c>
      <c r="AB541" s="1530">
        <v>11</v>
      </c>
      <c r="AC541" s="1530">
        <v>1</v>
      </c>
      <c r="AD541" s="1530" t="s">
        <v>398</v>
      </c>
      <c r="AE541" s="2907" t="s">
        <v>3318</v>
      </c>
      <c r="AF541" s="1530" t="s">
        <v>398</v>
      </c>
      <c r="AG541" s="1530" t="s">
        <v>398</v>
      </c>
      <c r="AH541" s="1530" t="s">
        <v>398</v>
      </c>
      <c r="AI541" s="1530" t="s">
        <v>398</v>
      </c>
      <c r="AJ541" s="1530" t="s">
        <v>398</v>
      </c>
      <c r="AK541" s="371">
        <v>20251208</v>
      </c>
      <c r="AL541" s="1363"/>
      <c r="AM541" s="381"/>
      <c r="AN541" s="381"/>
    </row>
    <row r="542" spans="1:50" ht="30.75" customHeight="1" outlineLevel="1">
      <c r="A542" s="1363"/>
      <c r="B542" s="1363"/>
      <c r="C542" s="1363"/>
      <c r="D542" s="1363"/>
      <c r="E542" s="1363"/>
      <c r="F542" s="1363"/>
      <c r="G542" s="1363" t="s">
        <v>325</v>
      </c>
      <c r="H542" s="1363"/>
      <c r="I542" s="1363"/>
      <c r="J542" s="1363"/>
      <c r="K542" s="1363"/>
      <c r="L542" s="1363"/>
      <c r="M542" s="1363"/>
      <c r="N542" s="1363"/>
      <c r="O542" s="1363"/>
      <c r="P542" s="1363"/>
      <c r="Q542" s="1363"/>
      <c r="R542" s="1363"/>
      <c r="S542" s="1363"/>
      <c r="T542" s="1363"/>
      <c r="U542" s="1363" t="s">
        <v>662</v>
      </c>
      <c r="V542" s="1363"/>
      <c r="W542" s="1363"/>
      <c r="X542" s="2908" t="s">
        <v>3319</v>
      </c>
      <c r="Y542" s="432" t="s">
        <v>3320</v>
      </c>
      <c r="Z542" s="1498">
        <v>1</v>
      </c>
      <c r="AA542" s="1498">
        <v>5</v>
      </c>
      <c r="AB542" s="1498">
        <v>13</v>
      </c>
      <c r="AC542" s="1498">
        <v>1</v>
      </c>
      <c r="AD542" s="1498" t="s">
        <v>398</v>
      </c>
      <c r="AE542" s="2909" t="s">
        <v>3321</v>
      </c>
      <c r="AF542" s="1530" t="s">
        <v>444</v>
      </c>
      <c r="AG542" s="1530" t="s">
        <v>444</v>
      </c>
      <c r="AH542" s="1530" t="s">
        <v>444</v>
      </c>
      <c r="AI542" s="1530" t="s">
        <v>444</v>
      </c>
      <c r="AJ542" s="1530" t="s">
        <v>444</v>
      </c>
      <c r="AK542" s="1363"/>
      <c r="AL542" s="1363"/>
      <c r="AM542" s="37"/>
      <c r="AN542" s="37"/>
    </row>
    <row r="543" spans="1:50" s="37" customFormat="1" ht="30.75" customHeight="1" outlineLevel="1">
      <c r="A543" s="1363"/>
      <c r="B543" s="1363"/>
      <c r="C543" s="1363"/>
      <c r="D543" s="1363"/>
      <c r="E543" s="1363"/>
      <c r="F543" s="1363"/>
      <c r="G543" s="1363" t="s">
        <v>325</v>
      </c>
      <c r="H543" s="1363"/>
      <c r="I543" s="1363"/>
      <c r="J543" s="1363"/>
      <c r="K543" s="1363"/>
      <c r="L543" s="1363"/>
      <c r="M543" s="1363"/>
      <c r="N543" s="1363"/>
      <c r="O543" s="1363"/>
      <c r="P543" s="1363"/>
      <c r="Q543" s="1363"/>
      <c r="R543" s="1363"/>
      <c r="S543" s="1363"/>
      <c r="T543" s="1363"/>
      <c r="U543" s="1363" t="s">
        <v>662</v>
      </c>
      <c r="V543" s="1363"/>
      <c r="W543" s="1363"/>
      <c r="X543" s="2910" t="s">
        <v>3322</v>
      </c>
      <c r="Y543" s="1547" t="s">
        <v>3323</v>
      </c>
      <c r="Z543" s="1528">
        <v>1</v>
      </c>
      <c r="AA543" s="1528">
        <v>6</v>
      </c>
      <c r="AB543" s="1528">
        <v>14</v>
      </c>
      <c r="AC543" s="1528">
        <v>1</v>
      </c>
      <c r="AD543" s="1528" t="s">
        <v>398</v>
      </c>
      <c r="AE543" s="2911" t="s">
        <v>3321</v>
      </c>
      <c r="AF543" s="1530" t="s">
        <v>444</v>
      </c>
      <c r="AG543" s="1530" t="s">
        <v>444</v>
      </c>
      <c r="AH543" s="1530" t="s">
        <v>444</v>
      </c>
      <c r="AI543" s="1530" t="s">
        <v>444</v>
      </c>
      <c r="AJ543" s="1530" t="s">
        <v>444</v>
      </c>
      <c r="AK543" s="1363"/>
      <c r="AL543" s="1363"/>
      <c r="AM543" s="1363"/>
      <c r="AN543" s="1363"/>
    </row>
    <row r="544" spans="1:50" s="381" customFormat="1" ht="30.75" customHeight="1" outlineLevel="1">
      <c r="A544" s="1363"/>
      <c r="B544" s="1363"/>
      <c r="C544" s="1363"/>
      <c r="D544" s="1363"/>
      <c r="E544" s="1363"/>
      <c r="F544" s="1363"/>
      <c r="G544" s="1363"/>
      <c r="H544" s="1363"/>
      <c r="I544" s="1363"/>
      <c r="J544" s="1363"/>
      <c r="K544" s="1363"/>
      <c r="L544" s="1363"/>
      <c r="M544" s="1363"/>
      <c r="N544" s="1363"/>
      <c r="O544" s="1363"/>
      <c r="P544" s="1363"/>
      <c r="Q544" s="1363"/>
      <c r="R544" s="1363"/>
      <c r="S544" s="1363"/>
      <c r="T544" s="1363"/>
      <c r="U544" s="1363" t="s">
        <v>662</v>
      </c>
      <c r="V544" s="1363"/>
      <c r="W544" s="1363"/>
      <c r="X544" s="2912" t="s">
        <v>3324</v>
      </c>
      <c r="Y544" s="1547" t="s">
        <v>3325</v>
      </c>
      <c r="Z544" s="1528">
        <v>1</v>
      </c>
      <c r="AA544" s="1528">
        <v>7</v>
      </c>
      <c r="AB544" s="1528">
        <v>15</v>
      </c>
      <c r="AC544" s="1528">
        <v>1</v>
      </c>
      <c r="AD544" s="1528" t="s">
        <v>398</v>
      </c>
      <c r="AE544" s="2913" t="s">
        <v>3326</v>
      </c>
      <c r="AF544" s="1530" t="s">
        <v>398</v>
      </c>
      <c r="AG544" s="1530" t="s">
        <v>398</v>
      </c>
      <c r="AH544" s="1530" t="s">
        <v>398</v>
      </c>
      <c r="AI544" s="1530" t="s">
        <v>398</v>
      </c>
      <c r="AJ544" s="1530" t="s">
        <v>398</v>
      </c>
      <c r="AK544" s="1363">
        <v>20251126</v>
      </c>
      <c r="AL544" s="1363"/>
      <c r="AM544" s="37"/>
      <c r="AN544" s="37"/>
    </row>
    <row r="545" spans="1:40" s="381" customFormat="1" ht="30.75" customHeight="1" outlineLevel="1">
      <c r="A545" s="1363"/>
      <c r="B545" s="1363"/>
      <c r="C545" s="1363"/>
      <c r="D545" s="1363"/>
      <c r="E545" s="1363"/>
      <c r="F545" s="1526"/>
      <c r="G545" s="1363" t="s">
        <v>325</v>
      </c>
      <c r="H545" s="1363"/>
      <c r="I545" s="1363"/>
      <c r="J545" s="1363"/>
      <c r="K545" s="1363"/>
      <c r="L545" s="1363"/>
      <c r="M545" s="1363"/>
      <c r="N545" s="1363"/>
      <c r="O545" s="1363"/>
      <c r="P545" s="1363"/>
      <c r="Q545" s="1363"/>
      <c r="R545" s="1363"/>
      <c r="S545" s="1363"/>
      <c r="T545" s="1363"/>
      <c r="U545" s="1363" t="s">
        <v>662</v>
      </c>
      <c r="V545" s="382"/>
      <c r="W545" s="382"/>
      <c r="X545" s="430" t="s">
        <v>3327</v>
      </c>
      <c r="Y545" s="431" t="s">
        <v>3328</v>
      </c>
      <c r="Z545" s="1528">
        <v>2</v>
      </c>
      <c r="AA545" s="1528">
        <v>0</v>
      </c>
      <c r="AB545" s="1528">
        <v>16</v>
      </c>
      <c r="AC545" s="1528">
        <v>5</v>
      </c>
      <c r="AD545" s="1528" t="s">
        <v>286</v>
      </c>
      <c r="AE545" s="1528" t="s">
        <v>1598</v>
      </c>
      <c r="AF545" s="1530" t="s">
        <v>398</v>
      </c>
      <c r="AG545" s="1530" t="s">
        <v>398</v>
      </c>
      <c r="AH545" s="1530" t="s">
        <v>1599</v>
      </c>
      <c r="AI545" s="1530" t="s">
        <v>398</v>
      </c>
      <c r="AJ545" s="1530" t="s">
        <v>692</v>
      </c>
      <c r="AK545" s="371">
        <v>20251208</v>
      </c>
      <c r="AL545" s="1363" t="s">
        <v>3329</v>
      </c>
    </row>
    <row r="546" spans="1:40" s="381" customFormat="1" ht="30.75" customHeight="1" outlineLevel="1">
      <c r="A546" s="1363"/>
      <c r="B546" s="1363"/>
      <c r="C546" s="1363"/>
      <c r="D546" s="1363"/>
      <c r="E546" s="1363"/>
      <c r="F546" s="1526"/>
      <c r="G546" s="1363" t="s">
        <v>325</v>
      </c>
      <c r="H546" s="1363"/>
      <c r="I546" s="1363"/>
      <c r="J546" s="1363"/>
      <c r="K546" s="1363"/>
      <c r="L546" s="1363"/>
      <c r="M546" s="1363"/>
      <c r="N546" s="1363"/>
      <c r="O546" s="1363"/>
      <c r="P546" s="1363"/>
      <c r="Q546" s="1363"/>
      <c r="R546" s="1363"/>
      <c r="S546" s="1363"/>
      <c r="T546" s="1363"/>
      <c r="U546" s="1363" t="s">
        <v>662</v>
      </c>
      <c r="V546" s="382"/>
      <c r="W546" s="382"/>
      <c r="X546" s="430" t="s">
        <v>3330</v>
      </c>
      <c r="Y546" s="431" t="s">
        <v>3331</v>
      </c>
      <c r="Z546" s="1528">
        <v>3</v>
      </c>
      <c r="AA546" s="1528">
        <v>0</v>
      </c>
      <c r="AB546" s="1528">
        <v>24</v>
      </c>
      <c r="AC546" s="1528">
        <v>6</v>
      </c>
      <c r="AD546" s="1528" t="s">
        <v>286</v>
      </c>
      <c r="AE546" s="1528" t="s">
        <v>1602</v>
      </c>
      <c r="AF546" s="1530" t="s">
        <v>398</v>
      </c>
      <c r="AG546" s="1530" t="s">
        <v>398</v>
      </c>
      <c r="AH546" s="1530" t="s">
        <v>801</v>
      </c>
      <c r="AI546" s="1530" t="s">
        <v>398</v>
      </c>
      <c r="AJ546" s="1530" t="s">
        <v>1603</v>
      </c>
      <c r="AK546" s="371">
        <v>20251208</v>
      </c>
      <c r="AL546" s="1363" t="s">
        <v>3329</v>
      </c>
    </row>
    <row r="547" spans="1:40" ht="60.75" customHeight="1" outlineLevel="1">
      <c r="A547" s="1363"/>
      <c r="B547" s="1363"/>
      <c r="C547" s="1363"/>
      <c r="D547" s="1363"/>
      <c r="E547" s="1363"/>
      <c r="F547" s="1526"/>
      <c r="G547" s="1363"/>
      <c r="H547" s="1363"/>
      <c r="I547" s="1363"/>
      <c r="J547" s="1363"/>
      <c r="K547" s="1363"/>
      <c r="L547" s="1363"/>
      <c r="M547" s="1363"/>
      <c r="N547" s="1363"/>
      <c r="O547" s="1363"/>
      <c r="P547" s="1363"/>
      <c r="Q547" s="1363"/>
      <c r="R547" s="1363"/>
      <c r="S547" s="1363"/>
      <c r="T547" s="1363"/>
      <c r="U547" s="1363"/>
      <c r="V547" s="382"/>
      <c r="W547" s="382"/>
      <c r="X547" s="1528" t="s">
        <v>1593</v>
      </c>
      <c r="Y547" s="431" t="s">
        <v>1594</v>
      </c>
      <c r="Z547" s="1528">
        <v>3</v>
      </c>
      <c r="AA547" s="1528">
        <v>6</v>
      </c>
      <c r="AB547" s="1528">
        <v>30</v>
      </c>
      <c r="AC547" s="1528">
        <v>2</v>
      </c>
      <c r="AD547" s="1528" t="s">
        <v>398</v>
      </c>
      <c r="AE547" s="2914" t="s">
        <v>3332</v>
      </c>
      <c r="AF547" s="1530" t="s">
        <v>398</v>
      </c>
      <c r="AG547" s="1530" t="s">
        <v>398</v>
      </c>
      <c r="AH547" s="1530" t="s">
        <v>398</v>
      </c>
      <c r="AI547" s="1530" t="s">
        <v>398</v>
      </c>
      <c r="AJ547" s="1530" t="s">
        <v>398</v>
      </c>
      <c r="AK547" s="371">
        <v>20251216</v>
      </c>
      <c r="AL547" s="1363" t="s">
        <v>3329</v>
      </c>
      <c r="AM547" s="381"/>
      <c r="AN547" s="381"/>
    </row>
    <row r="548" spans="1:40" ht="30.75" customHeight="1" outlineLevel="1">
      <c r="A548" s="1363"/>
      <c r="B548" s="1363"/>
      <c r="C548" s="1363"/>
      <c r="D548" s="1363"/>
      <c r="E548" s="1363"/>
      <c r="F548" s="1526"/>
      <c r="G548" s="1363" t="s">
        <v>325</v>
      </c>
      <c r="H548" s="1363"/>
      <c r="I548" s="1363"/>
      <c r="J548" s="1363"/>
      <c r="K548" s="1363"/>
      <c r="L548" s="1363"/>
      <c r="M548" s="1363"/>
      <c r="N548" s="1363"/>
      <c r="O548" s="1363"/>
      <c r="P548" s="1363"/>
      <c r="Q548" s="1363"/>
      <c r="R548" s="1363"/>
      <c r="S548" s="1363"/>
      <c r="T548" s="1363"/>
      <c r="U548" s="1363" t="s">
        <v>662</v>
      </c>
      <c r="V548" s="382"/>
      <c r="W548" s="382"/>
      <c r="X548" s="430" t="s">
        <v>3333</v>
      </c>
      <c r="Y548" s="431" t="s">
        <v>3334</v>
      </c>
      <c r="Z548" s="1528">
        <v>4</v>
      </c>
      <c r="AA548" s="1528">
        <v>0</v>
      </c>
      <c r="AB548" s="1528">
        <v>32</v>
      </c>
      <c r="AC548" s="1528">
        <v>5</v>
      </c>
      <c r="AD548" s="1528" t="s">
        <v>286</v>
      </c>
      <c r="AE548" s="1528" t="s">
        <v>1598</v>
      </c>
      <c r="AF548" s="1530" t="s">
        <v>398</v>
      </c>
      <c r="AG548" s="1530" t="s">
        <v>398</v>
      </c>
      <c r="AH548" s="1530" t="s">
        <v>1599</v>
      </c>
      <c r="AI548" s="1530" t="s">
        <v>398</v>
      </c>
      <c r="AJ548" s="1530" t="s">
        <v>692</v>
      </c>
      <c r="AK548" s="371">
        <v>20251208</v>
      </c>
      <c r="AL548" s="1363" t="s">
        <v>3329</v>
      </c>
      <c r="AM548" s="1363"/>
      <c r="AN548" s="1363"/>
    </row>
    <row r="549" spans="1:40" ht="30.75" customHeight="1" outlineLevel="1">
      <c r="A549" s="1363"/>
      <c r="B549" s="1363"/>
      <c r="C549" s="1363"/>
      <c r="D549" s="1363"/>
      <c r="E549" s="1363"/>
      <c r="F549" s="1526"/>
      <c r="G549" s="1363" t="s">
        <v>325</v>
      </c>
      <c r="H549" s="1363"/>
      <c r="I549" s="1363"/>
      <c r="J549" s="1363"/>
      <c r="K549" s="1363"/>
      <c r="L549" s="1363"/>
      <c r="M549" s="1363"/>
      <c r="N549" s="1363"/>
      <c r="O549" s="1363"/>
      <c r="P549" s="1363"/>
      <c r="Q549" s="1363"/>
      <c r="R549" s="1363"/>
      <c r="S549" s="1363"/>
      <c r="T549" s="1363"/>
      <c r="U549" s="1363" t="s">
        <v>662</v>
      </c>
      <c r="V549" s="382"/>
      <c r="W549" s="382"/>
      <c r="X549" s="1443" t="s">
        <v>3335</v>
      </c>
      <c r="Y549" s="456" t="s">
        <v>3336</v>
      </c>
      <c r="Z549" s="1510">
        <v>5</v>
      </c>
      <c r="AA549" s="1510">
        <v>0</v>
      </c>
      <c r="AB549" s="1510">
        <v>40</v>
      </c>
      <c r="AC549" s="1510">
        <v>6</v>
      </c>
      <c r="AD549" s="1510" t="s">
        <v>286</v>
      </c>
      <c r="AE549" s="1510" t="s">
        <v>1602</v>
      </c>
      <c r="AF549" s="1498" t="s">
        <v>398</v>
      </c>
      <c r="AG549" s="1498" t="s">
        <v>398</v>
      </c>
      <c r="AH549" s="1498" t="s">
        <v>801</v>
      </c>
      <c r="AI549" s="1498" t="s">
        <v>398</v>
      </c>
      <c r="AJ549" s="1498" t="s">
        <v>1603</v>
      </c>
      <c r="AK549" s="371">
        <v>20251208</v>
      </c>
      <c r="AL549" s="1363" t="s">
        <v>3329</v>
      </c>
      <c r="AM549" s="1363"/>
      <c r="AN549" s="1363"/>
    </row>
    <row r="550" spans="1:40" ht="60.75" customHeight="1" outlineLevel="1">
      <c r="A550" s="1363"/>
      <c r="B550" s="1363"/>
      <c r="C550" s="1363"/>
      <c r="D550" s="1363"/>
      <c r="E550" s="1363"/>
      <c r="F550" s="1363"/>
      <c r="G550" s="1363" t="s">
        <v>325</v>
      </c>
      <c r="H550" s="1363"/>
      <c r="I550" s="1363"/>
      <c r="J550" s="1363"/>
      <c r="K550" s="1363"/>
      <c r="L550" s="1363"/>
      <c r="M550" s="1363"/>
      <c r="N550" s="1363"/>
      <c r="O550" s="1363"/>
      <c r="P550" s="1363"/>
      <c r="Q550" s="1363"/>
      <c r="R550" s="1363"/>
      <c r="S550" s="1363"/>
      <c r="T550" s="1363"/>
      <c r="U550" s="1363"/>
      <c r="V550" s="1363"/>
      <c r="W550" s="1363"/>
      <c r="X550" s="2915" t="s">
        <v>3337</v>
      </c>
      <c r="Y550" s="431" t="s">
        <v>3338</v>
      </c>
      <c r="Z550" s="1528">
        <v>6</v>
      </c>
      <c r="AA550" s="1528">
        <v>0</v>
      </c>
      <c r="AB550" s="1502">
        <v>48</v>
      </c>
      <c r="AC550" s="1528">
        <v>2</v>
      </c>
      <c r="AD550" s="1528" t="s">
        <v>286</v>
      </c>
      <c r="AE550" s="2916" t="s">
        <v>3177</v>
      </c>
      <c r="AF550" s="1528" t="s">
        <v>398</v>
      </c>
      <c r="AG550" s="1528" t="s">
        <v>398</v>
      </c>
      <c r="AH550" s="1528" t="s">
        <v>398</v>
      </c>
      <c r="AI550" s="1528" t="s">
        <v>398</v>
      </c>
      <c r="AJ550" s="1528" t="s">
        <v>398</v>
      </c>
      <c r="AK550" s="1445">
        <v>20251126</v>
      </c>
      <c r="AL550" s="377" t="s">
        <v>2938</v>
      </c>
      <c r="AM550" s="1363"/>
      <c r="AN550" s="1363"/>
    </row>
    <row r="551" spans="1:40" ht="43.5" customHeight="1" outlineLevel="1">
      <c r="A551" s="1363"/>
      <c r="B551" s="1363"/>
      <c r="C551" s="1363"/>
      <c r="D551" s="1363"/>
      <c r="E551" s="1363"/>
      <c r="F551" s="1363"/>
      <c r="G551" s="1363"/>
      <c r="H551" s="1363"/>
      <c r="I551" s="1363"/>
      <c r="J551" s="1363"/>
      <c r="K551" s="1363"/>
      <c r="L551" s="1363"/>
      <c r="M551" s="1363"/>
      <c r="N551" s="1363"/>
      <c r="O551" s="1363"/>
      <c r="P551" s="1363"/>
      <c r="Q551" s="1363"/>
      <c r="R551" s="1363"/>
      <c r="S551" s="1363"/>
      <c r="T551" s="1363"/>
      <c r="U551" s="1363"/>
      <c r="V551" s="1363"/>
      <c r="W551" s="1363"/>
      <c r="X551" s="2917" t="s">
        <v>3339</v>
      </c>
      <c r="Y551" s="1547" t="s">
        <v>3340</v>
      </c>
      <c r="Z551" s="1528">
        <v>6</v>
      </c>
      <c r="AA551" s="1528">
        <v>2</v>
      </c>
      <c r="AB551" s="1502">
        <v>50</v>
      </c>
      <c r="AC551" s="1528">
        <v>2</v>
      </c>
      <c r="AD551" s="1528" t="s">
        <v>286</v>
      </c>
      <c r="AE551" s="2918" t="s">
        <v>3341</v>
      </c>
      <c r="AF551" s="1528"/>
      <c r="AG551" s="1528"/>
      <c r="AH551" s="1528"/>
      <c r="AI551" s="1528"/>
      <c r="AJ551" s="1528"/>
      <c r="AK551" s="816"/>
      <c r="AL551" s="1363"/>
      <c r="AM551" s="1363"/>
      <c r="AN551" s="1363"/>
    </row>
    <row r="552" spans="1:40" ht="29.25" customHeight="1" outlineLevel="1">
      <c r="A552" s="1363"/>
      <c r="B552" s="1363"/>
      <c r="C552" s="1363"/>
      <c r="D552" s="1363"/>
      <c r="E552" s="1363"/>
      <c r="F552" s="1363"/>
      <c r="G552" s="1363"/>
      <c r="H552" s="1363"/>
      <c r="I552" s="1363"/>
      <c r="J552" s="1363"/>
      <c r="K552" s="1363"/>
      <c r="L552" s="1363"/>
      <c r="M552" s="1363"/>
      <c r="N552" s="1363"/>
      <c r="O552" s="1363"/>
      <c r="P552" s="1363"/>
      <c r="Q552" s="1363"/>
      <c r="R552" s="1363"/>
      <c r="S552" s="1363"/>
      <c r="T552" s="1363"/>
      <c r="U552" s="1363"/>
      <c r="V552" s="1363"/>
      <c r="W552" s="1363"/>
      <c r="X552" s="2919" t="s">
        <v>3342</v>
      </c>
      <c r="Y552" s="1547" t="s">
        <v>3343</v>
      </c>
      <c r="Z552" s="1528">
        <v>6</v>
      </c>
      <c r="AA552" s="1528">
        <v>4</v>
      </c>
      <c r="AB552" s="1528">
        <v>52</v>
      </c>
      <c r="AC552" s="1527">
        <v>1</v>
      </c>
      <c r="AD552" s="1527" t="s">
        <v>286</v>
      </c>
      <c r="AE552" s="2920" t="s">
        <v>3344</v>
      </c>
      <c r="AF552" s="1530"/>
      <c r="AG552" s="1530"/>
      <c r="AH552" s="1530"/>
      <c r="AI552" s="1530"/>
      <c r="AJ552" s="1530"/>
      <c r="AK552" s="371"/>
      <c r="AL552" s="1363"/>
      <c r="AM552" s="1363"/>
      <c r="AN552" s="1363"/>
    </row>
    <row r="553" spans="1:40" ht="29.25" customHeight="1" outlineLevel="1">
      <c r="A553" s="1363"/>
      <c r="B553" s="1363"/>
      <c r="C553" s="1363"/>
      <c r="D553" s="1363"/>
      <c r="E553" s="1363"/>
      <c r="F553" s="1363"/>
      <c r="G553" s="1363"/>
      <c r="H553" s="1363"/>
      <c r="I553" s="1363"/>
      <c r="J553" s="1363"/>
      <c r="K553" s="1363"/>
      <c r="L553" s="1363"/>
      <c r="M553" s="1363"/>
      <c r="N553" s="1363"/>
      <c r="O553" s="1363"/>
      <c r="P553" s="1363"/>
      <c r="Q553" s="1363"/>
      <c r="R553" s="1363"/>
      <c r="S553" s="1363"/>
      <c r="T553" s="1363"/>
      <c r="U553" s="1363"/>
      <c r="V553" s="1363"/>
      <c r="W553" s="1363"/>
      <c r="X553" s="2921" t="s">
        <v>3345</v>
      </c>
      <c r="Y553" s="1547" t="s">
        <v>3346</v>
      </c>
      <c r="Z553" s="1528">
        <v>6</v>
      </c>
      <c r="AA553" s="1528">
        <v>5</v>
      </c>
      <c r="AB553" s="1528">
        <v>53</v>
      </c>
      <c r="AC553" s="1527">
        <v>1</v>
      </c>
      <c r="AD553" s="1527" t="s">
        <v>286</v>
      </c>
      <c r="AE553" s="2922" t="s">
        <v>3347</v>
      </c>
      <c r="AF553" s="1530"/>
      <c r="AG553" s="1530"/>
      <c r="AH553" s="1530"/>
      <c r="AI553" s="1530"/>
      <c r="AJ553" s="1530"/>
      <c r="AK553" s="371"/>
      <c r="AL553" s="1363"/>
      <c r="AM553" s="1363"/>
      <c r="AN553" s="1363"/>
    </row>
    <row r="554" spans="1:40" ht="29.25" customHeight="1" outlineLevel="1">
      <c r="A554" s="1363"/>
      <c r="B554" s="1363"/>
      <c r="C554" s="1363"/>
      <c r="D554" s="1363"/>
      <c r="E554" s="1363"/>
      <c r="F554" s="1363"/>
      <c r="G554" s="1363" t="s">
        <v>325</v>
      </c>
      <c r="H554" s="1363"/>
      <c r="I554" s="1363"/>
      <c r="J554" s="1363"/>
      <c r="K554" s="1363"/>
      <c r="L554" s="1363"/>
      <c r="M554" s="1363"/>
      <c r="N554" s="1363"/>
      <c r="O554" s="1363"/>
      <c r="P554" s="1363"/>
      <c r="Q554" s="1363"/>
      <c r="R554" s="1363"/>
      <c r="S554" s="1363"/>
      <c r="T554" s="1363"/>
      <c r="U554" s="1363"/>
      <c r="V554" s="1363"/>
      <c r="W554" s="1363"/>
      <c r="X554" s="2923" t="s">
        <v>3348</v>
      </c>
      <c r="Y554" s="1547" t="s">
        <v>3349</v>
      </c>
      <c r="Z554" s="1528">
        <v>7</v>
      </c>
      <c r="AA554" s="1528">
        <v>0</v>
      </c>
      <c r="AB554" s="1528">
        <v>56</v>
      </c>
      <c r="AC554" s="1527">
        <v>8</v>
      </c>
      <c r="AD554" s="1527" t="s">
        <v>335</v>
      </c>
      <c r="AE554" s="1527" t="s">
        <v>3350</v>
      </c>
      <c r="AF554" s="1530" t="s">
        <v>398</v>
      </c>
      <c r="AG554" s="1530" t="s">
        <v>398</v>
      </c>
      <c r="AH554" s="1530" t="s">
        <v>398</v>
      </c>
      <c r="AI554" s="1530" t="s">
        <v>398</v>
      </c>
      <c r="AJ554" s="1530" t="s">
        <v>398</v>
      </c>
      <c r="AK554" s="371">
        <v>20250818</v>
      </c>
      <c r="AL554" s="1363"/>
      <c r="AM554" s="1363"/>
      <c r="AN554" s="1363"/>
    </row>
    <row r="555" spans="1:40" s="1232" customFormat="1" ht="52.5" customHeight="1">
      <c r="A555" s="1233">
        <v>27</v>
      </c>
      <c r="B555" s="1233" t="s">
        <v>3351</v>
      </c>
      <c r="C555" s="1233" t="s">
        <v>3352</v>
      </c>
      <c r="D555" s="1233" t="s">
        <v>259</v>
      </c>
      <c r="E555" s="1233">
        <v>8</v>
      </c>
      <c r="F555" s="1233" t="s">
        <v>260</v>
      </c>
      <c r="G555" s="1234" t="s">
        <v>325</v>
      </c>
      <c r="H555" s="1233"/>
      <c r="I555" s="1233"/>
      <c r="J555" s="1233"/>
      <c r="K555" s="1233"/>
      <c r="L555" s="1233"/>
      <c r="M555" s="1233"/>
      <c r="N555" s="1233"/>
      <c r="O555" s="1233"/>
      <c r="P555" s="1233"/>
      <c r="Q555" s="1233" t="s">
        <v>261</v>
      </c>
      <c r="R555" s="1233"/>
      <c r="S555" s="1233"/>
      <c r="T555" s="1233"/>
      <c r="U555" s="1233"/>
      <c r="V555" s="1235"/>
      <c r="W555" s="1235"/>
      <c r="X555" s="1235" t="s">
        <v>3353</v>
      </c>
      <c r="Y555" s="1235"/>
      <c r="Z555" s="1233"/>
      <c r="AA555" s="1233"/>
      <c r="AB555" s="1238">
        <f>Z555*8+AA555</f>
        <v>0</v>
      </c>
      <c r="AC555" s="1233"/>
      <c r="AD555" s="1233"/>
      <c r="AE555" s="1235" t="s">
        <v>3354</v>
      </c>
      <c r="AF555" s="1233"/>
      <c r="AG555" s="1233"/>
      <c r="AH555" s="1233"/>
      <c r="AI555" s="1243"/>
      <c r="AJ555" s="1243"/>
      <c r="AK555" s="1237"/>
      <c r="AL555" s="1237"/>
      <c r="AM555" s="1237"/>
      <c r="AN555" s="1237"/>
    </row>
    <row r="556" spans="1:40" ht="105.75" customHeight="1" outlineLevel="1">
      <c r="A556" s="1363"/>
      <c r="B556" s="1363"/>
      <c r="C556" s="1363"/>
      <c r="D556" s="1363"/>
      <c r="E556" s="1363"/>
      <c r="F556" s="1363"/>
      <c r="G556" s="1363" t="s">
        <v>325</v>
      </c>
      <c r="H556" s="1500"/>
      <c r="I556" s="1500"/>
      <c r="J556" s="1500"/>
      <c r="K556" s="1500"/>
      <c r="L556" s="1500"/>
      <c r="M556" s="1500"/>
      <c r="N556" s="1500"/>
      <c r="O556" s="1500"/>
      <c r="P556" s="1500"/>
      <c r="Q556" s="1500"/>
      <c r="R556" s="1500"/>
      <c r="S556" s="1500"/>
      <c r="T556" s="1500"/>
      <c r="U556" s="1363"/>
      <c r="V556" s="117"/>
      <c r="W556" s="117"/>
      <c r="X556" s="2924" t="s">
        <v>3355</v>
      </c>
      <c r="Y556" s="1547" t="s">
        <v>3356</v>
      </c>
      <c r="Z556" s="454">
        <v>0</v>
      </c>
      <c r="AA556" s="1512">
        <v>0</v>
      </c>
      <c r="AB556" s="1548">
        <f>Z556*8+AA556</f>
        <v>0</v>
      </c>
      <c r="AC556" s="1512">
        <v>3</v>
      </c>
      <c r="AD556" s="1512"/>
      <c r="AE556" s="2925" t="s">
        <v>3357</v>
      </c>
      <c r="AF556" s="1512"/>
      <c r="AG556" s="1512"/>
      <c r="AH556" s="1512"/>
      <c r="AI556" s="1512"/>
      <c r="AJ556" s="1512"/>
      <c r="AK556" s="1500">
        <v>20240828</v>
      </c>
      <c r="AL556" s="364"/>
      <c r="AM556" s="1363"/>
      <c r="AN556" s="1363"/>
    </row>
    <row r="557" spans="1:40" ht="14.25" customHeight="1" outlineLevel="1">
      <c r="A557" s="1363"/>
      <c r="B557" s="1363"/>
      <c r="C557" s="1363"/>
      <c r="D557" s="1363"/>
      <c r="E557" s="1363"/>
      <c r="F557" s="1363"/>
      <c r="G557" s="1363"/>
      <c r="H557" s="1500"/>
      <c r="I557" s="1500"/>
      <c r="J557" s="1500"/>
      <c r="K557" s="1500"/>
      <c r="L557" s="1500"/>
      <c r="M557" s="1500"/>
      <c r="N557" s="1500"/>
      <c r="O557" s="1500"/>
      <c r="P557" s="1500"/>
      <c r="Q557" s="1500"/>
      <c r="R557" s="1500"/>
      <c r="S557" s="1500"/>
      <c r="T557" s="1500"/>
      <c r="U557" s="1363"/>
      <c r="V557" s="117"/>
      <c r="W557" s="117"/>
      <c r="X557" s="2926" t="s">
        <v>3358</v>
      </c>
      <c r="Y557" s="1539" t="s">
        <v>3359</v>
      </c>
      <c r="Z557" s="454">
        <v>0</v>
      </c>
      <c r="AA557" s="1512">
        <v>3</v>
      </c>
      <c r="AB557" s="1548">
        <f>Z557*8+AA557</f>
        <v>3</v>
      </c>
      <c r="AC557" s="1512">
        <v>1</v>
      </c>
      <c r="AD557" s="1512"/>
      <c r="AE557" s="2927" t="s">
        <v>3360</v>
      </c>
      <c r="AF557" s="1512"/>
      <c r="AG557" s="1512"/>
      <c r="AH557" s="1512"/>
      <c r="AI557" s="1512"/>
      <c r="AJ557" s="1512"/>
      <c r="AK557" s="1500">
        <v>20240828</v>
      </c>
      <c r="AL557" s="364" t="s">
        <v>3329</v>
      </c>
      <c r="AM557" s="1363"/>
      <c r="AN557" s="1363"/>
    </row>
    <row r="558" spans="1:40" ht="14.25" customHeight="1" outlineLevel="1">
      <c r="A558" s="1363"/>
      <c r="B558" s="1363"/>
      <c r="C558" s="1363"/>
      <c r="D558" s="1363"/>
      <c r="E558" s="1363"/>
      <c r="F558" s="1363"/>
      <c r="G558" s="1363"/>
      <c r="H558" s="1500"/>
      <c r="I558" s="1500"/>
      <c r="J558" s="1500"/>
      <c r="K558" s="1500"/>
      <c r="L558" s="1500"/>
      <c r="M558" s="1500"/>
      <c r="N558" s="1500"/>
      <c r="O558" s="1500"/>
      <c r="P558" s="1500"/>
      <c r="Q558" s="1500"/>
      <c r="R558" s="1500"/>
      <c r="S558" s="1500"/>
      <c r="T558" s="1500"/>
      <c r="U558" s="1363"/>
      <c r="V558" s="117"/>
      <c r="W558" s="117"/>
      <c r="X558" s="1539"/>
      <c r="Y558" s="117"/>
      <c r="Z558" s="1363"/>
      <c r="AA558" s="1363"/>
      <c r="AB558" s="1363"/>
      <c r="AC558" s="1363"/>
      <c r="AD558" s="1363"/>
      <c r="AE558" s="1363"/>
      <c r="AF558" s="1363"/>
      <c r="AG558" s="1363"/>
      <c r="AH558" s="1363"/>
      <c r="AI558" s="1363"/>
      <c r="AJ558" s="1363"/>
      <c r="AK558" s="1363"/>
      <c r="AL558" s="364"/>
      <c r="AM558" s="1363"/>
      <c r="AN558" s="1363"/>
    </row>
    <row r="559" spans="1:40" ht="14.25" customHeight="1" outlineLevel="1">
      <c r="A559" s="1363"/>
      <c r="B559" s="1363"/>
      <c r="C559" s="1363"/>
      <c r="D559" s="1363"/>
      <c r="E559" s="1363"/>
      <c r="F559" s="1363"/>
      <c r="G559" s="1363"/>
      <c r="H559" s="1500"/>
      <c r="I559" s="1500"/>
      <c r="J559" s="1500"/>
      <c r="K559" s="1500"/>
      <c r="L559" s="1500"/>
      <c r="M559" s="1500"/>
      <c r="N559" s="1500"/>
      <c r="O559" s="1500"/>
      <c r="P559" s="1500"/>
      <c r="Q559" s="1500"/>
      <c r="R559" s="1500"/>
      <c r="S559" s="1500"/>
      <c r="T559" s="1500"/>
      <c r="U559" s="1363"/>
      <c r="V559" s="117"/>
      <c r="W559" s="117"/>
      <c r="X559" s="1539"/>
      <c r="Y559" s="117"/>
      <c r="Z559" s="1363"/>
      <c r="AA559" s="1363"/>
      <c r="AB559" s="1363"/>
      <c r="AC559" s="1363"/>
      <c r="AD559" s="1363"/>
      <c r="AE559" s="1363"/>
      <c r="AF559" s="1363"/>
      <c r="AG559" s="1363"/>
      <c r="AH559" s="1363"/>
      <c r="AI559" s="1363"/>
      <c r="AJ559" s="1363"/>
      <c r="AK559" s="1363"/>
      <c r="AL559" s="364"/>
      <c r="AM559" s="1363"/>
      <c r="AN559" s="1363"/>
    </row>
    <row r="560" spans="1:40" ht="14.25" customHeight="1" outlineLevel="1">
      <c r="A560" s="1363"/>
      <c r="B560" s="1363"/>
      <c r="C560" s="1363"/>
      <c r="D560" s="1363"/>
      <c r="E560" s="1363"/>
      <c r="F560" s="1363"/>
      <c r="G560" s="1363"/>
      <c r="H560" s="1500"/>
      <c r="I560" s="1500"/>
      <c r="J560" s="1500"/>
      <c r="K560" s="1500"/>
      <c r="L560" s="1500"/>
      <c r="M560" s="1500"/>
      <c r="N560" s="1500"/>
      <c r="O560" s="1500"/>
      <c r="P560" s="1500"/>
      <c r="Q560" s="1500"/>
      <c r="R560" s="1500"/>
      <c r="S560" s="1500"/>
      <c r="T560" s="1500"/>
      <c r="U560" s="1363"/>
      <c r="V560" s="117"/>
      <c r="W560" s="117"/>
      <c r="X560" s="1539"/>
      <c r="Y560" s="117"/>
      <c r="Z560" s="1363"/>
      <c r="AA560" s="1363"/>
      <c r="AB560" s="1363"/>
      <c r="AC560" s="1363"/>
      <c r="AD560" s="1363"/>
      <c r="AE560" s="1363"/>
      <c r="AF560" s="1363"/>
      <c r="AG560" s="1363"/>
      <c r="AH560" s="1363"/>
      <c r="AI560" s="1363"/>
      <c r="AJ560" s="1363"/>
      <c r="AK560" s="1363"/>
      <c r="AL560" s="364"/>
      <c r="AM560" s="1363"/>
      <c r="AN560" s="1363"/>
    </row>
    <row r="561" spans="1:40" ht="14.25" customHeight="1" outlineLevel="1">
      <c r="A561" s="1363"/>
      <c r="B561" s="1363"/>
      <c r="C561" s="1363"/>
      <c r="D561" s="1363"/>
      <c r="E561" s="1363"/>
      <c r="F561" s="1363"/>
      <c r="G561" s="1363" t="s">
        <v>325</v>
      </c>
      <c r="H561" s="1500"/>
      <c r="I561" s="1500"/>
      <c r="J561" s="1500"/>
      <c r="K561" s="1500"/>
      <c r="L561" s="1500"/>
      <c r="M561" s="1500"/>
      <c r="N561" s="1500"/>
      <c r="O561" s="1500"/>
      <c r="P561" s="1500"/>
      <c r="Q561" s="1500"/>
      <c r="R561" s="1500"/>
      <c r="S561" s="1500"/>
      <c r="T561" s="1500"/>
      <c r="U561" s="1363"/>
      <c r="V561" s="117"/>
      <c r="W561" s="117"/>
      <c r="X561" s="2928" t="s">
        <v>3348</v>
      </c>
      <c r="Y561" s="684" t="s">
        <v>3361</v>
      </c>
      <c r="Z561" s="670">
        <v>7</v>
      </c>
      <c r="AA561" s="1548">
        <v>0</v>
      </c>
      <c r="AB561" s="1548">
        <f>Z561*8+AA561</f>
        <v>56</v>
      </c>
      <c r="AC561" s="1548">
        <v>8</v>
      </c>
      <c r="AD561" s="1548" t="s">
        <v>286</v>
      </c>
      <c r="AE561" s="1539" t="s">
        <v>3362</v>
      </c>
      <c r="AF561" s="1548"/>
      <c r="AG561" s="1548"/>
      <c r="AH561" s="1548"/>
      <c r="AI561" s="1548"/>
      <c r="AJ561" s="1548"/>
      <c r="AK561" s="1500"/>
      <c r="AL561" s="364"/>
      <c r="AM561" s="1363"/>
      <c r="AN561" s="1363"/>
    </row>
    <row r="563" spans="1:40" s="1232" customFormat="1" ht="18" customHeight="1">
      <c r="A563" s="1233">
        <v>45</v>
      </c>
      <c r="B563" s="1233" t="s">
        <v>3363</v>
      </c>
      <c r="C563" s="1233" t="s">
        <v>3364</v>
      </c>
      <c r="D563" s="1233" t="s">
        <v>922</v>
      </c>
      <c r="E563" s="1233">
        <v>8</v>
      </c>
      <c r="F563" s="1233" t="s">
        <v>260</v>
      </c>
      <c r="G563" s="1234" t="s">
        <v>325</v>
      </c>
      <c r="H563" s="1233"/>
      <c r="I563" s="1233"/>
      <c r="J563" s="1233"/>
      <c r="K563" s="1233"/>
      <c r="L563" s="1233"/>
      <c r="M563" s="1233"/>
      <c r="N563" s="1233" t="s">
        <v>325</v>
      </c>
      <c r="O563" s="1233" t="s">
        <v>261</v>
      </c>
      <c r="P563" s="1233"/>
      <c r="Q563" s="1233"/>
      <c r="R563" s="1233"/>
      <c r="S563" s="1233"/>
      <c r="T563" s="1233"/>
      <c r="U563" s="1233"/>
      <c r="V563" s="1235"/>
      <c r="W563" s="1235"/>
      <c r="X563" s="1235" t="s">
        <v>3365</v>
      </c>
      <c r="Y563" s="1235"/>
      <c r="Z563" s="1233"/>
      <c r="AA563" s="1233"/>
      <c r="AB563" s="1233"/>
      <c r="AC563" s="1233"/>
      <c r="AD563" s="1233"/>
      <c r="AE563" s="1244"/>
      <c r="AF563" s="1233"/>
      <c r="AG563" s="1233"/>
      <c r="AH563" s="1233"/>
      <c r="AI563" s="1233"/>
      <c r="AJ563" s="1233"/>
      <c r="AK563" s="1236"/>
      <c r="AL563" s="1237"/>
      <c r="AM563" s="1237"/>
      <c r="AN563" s="1237"/>
    </row>
    <row r="564" spans="1:40" ht="30.75" customHeight="1" outlineLevel="1">
      <c r="A564" s="1363"/>
      <c r="B564" s="1363"/>
      <c r="C564" s="1363"/>
      <c r="D564" s="1363"/>
      <c r="E564" s="1363"/>
      <c r="F564" s="1363"/>
      <c r="G564" s="1363" t="s">
        <v>325</v>
      </c>
      <c r="H564" s="1500"/>
      <c r="I564" s="1500"/>
      <c r="J564" s="1500"/>
      <c r="K564" s="1500"/>
      <c r="L564" s="1500"/>
      <c r="M564" s="1500"/>
      <c r="N564" s="1500"/>
      <c r="O564" s="1500"/>
      <c r="P564" s="1500"/>
      <c r="Q564" s="1500"/>
      <c r="R564" s="1500"/>
      <c r="S564" s="1500"/>
      <c r="T564" s="1500"/>
      <c r="U564" s="1363"/>
      <c r="V564" s="117"/>
      <c r="W564" s="117"/>
      <c r="X564" s="2929" t="s">
        <v>3366</v>
      </c>
      <c r="Y564" s="1543" t="s">
        <v>3367</v>
      </c>
      <c r="Z564" s="454">
        <v>0</v>
      </c>
      <c r="AA564" s="1512">
        <v>0</v>
      </c>
      <c r="AB564" s="1548">
        <f t="shared" ref="AB564:AB583" si="1">Z564*8+AA564</f>
        <v>0</v>
      </c>
      <c r="AC564" s="1512">
        <v>16</v>
      </c>
      <c r="AD564" s="1527"/>
      <c r="AE564" s="1527"/>
      <c r="AF564" s="1538">
        <v>0.1</v>
      </c>
      <c r="AG564" s="1538">
        <v>0</v>
      </c>
      <c r="AH564" s="1538"/>
      <c r="AI564" s="1538" t="s">
        <v>617</v>
      </c>
      <c r="AJ564" s="156" t="s">
        <v>1007</v>
      </c>
      <c r="AK564" s="1500"/>
      <c r="AL564" s="364"/>
      <c r="AM564" s="1363"/>
      <c r="AN564" s="1363"/>
    </row>
    <row r="565" spans="1:40" ht="30.75" customHeight="1" outlineLevel="1">
      <c r="A565" s="1363"/>
      <c r="B565" s="1363"/>
      <c r="C565" s="1363"/>
      <c r="D565" s="1363"/>
      <c r="E565" s="1363"/>
      <c r="F565" s="1363"/>
      <c r="G565" s="1363" t="s">
        <v>325</v>
      </c>
      <c r="H565" s="1500"/>
      <c r="I565" s="1500"/>
      <c r="J565" s="1500"/>
      <c r="K565" s="1500"/>
      <c r="L565" s="1500"/>
      <c r="M565" s="1500"/>
      <c r="N565" s="1500"/>
      <c r="O565" s="1500"/>
      <c r="P565" s="1500"/>
      <c r="Q565" s="1500"/>
      <c r="R565" s="1500"/>
      <c r="S565" s="1500"/>
      <c r="T565" s="1500"/>
      <c r="U565" s="1363"/>
      <c r="V565" s="117"/>
      <c r="W565" s="117"/>
      <c r="X565" s="2930" t="s">
        <v>3368</v>
      </c>
      <c r="Y565" s="1543" t="s">
        <v>3369</v>
      </c>
      <c r="Z565" s="670">
        <v>2</v>
      </c>
      <c r="AA565" s="1548">
        <v>0</v>
      </c>
      <c r="AB565" s="1548">
        <f t="shared" si="1"/>
        <v>16</v>
      </c>
      <c r="AC565" s="1548">
        <v>16</v>
      </c>
      <c r="AD565" s="1528"/>
      <c r="AE565" s="1528"/>
      <c r="AF565" s="1539">
        <v>0.1</v>
      </c>
      <c r="AG565" s="1539">
        <v>0</v>
      </c>
      <c r="AH565" s="1539"/>
      <c r="AI565" s="1539" t="s">
        <v>617</v>
      </c>
      <c r="AJ565" s="668" t="s">
        <v>98</v>
      </c>
      <c r="AK565" s="1500"/>
      <c r="AL565" s="364"/>
      <c r="AM565" s="1363"/>
      <c r="AN565" s="1363"/>
    </row>
    <row r="566" spans="1:40" ht="30.75" customHeight="1" outlineLevel="1">
      <c r="A566" s="1363"/>
      <c r="B566" s="1363"/>
      <c r="C566" s="1363"/>
      <c r="D566" s="1363"/>
      <c r="E566" s="1363"/>
      <c r="F566" s="1363"/>
      <c r="G566" s="1363" t="s">
        <v>325</v>
      </c>
      <c r="H566" s="1500"/>
      <c r="I566" s="1500"/>
      <c r="J566" s="1500"/>
      <c r="K566" s="1500"/>
      <c r="L566" s="1500"/>
      <c r="M566" s="1500"/>
      <c r="N566" s="1500"/>
      <c r="O566" s="1500"/>
      <c r="P566" s="1500"/>
      <c r="Q566" s="1500"/>
      <c r="R566" s="1500"/>
      <c r="S566" s="1500"/>
      <c r="T566" s="1500"/>
      <c r="U566" s="1363"/>
      <c r="V566" s="117"/>
      <c r="W566" s="117"/>
      <c r="X566" s="2931" t="s">
        <v>3370</v>
      </c>
      <c r="Y566" s="1509" t="s">
        <v>3371</v>
      </c>
      <c r="Z566" s="670">
        <v>4</v>
      </c>
      <c r="AA566" s="1548">
        <v>0</v>
      </c>
      <c r="AB566" s="1548">
        <f t="shared" si="1"/>
        <v>32</v>
      </c>
      <c r="AC566" s="1548">
        <v>1</v>
      </c>
      <c r="AD566" s="1528"/>
      <c r="AE566" s="1528" t="s">
        <v>3372</v>
      </c>
      <c r="AF566" s="1539"/>
      <c r="AG566" s="1539"/>
      <c r="AH566" s="1539"/>
      <c r="AI566" s="1539"/>
      <c r="AJ566" s="668"/>
      <c r="AK566" s="435">
        <v>20240815</v>
      </c>
      <c r="AL566" s="342" t="s">
        <v>3373</v>
      </c>
      <c r="AM566" s="1363"/>
      <c r="AN566" s="1363"/>
    </row>
    <row r="567" spans="1:40" ht="30.75" customHeight="1" outlineLevel="1">
      <c r="A567" s="1363"/>
      <c r="B567" s="1363"/>
      <c r="C567" s="1363"/>
      <c r="D567" s="1363"/>
      <c r="E567" s="1363"/>
      <c r="F567" s="1363"/>
      <c r="G567" s="1363" t="s">
        <v>325</v>
      </c>
      <c r="H567" s="1500"/>
      <c r="I567" s="1500"/>
      <c r="J567" s="1500"/>
      <c r="K567" s="1500"/>
      <c r="L567" s="1500"/>
      <c r="M567" s="1500"/>
      <c r="N567" s="1500"/>
      <c r="O567" s="1500"/>
      <c r="P567" s="1500"/>
      <c r="Q567" s="1500"/>
      <c r="R567" s="1500"/>
      <c r="S567" s="1500"/>
      <c r="T567" s="1500"/>
      <c r="U567" s="1363"/>
      <c r="V567" s="117"/>
      <c r="W567" s="117"/>
      <c r="X567" s="2932" t="s">
        <v>3374</v>
      </c>
      <c r="Y567" s="1509" t="s">
        <v>3375</v>
      </c>
      <c r="Z567" s="670">
        <v>4</v>
      </c>
      <c r="AA567" s="1548">
        <v>1</v>
      </c>
      <c r="AB567" s="1548">
        <f t="shared" si="1"/>
        <v>33</v>
      </c>
      <c r="AC567" s="1548">
        <v>1</v>
      </c>
      <c r="AD567" s="1528"/>
      <c r="AE567" s="1528" t="s">
        <v>3376</v>
      </c>
      <c r="AF567" s="1539"/>
      <c r="AG567" s="1539"/>
      <c r="AH567" s="1539"/>
      <c r="AI567" s="1539"/>
      <c r="AJ567" s="668"/>
      <c r="AK567" s="435">
        <v>20240815</v>
      </c>
      <c r="AL567" s="342" t="s">
        <v>3373</v>
      </c>
      <c r="AM567" s="1363"/>
      <c r="AN567" s="1363"/>
    </row>
    <row r="568" spans="1:40" ht="30.75" customHeight="1" outlineLevel="1">
      <c r="A568" s="1363"/>
      <c r="B568" s="1363"/>
      <c r="C568" s="1363"/>
      <c r="D568" s="1363"/>
      <c r="E568" s="1363"/>
      <c r="F568" s="1363"/>
      <c r="G568" s="1363" t="s">
        <v>325</v>
      </c>
      <c r="H568" s="1500"/>
      <c r="I568" s="1500"/>
      <c r="J568" s="1500"/>
      <c r="K568" s="1500"/>
      <c r="L568" s="1500"/>
      <c r="M568" s="1500"/>
      <c r="N568" s="1500"/>
      <c r="O568" s="1500"/>
      <c r="P568" s="1500"/>
      <c r="Q568" s="1500"/>
      <c r="R568" s="1500"/>
      <c r="S568" s="1500"/>
      <c r="T568" s="1500"/>
      <c r="U568" s="1363"/>
      <c r="V568" s="117"/>
      <c r="W568" s="117"/>
      <c r="X568" s="2933" t="s">
        <v>3377</v>
      </c>
      <c r="Y568" s="1509" t="s">
        <v>3378</v>
      </c>
      <c r="Z568" s="670">
        <v>4</v>
      </c>
      <c r="AA568" s="1548">
        <v>2</v>
      </c>
      <c r="AB568" s="1548">
        <f t="shared" si="1"/>
        <v>34</v>
      </c>
      <c r="AC568" s="1548">
        <v>2</v>
      </c>
      <c r="AD568" s="1528"/>
      <c r="AE568" s="2934" t="s">
        <v>3379</v>
      </c>
      <c r="AF568" s="1539"/>
      <c r="AG568" s="1539"/>
      <c r="AH568" s="1539"/>
      <c r="AI568" s="1539"/>
      <c r="AJ568" s="668"/>
      <c r="AK568" s="435">
        <v>20240815</v>
      </c>
      <c r="AL568" s="342" t="s">
        <v>3373</v>
      </c>
      <c r="AM568" s="1363"/>
      <c r="AN568" s="1363"/>
    </row>
    <row r="569" spans="1:40" ht="30.75" customHeight="1" outlineLevel="1">
      <c r="A569" s="1363"/>
      <c r="B569" s="1363"/>
      <c r="C569" s="1363"/>
      <c r="D569" s="1363"/>
      <c r="E569" s="1363"/>
      <c r="F569" s="1363"/>
      <c r="G569" s="1363" t="s">
        <v>325</v>
      </c>
      <c r="H569" s="1500"/>
      <c r="I569" s="1500"/>
      <c r="J569" s="1500"/>
      <c r="K569" s="1500"/>
      <c r="L569" s="1500"/>
      <c r="M569" s="1500"/>
      <c r="N569" s="1500"/>
      <c r="O569" s="1500"/>
      <c r="P569" s="1500"/>
      <c r="Q569" s="1500"/>
      <c r="R569" s="1500"/>
      <c r="S569" s="1500"/>
      <c r="T569" s="1500"/>
      <c r="U569" s="1363"/>
      <c r="V569" s="117"/>
      <c r="W569" s="117"/>
      <c r="X569" s="2935" t="s">
        <v>3380</v>
      </c>
      <c r="Y569" s="1509" t="s">
        <v>3381</v>
      </c>
      <c r="Z569" s="670">
        <v>4</v>
      </c>
      <c r="AA569" s="1548">
        <v>4</v>
      </c>
      <c r="AB569" s="1548">
        <f t="shared" si="1"/>
        <v>36</v>
      </c>
      <c r="AC569" s="1548">
        <v>1</v>
      </c>
      <c r="AD569" s="1528"/>
      <c r="AE569" s="1528" t="s">
        <v>986</v>
      </c>
      <c r="AF569" s="1539"/>
      <c r="AG569" s="1539"/>
      <c r="AH569" s="1539"/>
      <c r="AI569" s="1539"/>
      <c r="AJ569" s="668"/>
      <c r="AK569" s="435">
        <v>20240815</v>
      </c>
      <c r="AL569" s="342" t="s">
        <v>3373</v>
      </c>
      <c r="AM569" s="1363"/>
      <c r="AN569" s="1363"/>
    </row>
    <row r="570" spans="1:40" ht="30.75" customHeight="1" outlineLevel="1">
      <c r="A570" s="1363"/>
      <c r="B570" s="1363"/>
      <c r="C570" s="1363"/>
      <c r="D570" s="1363"/>
      <c r="E570" s="1363"/>
      <c r="F570" s="1363"/>
      <c r="G570" s="1363" t="s">
        <v>325</v>
      </c>
      <c r="H570" s="1500"/>
      <c r="I570" s="1500"/>
      <c r="J570" s="1500"/>
      <c r="K570" s="1500"/>
      <c r="L570" s="1500"/>
      <c r="M570" s="1500"/>
      <c r="N570" s="1500"/>
      <c r="O570" s="1500"/>
      <c r="P570" s="1500"/>
      <c r="Q570" s="1500"/>
      <c r="R570" s="1500"/>
      <c r="S570" s="1500"/>
      <c r="T570" s="1500"/>
      <c r="U570" s="1363"/>
      <c r="V570" s="117"/>
      <c r="W570" s="117"/>
      <c r="X570" s="2936" t="s">
        <v>3382</v>
      </c>
      <c r="Y570" s="1509" t="s">
        <v>3383</v>
      </c>
      <c r="Z570" s="670">
        <v>4</v>
      </c>
      <c r="AA570" s="1548">
        <v>5</v>
      </c>
      <c r="AB570" s="1548">
        <f t="shared" si="1"/>
        <v>37</v>
      </c>
      <c r="AC570" s="1548">
        <v>1</v>
      </c>
      <c r="AD570" s="1528"/>
      <c r="AE570" s="1528" t="s">
        <v>986</v>
      </c>
      <c r="AF570" s="1539"/>
      <c r="AG570" s="1539"/>
      <c r="AH570" s="1539"/>
      <c r="AI570" s="1539"/>
      <c r="AJ570" s="668"/>
      <c r="AK570" s="435">
        <v>20240815</v>
      </c>
      <c r="AL570" s="342" t="s">
        <v>3373</v>
      </c>
      <c r="AM570" s="1363"/>
      <c r="AN570" s="1363"/>
    </row>
    <row r="571" spans="1:40" ht="30.75" customHeight="1" outlineLevel="1">
      <c r="A571" s="1363"/>
      <c r="B571" s="1363"/>
      <c r="C571" s="1363"/>
      <c r="D571" s="1363"/>
      <c r="E571" s="1363"/>
      <c r="F571" s="1363"/>
      <c r="G571" s="1363" t="s">
        <v>325</v>
      </c>
      <c r="H571" s="1500"/>
      <c r="I571" s="1500"/>
      <c r="J571" s="1500"/>
      <c r="K571" s="1500"/>
      <c r="L571" s="1500"/>
      <c r="M571" s="1500"/>
      <c r="N571" s="1500"/>
      <c r="O571" s="1500"/>
      <c r="P571" s="1500"/>
      <c r="Q571" s="1500"/>
      <c r="R571" s="1500"/>
      <c r="S571" s="1500"/>
      <c r="T571" s="1500"/>
      <c r="U571" s="1363"/>
      <c r="V571" s="117"/>
      <c r="W571" s="117"/>
      <c r="X571" s="2937" t="s">
        <v>3384</v>
      </c>
      <c r="Y571" s="1509" t="s">
        <v>3385</v>
      </c>
      <c r="Z571" s="670">
        <v>4</v>
      </c>
      <c r="AA571" s="1548">
        <v>6</v>
      </c>
      <c r="AB571" s="1548">
        <f t="shared" si="1"/>
        <v>38</v>
      </c>
      <c r="AC571" s="1548">
        <v>1</v>
      </c>
      <c r="AD571" s="1528"/>
      <c r="AE571" s="1528" t="s">
        <v>986</v>
      </c>
      <c r="AF571" s="1539"/>
      <c r="AG571" s="1539"/>
      <c r="AH571" s="1539"/>
      <c r="AI571" s="1539"/>
      <c r="AJ571" s="668"/>
      <c r="AK571" s="435">
        <v>20240815</v>
      </c>
      <c r="AL571" s="342" t="s">
        <v>3373</v>
      </c>
      <c r="AM571" s="1363"/>
      <c r="AN571" s="1363"/>
    </row>
    <row r="572" spans="1:40" ht="30.75" customHeight="1" outlineLevel="1">
      <c r="A572" s="1363"/>
      <c r="B572" s="1363"/>
      <c r="C572" s="1363"/>
      <c r="D572" s="1363"/>
      <c r="E572" s="1363"/>
      <c r="F572" s="1363"/>
      <c r="G572" s="1363" t="s">
        <v>325</v>
      </c>
      <c r="H572" s="1500"/>
      <c r="I572" s="1500"/>
      <c r="J572" s="1500"/>
      <c r="K572" s="1500"/>
      <c r="L572" s="1500"/>
      <c r="M572" s="1500"/>
      <c r="N572" s="1500"/>
      <c r="O572" s="1500"/>
      <c r="P572" s="1500"/>
      <c r="Q572" s="1500"/>
      <c r="R572" s="1500"/>
      <c r="S572" s="1500"/>
      <c r="T572" s="1500"/>
      <c r="U572" s="1363"/>
      <c r="V572" s="117"/>
      <c r="W572" s="117"/>
      <c r="X572" s="2938" t="s">
        <v>3386</v>
      </c>
      <c r="Y572" s="1509" t="s">
        <v>3387</v>
      </c>
      <c r="Z572" s="670">
        <v>4</v>
      </c>
      <c r="AA572" s="1548">
        <v>7</v>
      </c>
      <c r="AB572" s="1548">
        <f t="shared" si="1"/>
        <v>39</v>
      </c>
      <c r="AC572" s="1548">
        <v>1</v>
      </c>
      <c r="AD572" s="1528"/>
      <c r="AE572" s="1528" t="s">
        <v>986</v>
      </c>
      <c r="AF572" s="1539"/>
      <c r="AG572" s="1539"/>
      <c r="AH572" s="1539"/>
      <c r="AI572" s="1539"/>
      <c r="AJ572" s="668"/>
      <c r="AK572" s="435">
        <v>20240815</v>
      </c>
      <c r="AL572" s="342" t="s">
        <v>3373</v>
      </c>
      <c r="AM572" s="1363"/>
      <c r="AN572" s="1363"/>
    </row>
    <row r="573" spans="1:40" ht="30.75" customHeight="1" outlineLevel="1">
      <c r="A573" s="1363"/>
      <c r="B573" s="1363"/>
      <c r="C573" s="1363"/>
      <c r="D573" s="1363"/>
      <c r="E573" s="1363"/>
      <c r="F573" s="1363"/>
      <c r="G573" s="1363" t="s">
        <v>325</v>
      </c>
      <c r="H573" s="1500"/>
      <c r="I573" s="1500"/>
      <c r="J573" s="1500"/>
      <c r="K573" s="1500"/>
      <c r="L573" s="1500"/>
      <c r="M573" s="1500"/>
      <c r="N573" s="1500"/>
      <c r="O573" s="1500"/>
      <c r="P573" s="1500"/>
      <c r="Q573" s="1500"/>
      <c r="R573" s="1500"/>
      <c r="S573" s="1500"/>
      <c r="T573" s="1500"/>
      <c r="U573" s="1363"/>
      <c r="V573" s="117"/>
      <c r="W573" s="117"/>
      <c r="X573" s="2939" t="s">
        <v>3388</v>
      </c>
      <c r="Y573" s="1509" t="s">
        <v>3389</v>
      </c>
      <c r="Z573" s="670">
        <v>5</v>
      </c>
      <c r="AA573" s="1548">
        <v>0</v>
      </c>
      <c r="AB573" s="1548">
        <f t="shared" si="1"/>
        <v>40</v>
      </c>
      <c r="AC573" s="1548">
        <v>1</v>
      </c>
      <c r="AD573" s="1528"/>
      <c r="AE573" s="1528" t="s">
        <v>3390</v>
      </c>
      <c r="AF573" s="1539"/>
      <c r="AG573" s="1539"/>
      <c r="AH573" s="1539"/>
      <c r="AI573" s="1539"/>
      <c r="AJ573" s="668"/>
      <c r="AK573" s="435">
        <v>20240815</v>
      </c>
      <c r="AL573" s="342" t="s">
        <v>3373</v>
      </c>
      <c r="AM573" s="1363"/>
      <c r="AN573" s="1363"/>
    </row>
    <row r="574" spans="1:40" ht="30.75" customHeight="1" outlineLevel="1">
      <c r="A574" s="1363"/>
      <c r="B574" s="1363"/>
      <c r="C574" s="1363"/>
      <c r="D574" s="1363"/>
      <c r="E574" s="1363"/>
      <c r="F574" s="1363"/>
      <c r="G574" s="1363" t="s">
        <v>325</v>
      </c>
      <c r="H574" s="1500"/>
      <c r="I574" s="1500"/>
      <c r="J574" s="1500"/>
      <c r="K574" s="1500"/>
      <c r="L574" s="1500"/>
      <c r="M574" s="1500"/>
      <c r="N574" s="1500"/>
      <c r="O574" s="1500"/>
      <c r="P574" s="1500"/>
      <c r="Q574" s="1500"/>
      <c r="R574" s="1500"/>
      <c r="S574" s="1500"/>
      <c r="T574" s="1500"/>
      <c r="U574" s="1363"/>
      <c r="V574" s="117"/>
      <c r="W574" s="117"/>
      <c r="X574" s="2940" t="s">
        <v>3391</v>
      </c>
      <c r="Y574" s="1509" t="s">
        <v>3392</v>
      </c>
      <c r="Z574" s="670">
        <v>5</v>
      </c>
      <c r="AA574" s="1548">
        <v>1</v>
      </c>
      <c r="AB574" s="1548">
        <f t="shared" si="1"/>
        <v>41</v>
      </c>
      <c r="AC574" s="1548">
        <v>2</v>
      </c>
      <c r="AD574" s="1528"/>
      <c r="AE574" s="2941" t="s">
        <v>3393</v>
      </c>
      <c r="AF574" s="1539"/>
      <c r="AG574" s="1539"/>
      <c r="AH574" s="1539"/>
      <c r="AI574" s="1539"/>
      <c r="AJ574" s="668"/>
      <c r="AK574" s="1500"/>
      <c r="AL574" s="364"/>
      <c r="AM574" s="1363"/>
      <c r="AN574" s="1363"/>
    </row>
    <row r="575" spans="1:40" ht="30.75" customHeight="1" outlineLevel="1">
      <c r="A575" s="1363"/>
      <c r="B575" s="1363"/>
      <c r="C575" s="1363"/>
      <c r="D575" s="1363"/>
      <c r="E575" s="1363"/>
      <c r="F575" s="1363"/>
      <c r="G575" s="1363" t="s">
        <v>325</v>
      </c>
      <c r="H575" s="1500"/>
      <c r="I575" s="1500"/>
      <c r="J575" s="1500"/>
      <c r="K575" s="1500"/>
      <c r="L575" s="1500"/>
      <c r="M575" s="1500"/>
      <c r="N575" s="1500"/>
      <c r="O575" s="1500"/>
      <c r="P575" s="1500"/>
      <c r="Q575" s="1500"/>
      <c r="R575" s="1500"/>
      <c r="S575" s="1500"/>
      <c r="T575" s="1500"/>
      <c r="U575" s="1363"/>
      <c r="V575" s="117"/>
      <c r="W575" s="117"/>
      <c r="X575" s="2942" t="s">
        <v>3394</v>
      </c>
      <c r="Y575" s="1509" t="s">
        <v>3395</v>
      </c>
      <c r="Z575" s="670">
        <v>5</v>
      </c>
      <c r="AA575" s="1548">
        <v>3</v>
      </c>
      <c r="AB575" s="1548">
        <f t="shared" si="1"/>
        <v>43</v>
      </c>
      <c r="AC575" s="1548">
        <v>1</v>
      </c>
      <c r="AD575" s="1528"/>
      <c r="AE575" s="1528" t="s">
        <v>3396</v>
      </c>
      <c r="AF575" s="1539"/>
      <c r="AG575" s="1539"/>
      <c r="AH575" s="1539"/>
      <c r="AI575" s="1539"/>
      <c r="AJ575" s="668"/>
      <c r="AK575" s="1500"/>
      <c r="AL575" s="364"/>
      <c r="AM575" s="1363"/>
      <c r="AN575" s="1363"/>
    </row>
    <row r="576" spans="1:40" ht="30.75" customHeight="1" outlineLevel="1">
      <c r="A576" s="1363"/>
      <c r="B576" s="1363"/>
      <c r="C576" s="1363"/>
      <c r="D576" s="1363"/>
      <c r="E576" s="1363"/>
      <c r="F576" s="1363"/>
      <c r="G576" s="1363" t="s">
        <v>325</v>
      </c>
      <c r="H576" s="1500"/>
      <c r="I576" s="1500"/>
      <c r="J576" s="1500"/>
      <c r="K576" s="1500"/>
      <c r="L576" s="1500"/>
      <c r="M576" s="1500"/>
      <c r="N576" s="1500"/>
      <c r="O576" s="1500"/>
      <c r="P576" s="1500"/>
      <c r="Q576" s="1500"/>
      <c r="R576" s="1500"/>
      <c r="S576" s="1500"/>
      <c r="T576" s="1500"/>
      <c r="U576" s="1363"/>
      <c r="V576" s="117"/>
      <c r="W576" s="117"/>
      <c r="X576" s="2943" t="s">
        <v>3397</v>
      </c>
      <c r="Y576" s="1509" t="s">
        <v>3398</v>
      </c>
      <c r="Z576" s="670">
        <v>5</v>
      </c>
      <c r="AA576" s="1548">
        <v>4</v>
      </c>
      <c r="AB576" s="1548">
        <f t="shared" si="1"/>
        <v>44</v>
      </c>
      <c r="AC576" s="1548">
        <v>1</v>
      </c>
      <c r="AD576" s="1528"/>
      <c r="AE576" s="1528" t="s">
        <v>3399</v>
      </c>
      <c r="AF576" s="1539"/>
      <c r="AG576" s="1539"/>
      <c r="AH576" s="1539"/>
      <c r="AI576" s="1539"/>
      <c r="AJ576" s="668"/>
      <c r="AK576" s="1500"/>
      <c r="AL576" s="364"/>
      <c r="AM576" s="1363"/>
      <c r="AN576" s="1363"/>
    </row>
    <row r="577" spans="1:40" ht="30.75" customHeight="1" outlineLevel="1">
      <c r="A577" s="1363"/>
      <c r="B577" s="1363"/>
      <c r="C577" s="1363"/>
      <c r="D577" s="1363"/>
      <c r="E577" s="1363"/>
      <c r="F577" s="1363"/>
      <c r="G577" s="1363" t="s">
        <v>325</v>
      </c>
      <c r="H577" s="1500"/>
      <c r="I577" s="1500"/>
      <c r="J577" s="1500"/>
      <c r="K577" s="1500"/>
      <c r="L577" s="1500"/>
      <c r="M577" s="1500"/>
      <c r="N577" s="1500"/>
      <c r="O577" s="1500"/>
      <c r="P577" s="1500"/>
      <c r="Q577" s="1500"/>
      <c r="R577" s="1500"/>
      <c r="S577" s="1500"/>
      <c r="T577" s="1500"/>
      <c r="U577" s="1363"/>
      <c r="V577" s="117"/>
      <c r="W577" s="117"/>
      <c r="X577" s="1539" t="s">
        <v>3400</v>
      </c>
      <c r="Y577" s="1509" t="s">
        <v>3401</v>
      </c>
      <c r="Z577" s="670">
        <v>5</v>
      </c>
      <c r="AA577" s="1548">
        <v>5</v>
      </c>
      <c r="AB577" s="1548">
        <f t="shared" si="1"/>
        <v>45</v>
      </c>
      <c r="AC577" s="1548">
        <v>1</v>
      </c>
      <c r="AD577" s="1528"/>
      <c r="AE577" s="1528" t="s">
        <v>3399</v>
      </c>
      <c r="AF577" s="1539"/>
      <c r="AG577" s="1539"/>
      <c r="AH577" s="1539"/>
      <c r="AI577" s="1539"/>
      <c r="AJ577" s="668"/>
      <c r="AK577" s="1500"/>
      <c r="AL577" s="364"/>
      <c r="AM577" s="1363"/>
      <c r="AN577" s="1363"/>
    </row>
    <row r="578" spans="1:40" ht="30.75" customHeight="1" outlineLevel="1">
      <c r="A578" s="1363"/>
      <c r="B578" s="1363"/>
      <c r="C578" s="1363"/>
      <c r="D578" s="1363"/>
      <c r="E578" s="1363"/>
      <c r="F578" s="1363"/>
      <c r="G578" s="1363" t="s">
        <v>325</v>
      </c>
      <c r="H578" s="1500"/>
      <c r="I578" s="1500"/>
      <c r="J578" s="1500"/>
      <c r="K578" s="1500"/>
      <c r="L578" s="1500"/>
      <c r="M578" s="1500"/>
      <c r="N578" s="1500"/>
      <c r="O578" s="1500"/>
      <c r="P578" s="1500"/>
      <c r="Q578" s="1500"/>
      <c r="R578" s="1500"/>
      <c r="S578" s="1500"/>
      <c r="T578" s="1500"/>
      <c r="U578" s="1363"/>
      <c r="V578" s="117"/>
      <c r="W578" s="117"/>
      <c r="X578" s="2944" t="s">
        <v>3402</v>
      </c>
      <c r="Y578" s="1509" t="s">
        <v>3403</v>
      </c>
      <c r="Z578" s="670">
        <v>6</v>
      </c>
      <c r="AA578" s="1548">
        <v>0</v>
      </c>
      <c r="AB578" s="1548">
        <f t="shared" si="1"/>
        <v>48</v>
      </c>
      <c r="AC578" s="1548">
        <v>2</v>
      </c>
      <c r="AD578" s="1528"/>
      <c r="AE578" s="2945" t="s">
        <v>3404</v>
      </c>
      <c r="AF578" s="1539"/>
      <c r="AG578" s="1539"/>
      <c r="AH578" s="1539"/>
      <c r="AI578" s="1539"/>
      <c r="AJ578" s="668"/>
      <c r="AK578" s="1500"/>
      <c r="AL578" s="364"/>
      <c r="AM578" s="1363"/>
      <c r="AN578" s="1363"/>
    </row>
    <row r="579" spans="1:40" ht="30.75" customHeight="1" outlineLevel="1">
      <c r="A579" s="1363"/>
      <c r="B579" s="1363"/>
      <c r="C579" s="1363"/>
      <c r="D579" s="1363"/>
      <c r="E579" s="1363"/>
      <c r="F579" s="1363"/>
      <c r="G579" s="1363" t="s">
        <v>325</v>
      </c>
      <c r="H579" s="1500"/>
      <c r="I579" s="1500"/>
      <c r="J579" s="1500"/>
      <c r="K579" s="1500"/>
      <c r="L579" s="1500"/>
      <c r="M579" s="1500"/>
      <c r="N579" s="1500"/>
      <c r="O579" s="1500"/>
      <c r="P579" s="1500"/>
      <c r="Q579" s="1500"/>
      <c r="R579" s="1500"/>
      <c r="S579" s="1500"/>
      <c r="T579" s="1500"/>
      <c r="U579" s="1363"/>
      <c r="V579" s="117"/>
      <c r="W579" s="117"/>
      <c r="X579" s="2946" t="s">
        <v>3405</v>
      </c>
      <c r="Y579" s="1509" t="s">
        <v>3406</v>
      </c>
      <c r="Z579" s="670">
        <v>6</v>
      </c>
      <c r="AA579" s="1548">
        <v>2</v>
      </c>
      <c r="AB579" s="1548">
        <f t="shared" si="1"/>
        <v>50</v>
      </c>
      <c r="AC579" s="1548">
        <v>1</v>
      </c>
      <c r="AD579" s="1528"/>
      <c r="AE579" s="2947" t="s">
        <v>3407</v>
      </c>
      <c r="AF579" s="1539"/>
      <c r="AG579" s="1539"/>
      <c r="AH579" s="1539"/>
      <c r="AI579" s="1539"/>
      <c r="AJ579" s="1548"/>
      <c r="AK579" s="1500"/>
      <c r="AL579" s="364"/>
      <c r="AM579" s="1363"/>
      <c r="AN579" s="1363"/>
    </row>
    <row r="580" spans="1:40" ht="45.75" customHeight="1" outlineLevel="1">
      <c r="A580" s="1363"/>
      <c r="B580" s="1363"/>
      <c r="C580" s="1363"/>
      <c r="D580" s="1363"/>
      <c r="E580" s="1363"/>
      <c r="F580" s="1363"/>
      <c r="G580" s="1363" t="s">
        <v>325</v>
      </c>
      <c r="H580" s="1500"/>
      <c r="I580" s="1500"/>
      <c r="J580" s="1500"/>
      <c r="K580" s="1500"/>
      <c r="L580" s="1500"/>
      <c r="M580" s="1500"/>
      <c r="N580" s="1500"/>
      <c r="O580" s="1500"/>
      <c r="P580" s="1500"/>
      <c r="Q580" s="1500"/>
      <c r="R580" s="1500"/>
      <c r="S580" s="1500"/>
      <c r="T580" s="1500"/>
      <c r="U580" s="1363"/>
      <c r="V580" s="117"/>
      <c r="W580" s="117"/>
      <c r="X580" s="2948" t="s">
        <v>3408</v>
      </c>
      <c r="Y580" s="1509" t="s">
        <v>3409</v>
      </c>
      <c r="Z580" s="670">
        <v>6</v>
      </c>
      <c r="AA580" s="1548">
        <v>3</v>
      </c>
      <c r="AB580" s="1548">
        <f t="shared" si="1"/>
        <v>51</v>
      </c>
      <c r="AC580" s="1548">
        <v>1</v>
      </c>
      <c r="AD580" s="1528"/>
      <c r="AE580" s="1528" t="s">
        <v>3410</v>
      </c>
      <c r="AF580" s="1539"/>
      <c r="AG580" s="1539"/>
      <c r="AH580" s="1539"/>
      <c r="AI580" s="1539"/>
      <c r="AJ580" s="1548"/>
      <c r="AK580" s="1500"/>
      <c r="AL580" s="364"/>
      <c r="AM580" s="1363"/>
      <c r="AN580" s="1363"/>
    </row>
    <row r="581" spans="1:40" ht="75.75" customHeight="1" outlineLevel="1">
      <c r="A581" s="1363"/>
      <c r="B581" s="1363"/>
      <c r="C581" s="1363"/>
      <c r="D581" s="1363"/>
      <c r="E581" s="1363"/>
      <c r="F581" s="1363"/>
      <c r="G581" s="1363" t="s">
        <v>325</v>
      </c>
      <c r="H581" s="1500"/>
      <c r="I581" s="1500"/>
      <c r="J581" s="1500"/>
      <c r="K581" s="1500"/>
      <c r="L581" s="1500"/>
      <c r="M581" s="1500"/>
      <c r="N581" s="1500"/>
      <c r="O581" s="1500"/>
      <c r="P581" s="1500"/>
      <c r="Q581" s="1500"/>
      <c r="R581" s="1500"/>
      <c r="S581" s="1500"/>
      <c r="T581" s="1500"/>
      <c r="U581" s="1363"/>
      <c r="V581" s="117"/>
      <c r="W581" s="117"/>
      <c r="X581" s="2949" t="s">
        <v>3411</v>
      </c>
      <c r="Y581" s="1509" t="s">
        <v>3412</v>
      </c>
      <c r="Z581" s="670">
        <v>6</v>
      </c>
      <c r="AA581" s="1548">
        <v>4</v>
      </c>
      <c r="AB581" s="1548">
        <f t="shared" si="1"/>
        <v>52</v>
      </c>
      <c r="AC581" s="1548">
        <v>3</v>
      </c>
      <c r="AD581" s="1528"/>
      <c r="AE581" s="2950" t="s">
        <v>3413</v>
      </c>
      <c r="AF581" s="1539"/>
      <c r="AG581" s="1539"/>
      <c r="AH581" s="1539"/>
      <c r="AI581" s="1539"/>
      <c r="AJ581" s="1548"/>
      <c r="AK581" s="1500"/>
      <c r="AL581" s="364"/>
      <c r="AM581" s="1363"/>
      <c r="AN581" s="1363"/>
    </row>
    <row r="582" spans="1:40" ht="30.75" customHeight="1" outlineLevel="1">
      <c r="A582" s="1363"/>
      <c r="B582" s="1363"/>
      <c r="C582" s="1363"/>
      <c r="D582" s="1363"/>
      <c r="E582" s="1363"/>
      <c r="F582" s="1363"/>
      <c r="G582" s="1363" t="s">
        <v>325</v>
      </c>
      <c r="H582" s="1500"/>
      <c r="I582" s="1500"/>
      <c r="J582" s="1500"/>
      <c r="K582" s="1500"/>
      <c r="L582" s="1500"/>
      <c r="M582" s="1500"/>
      <c r="N582" s="1500"/>
      <c r="O582" s="1500"/>
      <c r="P582" s="1500"/>
      <c r="Q582" s="1500"/>
      <c r="R582" s="1500"/>
      <c r="S582" s="1500"/>
      <c r="T582" s="1500"/>
      <c r="U582" s="1363"/>
      <c r="V582" s="117"/>
      <c r="W582" s="117"/>
      <c r="X582" s="2951" t="s">
        <v>3414</v>
      </c>
      <c r="Y582" s="1509" t="s">
        <v>3415</v>
      </c>
      <c r="Z582" s="670">
        <v>6</v>
      </c>
      <c r="AA582" s="1548">
        <v>7</v>
      </c>
      <c r="AB582" s="1548">
        <f t="shared" si="1"/>
        <v>55</v>
      </c>
      <c r="AC582" s="1548">
        <v>1</v>
      </c>
      <c r="AD582" s="1528"/>
      <c r="AE582" s="1528" t="s">
        <v>3416</v>
      </c>
      <c r="AF582" s="1539"/>
      <c r="AG582" s="1539"/>
      <c r="AH582" s="1539"/>
      <c r="AI582" s="1539"/>
      <c r="AJ582" s="1548"/>
      <c r="AK582" s="1500"/>
      <c r="AL582" s="364"/>
      <c r="AM582" s="1363"/>
      <c r="AN582" s="1363"/>
    </row>
    <row r="583" spans="1:40" ht="43.15" customHeight="1" outlineLevel="1">
      <c r="A583" s="1363"/>
      <c r="B583" s="1363"/>
      <c r="C583" s="1363"/>
      <c r="D583" s="1363"/>
      <c r="E583" s="1363"/>
      <c r="F583" s="1363"/>
      <c r="G583" s="1363" t="s">
        <v>325</v>
      </c>
      <c r="H583" s="1500"/>
      <c r="I583" s="1500"/>
      <c r="J583" s="1500"/>
      <c r="K583" s="1500"/>
      <c r="L583" s="1500"/>
      <c r="M583" s="1500"/>
      <c r="N583" s="1500"/>
      <c r="O583" s="1500"/>
      <c r="P583" s="1500"/>
      <c r="Q583" s="1500"/>
      <c r="R583" s="1500"/>
      <c r="S583" s="1500"/>
      <c r="T583" s="1500"/>
      <c r="U583" s="1363"/>
      <c r="V583" s="117"/>
      <c r="W583" s="117"/>
      <c r="X583" s="1539" t="s">
        <v>3417</v>
      </c>
      <c r="Y583" s="1509" t="s">
        <v>3418</v>
      </c>
      <c r="Z583" s="670">
        <v>7</v>
      </c>
      <c r="AA583" s="1548">
        <v>0</v>
      </c>
      <c r="AB583" s="1548">
        <f t="shared" si="1"/>
        <v>56</v>
      </c>
      <c r="AC583" s="1548">
        <v>8</v>
      </c>
      <c r="AD583" s="1528"/>
      <c r="AE583" s="2952" t="s">
        <v>3419</v>
      </c>
      <c r="AF583" s="1539">
        <v>1</v>
      </c>
      <c r="AG583" s="1539">
        <v>-40</v>
      </c>
      <c r="AH583" s="1539"/>
      <c r="AI583" s="1539"/>
      <c r="AJ583" s="1548" t="s">
        <v>508</v>
      </c>
      <c r="AK583" s="1500"/>
      <c r="AL583" s="364"/>
      <c r="AM583" s="1363"/>
      <c r="AN583" s="1363"/>
    </row>
    <row r="584" spans="1:40" s="1232" customFormat="1" ht="18" customHeight="1">
      <c r="A584" s="1233">
        <v>46</v>
      </c>
      <c r="B584" s="1233" t="s">
        <v>3420</v>
      </c>
      <c r="C584" s="1233" t="s">
        <v>3421</v>
      </c>
      <c r="D584" s="1233" t="s">
        <v>922</v>
      </c>
      <c r="E584" s="1233">
        <v>8</v>
      </c>
      <c r="F584" s="1233" t="s">
        <v>260</v>
      </c>
      <c r="G584" s="1234" t="s">
        <v>325</v>
      </c>
      <c r="H584" s="1233"/>
      <c r="I584" s="1233"/>
      <c r="J584" s="1233"/>
      <c r="K584" s="1233"/>
      <c r="L584" s="1233"/>
      <c r="M584" s="1233"/>
      <c r="N584" s="1233"/>
      <c r="O584" s="1233" t="s">
        <v>261</v>
      </c>
      <c r="P584" s="1233"/>
      <c r="Q584" s="1233"/>
      <c r="R584" s="1233"/>
      <c r="S584" s="1233"/>
      <c r="T584" s="1233"/>
      <c r="U584" s="1233"/>
      <c r="V584" s="1235"/>
      <c r="W584" s="1235"/>
      <c r="X584" s="1235" t="s">
        <v>3422</v>
      </c>
      <c r="Y584" s="1235"/>
      <c r="Z584" s="1233"/>
      <c r="AA584" s="1233"/>
      <c r="AB584" s="1233"/>
      <c r="AC584" s="1233"/>
      <c r="AD584" s="1233"/>
      <c r="AE584" s="1244"/>
      <c r="AF584" s="1243"/>
      <c r="AG584" s="1243"/>
      <c r="AH584" s="1243"/>
      <c r="AI584" s="1243"/>
      <c r="AJ584" s="1243"/>
      <c r="AK584" s="1237"/>
      <c r="AL584" s="1237"/>
      <c r="AM584" s="1237"/>
      <c r="AN584" s="1237"/>
    </row>
    <row r="585" spans="1:40" ht="30.75" customHeight="1" outlineLevel="1">
      <c r="A585" s="1363"/>
      <c r="B585" s="1363"/>
      <c r="C585" s="1363"/>
      <c r="D585" s="1363"/>
      <c r="E585" s="1363"/>
      <c r="F585" s="1363"/>
      <c r="G585" s="1363" t="s">
        <v>325</v>
      </c>
      <c r="H585" s="1500"/>
      <c r="I585" s="1500"/>
      <c r="J585" s="1500"/>
      <c r="K585" s="1500"/>
      <c r="L585" s="1500"/>
      <c r="M585" s="1500"/>
      <c r="N585" s="1500"/>
      <c r="O585" s="1500"/>
      <c r="P585" s="1500"/>
      <c r="Q585" s="1500"/>
      <c r="R585" s="1500"/>
      <c r="S585" s="1500"/>
      <c r="T585" s="1500"/>
      <c r="U585" s="117"/>
      <c r="V585" s="117"/>
      <c r="W585" s="117"/>
      <c r="X585" s="2953" t="s">
        <v>3366</v>
      </c>
      <c r="Y585" s="1543" t="s">
        <v>3423</v>
      </c>
      <c r="Z585" s="454">
        <v>0</v>
      </c>
      <c r="AA585" s="1512">
        <v>0</v>
      </c>
      <c r="AB585" s="1548">
        <f t="shared" ref="AB585:AB600" si="2">Z585*8+AA585</f>
        <v>0</v>
      </c>
      <c r="AC585" s="1512">
        <v>16</v>
      </c>
      <c r="AD585" s="1527"/>
      <c r="AE585" s="1527"/>
      <c r="AF585" s="1538">
        <v>0.1</v>
      </c>
      <c r="AG585" s="1538">
        <v>0</v>
      </c>
      <c r="AH585" s="1538"/>
      <c r="AI585" s="1538" t="s">
        <v>617</v>
      </c>
      <c r="AJ585" s="156" t="s">
        <v>1007</v>
      </c>
      <c r="AK585" s="1500"/>
      <c r="AL585" s="364"/>
      <c r="AM585" s="1363"/>
      <c r="AN585" s="1363"/>
    </row>
    <row r="586" spans="1:40" ht="30.75" customHeight="1" outlineLevel="1">
      <c r="A586" s="1363"/>
      <c r="B586" s="1363"/>
      <c r="C586" s="1363"/>
      <c r="D586" s="1363"/>
      <c r="E586" s="1363"/>
      <c r="F586" s="1363"/>
      <c r="G586" s="1363" t="s">
        <v>325</v>
      </c>
      <c r="H586" s="1500"/>
      <c r="I586" s="1500"/>
      <c r="J586" s="1500"/>
      <c r="K586" s="1500"/>
      <c r="L586" s="1500"/>
      <c r="M586" s="1500"/>
      <c r="N586" s="1500"/>
      <c r="O586" s="1500"/>
      <c r="P586" s="1500"/>
      <c r="Q586" s="1500"/>
      <c r="R586" s="1500"/>
      <c r="S586" s="1500"/>
      <c r="T586" s="1500"/>
      <c r="U586" s="117"/>
      <c r="V586" s="117"/>
      <c r="W586" s="117"/>
      <c r="X586" s="2954" t="s">
        <v>3368</v>
      </c>
      <c r="Y586" s="1543" t="s">
        <v>3424</v>
      </c>
      <c r="Z586" s="670">
        <v>2</v>
      </c>
      <c r="AA586" s="1548">
        <v>0</v>
      </c>
      <c r="AB586" s="1548">
        <f t="shared" si="2"/>
        <v>16</v>
      </c>
      <c r="AC586" s="1548">
        <v>16</v>
      </c>
      <c r="AD586" s="1528"/>
      <c r="AE586" s="1528"/>
      <c r="AF586" s="1539">
        <v>0.1</v>
      </c>
      <c r="AG586" s="1539">
        <v>0</v>
      </c>
      <c r="AH586" s="1539"/>
      <c r="AI586" s="1539" t="s">
        <v>617</v>
      </c>
      <c r="AJ586" s="668" t="s">
        <v>98</v>
      </c>
      <c r="AK586" s="1500"/>
      <c r="AL586" s="364"/>
      <c r="AM586" s="1363"/>
      <c r="AN586" s="1363"/>
    </row>
    <row r="587" spans="1:40" ht="30.75" customHeight="1" outlineLevel="1">
      <c r="A587" s="1363"/>
      <c r="B587" s="1363"/>
      <c r="C587" s="1363"/>
      <c r="D587" s="1363"/>
      <c r="E587" s="1363"/>
      <c r="F587" s="1363"/>
      <c r="G587" s="1363" t="s">
        <v>325</v>
      </c>
      <c r="H587" s="1500"/>
      <c r="I587" s="1500"/>
      <c r="J587" s="1500"/>
      <c r="K587" s="1500"/>
      <c r="L587" s="1500"/>
      <c r="M587" s="1500"/>
      <c r="N587" s="1500"/>
      <c r="O587" s="1500"/>
      <c r="P587" s="1500"/>
      <c r="Q587" s="1500"/>
      <c r="R587" s="1500"/>
      <c r="S587" s="1500"/>
      <c r="T587" s="1500"/>
      <c r="U587" s="117"/>
      <c r="V587" s="117"/>
      <c r="W587" s="117"/>
      <c r="X587" s="2955" t="s">
        <v>3370</v>
      </c>
      <c r="Y587" s="1543" t="s">
        <v>3425</v>
      </c>
      <c r="Z587" s="670">
        <v>4</v>
      </c>
      <c r="AA587" s="1548">
        <v>0</v>
      </c>
      <c r="AB587" s="1548">
        <f t="shared" si="2"/>
        <v>32</v>
      </c>
      <c r="AC587" s="1548">
        <v>1</v>
      </c>
      <c r="AD587" s="1528"/>
      <c r="AE587" s="1528" t="s">
        <v>3372</v>
      </c>
      <c r="AF587" s="1528"/>
      <c r="AG587" s="1528"/>
      <c r="AH587" s="1539">
        <v>711</v>
      </c>
      <c r="AI587" s="1528"/>
      <c r="AJ587" s="1528"/>
      <c r="AK587" s="435">
        <v>20240815</v>
      </c>
      <c r="AL587" s="342" t="s">
        <v>3373</v>
      </c>
      <c r="AM587" s="1363"/>
      <c r="AN587" s="1363"/>
    </row>
    <row r="588" spans="1:40" ht="30.75" customHeight="1" outlineLevel="1">
      <c r="A588" s="1363"/>
      <c r="B588" s="1363"/>
      <c r="C588" s="1363"/>
      <c r="D588" s="1363"/>
      <c r="E588" s="1363"/>
      <c r="F588" s="1363"/>
      <c r="G588" s="1363" t="s">
        <v>325</v>
      </c>
      <c r="H588" s="1500"/>
      <c r="I588" s="1500"/>
      <c r="J588" s="1500"/>
      <c r="K588" s="1500"/>
      <c r="L588" s="1500"/>
      <c r="M588" s="1500"/>
      <c r="N588" s="1500"/>
      <c r="O588" s="1500"/>
      <c r="P588" s="1500"/>
      <c r="Q588" s="1500"/>
      <c r="R588" s="1500"/>
      <c r="S588" s="1500"/>
      <c r="T588" s="1500"/>
      <c r="U588" s="117"/>
      <c r="V588" s="117"/>
      <c r="W588" s="117"/>
      <c r="X588" s="2956" t="s">
        <v>3374</v>
      </c>
      <c r="Y588" s="1543" t="s">
        <v>3426</v>
      </c>
      <c r="Z588" s="670">
        <v>4</v>
      </c>
      <c r="AA588" s="1548">
        <v>1</v>
      </c>
      <c r="AB588" s="1548">
        <f t="shared" si="2"/>
        <v>33</v>
      </c>
      <c r="AC588" s="1548">
        <v>1</v>
      </c>
      <c r="AD588" s="1528"/>
      <c r="AE588" s="1528" t="s">
        <v>3376</v>
      </c>
      <c r="AF588" s="1528"/>
      <c r="AG588" s="1528"/>
      <c r="AH588" s="1539">
        <v>712</v>
      </c>
      <c r="AI588" s="1528"/>
      <c r="AJ588" s="1528"/>
      <c r="AK588" s="435">
        <v>20240815</v>
      </c>
      <c r="AL588" s="342" t="s">
        <v>3373</v>
      </c>
      <c r="AM588" s="1363"/>
      <c r="AN588" s="1363"/>
    </row>
    <row r="589" spans="1:40" ht="30.75" customHeight="1" outlineLevel="1">
      <c r="A589" s="1363"/>
      <c r="B589" s="1363"/>
      <c r="C589" s="1363"/>
      <c r="D589" s="1363"/>
      <c r="E589" s="1363"/>
      <c r="F589" s="1363"/>
      <c r="G589" s="1363" t="s">
        <v>325</v>
      </c>
      <c r="H589" s="1500"/>
      <c r="I589" s="1500"/>
      <c r="J589" s="1500"/>
      <c r="K589" s="1500"/>
      <c r="L589" s="1500"/>
      <c r="M589" s="1500"/>
      <c r="N589" s="1500"/>
      <c r="O589" s="1500"/>
      <c r="P589" s="1500"/>
      <c r="Q589" s="1500"/>
      <c r="R589" s="1500"/>
      <c r="S589" s="1500"/>
      <c r="T589" s="1500"/>
      <c r="U589" s="117"/>
      <c r="V589" s="117"/>
      <c r="W589" s="117"/>
      <c r="X589" s="2957" t="s">
        <v>3377</v>
      </c>
      <c r="Y589" s="1543" t="s">
        <v>3427</v>
      </c>
      <c r="Z589" s="670">
        <v>4</v>
      </c>
      <c r="AA589" s="1548">
        <v>2</v>
      </c>
      <c r="AB589" s="1548">
        <f t="shared" si="2"/>
        <v>34</v>
      </c>
      <c r="AC589" s="1548">
        <v>2</v>
      </c>
      <c r="AD589" s="1528"/>
      <c r="AE589" s="2958" t="s">
        <v>3379</v>
      </c>
      <c r="AF589" s="1528"/>
      <c r="AG589" s="1528"/>
      <c r="AH589" s="1539" t="s">
        <v>3428</v>
      </c>
      <c r="AI589" s="1528"/>
      <c r="AJ589" s="1528"/>
      <c r="AK589" s="435">
        <v>20240815</v>
      </c>
      <c r="AL589" s="342" t="s">
        <v>3373</v>
      </c>
      <c r="AM589" s="1363"/>
      <c r="AN589" s="1363"/>
    </row>
    <row r="590" spans="1:40" ht="30.75" customHeight="1" outlineLevel="1">
      <c r="A590" s="1363"/>
      <c r="B590" s="1363"/>
      <c r="C590" s="1363"/>
      <c r="D590" s="1363"/>
      <c r="E590" s="1363"/>
      <c r="F590" s="1363"/>
      <c r="G590" s="1363" t="s">
        <v>325</v>
      </c>
      <c r="H590" s="1500"/>
      <c r="I590" s="1500"/>
      <c r="J590" s="1500"/>
      <c r="K590" s="1500"/>
      <c r="L590" s="1500"/>
      <c r="M590" s="1500"/>
      <c r="N590" s="1500"/>
      <c r="O590" s="1500"/>
      <c r="P590" s="1500"/>
      <c r="Q590" s="1500"/>
      <c r="R590" s="1500"/>
      <c r="S590" s="1500"/>
      <c r="T590" s="1500"/>
      <c r="U590" s="117"/>
      <c r="V590" s="117"/>
      <c r="W590" s="117"/>
      <c r="X590" s="2959" t="s">
        <v>3380</v>
      </c>
      <c r="Y590" s="1543" t="s">
        <v>3429</v>
      </c>
      <c r="Z590" s="670">
        <v>4</v>
      </c>
      <c r="AA590" s="1548">
        <v>4</v>
      </c>
      <c r="AB590" s="1548">
        <f t="shared" si="2"/>
        <v>36</v>
      </c>
      <c r="AC590" s="1548">
        <v>1</v>
      </c>
      <c r="AD590" s="1528"/>
      <c r="AE590" s="1528" t="s">
        <v>986</v>
      </c>
      <c r="AF590" s="1528"/>
      <c r="AG590" s="1528"/>
      <c r="AH590" s="1539">
        <v>716</v>
      </c>
      <c r="AI590" s="1528"/>
      <c r="AJ590" s="1528"/>
      <c r="AK590" s="435">
        <v>20240815</v>
      </c>
      <c r="AL590" s="342" t="s">
        <v>3373</v>
      </c>
      <c r="AM590" s="1363"/>
      <c r="AN590" s="1363"/>
    </row>
    <row r="591" spans="1:40" ht="30.75" customHeight="1" outlineLevel="1">
      <c r="A591" s="1363"/>
      <c r="B591" s="1363"/>
      <c r="C591" s="1363"/>
      <c r="D591" s="1363"/>
      <c r="E591" s="1363"/>
      <c r="F591" s="1363"/>
      <c r="G591" s="1363" t="s">
        <v>325</v>
      </c>
      <c r="H591" s="1500"/>
      <c r="I591" s="1500"/>
      <c r="J591" s="1500"/>
      <c r="K591" s="1500"/>
      <c r="L591" s="1500"/>
      <c r="M591" s="1500"/>
      <c r="N591" s="1500"/>
      <c r="O591" s="1500"/>
      <c r="P591" s="1500"/>
      <c r="Q591" s="1500"/>
      <c r="R591" s="1500"/>
      <c r="S591" s="1500"/>
      <c r="T591" s="1500"/>
      <c r="U591" s="117"/>
      <c r="V591" s="117"/>
      <c r="W591" s="117"/>
      <c r="X591" s="2960" t="s">
        <v>3382</v>
      </c>
      <c r="Y591" s="1543" t="s">
        <v>3430</v>
      </c>
      <c r="Z591" s="670">
        <v>4</v>
      </c>
      <c r="AA591" s="1548">
        <v>5</v>
      </c>
      <c r="AB591" s="1548">
        <f t="shared" si="2"/>
        <v>37</v>
      </c>
      <c r="AC591" s="1548">
        <v>1</v>
      </c>
      <c r="AD591" s="1528"/>
      <c r="AE591" s="1528" t="s">
        <v>986</v>
      </c>
      <c r="AF591" s="1528"/>
      <c r="AG591" s="1528"/>
      <c r="AH591" s="1539">
        <v>717</v>
      </c>
      <c r="AI591" s="1528"/>
      <c r="AJ591" s="1528"/>
      <c r="AK591" s="435">
        <v>20240815</v>
      </c>
      <c r="AL591" s="342" t="s">
        <v>3373</v>
      </c>
      <c r="AM591" s="1363"/>
      <c r="AN591" s="1363"/>
    </row>
    <row r="592" spans="1:40" ht="30.75" customHeight="1" outlineLevel="1">
      <c r="A592" s="1363"/>
      <c r="B592" s="1363"/>
      <c r="C592" s="1363"/>
      <c r="D592" s="1363"/>
      <c r="E592" s="1363"/>
      <c r="F592" s="1363"/>
      <c r="G592" s="1363" t="s">
        <v>325</v>
      </c>
      <c r="H592" s="1500"/>
      <c r="I592" s="1500"/>
      <c r="J592" s="1500"/>
      <c r="K592" s="1500"/>
      <c r="L592" s="1500"/>
      <c r="M592" s="1500"/>
      <c r="N592" s="1500"/>
      <c r="O592" s="1500"/>
      <c r="P592" s="1500"/>
      <c r="Q592" s="1500"/>
      <c r="R592" s="1500"/>
      <c r="S592" s="1500"/>
      <c r="T592" s="1500"/>
      <c r="U592" s="117"/>
      <c r="V592" s="117"/>
      <c r="W592" s="117"/>
      <c r="X592" s="2961" t="s">
        <v>3384</v>
      </c>
      <c r="Y592" s="1543" t="s">
        <v>3431</v>
      </c>
      <c r="Z592" s="670">
        <v>4</v>
      </c>
      <c r="AA592" s="1548">
        <v>6</v>
      </c>
      <c r="AB592" s="1548">
        <f t="shared" si="2"/>
        <v>38</v>
      </c>
      <c r="AC592" s="1548">
        <v>1</v>
      </c>
      <c r="AD592" s="1528"/>
      <c r="AE592" s="1528" t="s">
        <v>986</v>
      </c>
      <c r="AF592" s="1528"/>
      <c r="AG592" s="1528"/>
      <c r="AH592" s="1539">
        <v>718</v>
      </c>
      <c r="AI592" s="1528"/>
      <c r="AJ592" s="1528"/>
      <c r="AK592" s="435">
        <v>20240815</v>
      </c>
      <c r="AL592" s="342" t="s">
        <v>3373</v>
      </c>
      <c r="AM592" s="1363"/>
      <c r="AN592" s="1363"/>
    </row>
    <row r="593" spans="1:40" ht="30.75" customHeight="1" outlineLevel="1">
      <c r="A593" s="1363"/>
      <c r="B593" s="1363"/>
      <c r="C593" s="1363"/>
      <c r="D593" s="1363"/>
      <c r="E593" s="1363"/>
      <c r="F593" s="1363"/>
      <c r="G593" s="1363" t="s">
        <v>325</v>
      </c>
      <c r="H593" s="1500"/>
      <c r="I593" s="1500"/>
      <c r="J593" s="1500"/>
      <c r="K593" s="1500"/>
      <c r="L593" s="1500"/>
      <c r="M593" s="1500"/>
      <c r="N593" s="1500"/>
      <c r="O593" s="1500"/>
      <c r="P593" s="1500"/>
      <c r="Q593" s="1500"/>
      <c r="R593" s="1500"/>
      <c r="S593" s="1500"/>
      <c r="T593" s="1500"/>
      <c r="U593" s="117"/>
      <c r="V593" s="117"/>
      <c r="W593" s="117"/>
      <c r="X593" s="2962" t="s">
        <v>3386</v>
      </c>
      <c r="Y593" s="1543" t="s">
        <v>3432</v>
      </c>
      <c r="Z593" s="670">
        <v>4</v>
      </c>
      <c r="AA593" s="1548">
        <v>7</v>
      </c>
      <c r="AB593" s="1548">
        <f t="shared" si="2"/>
        <v>39</v>
      </c>
      <c r="AC593" s="1548">
        <v>1</v>
      </c>
      <c r="AD593" s="1528"/>
      <c r="AE593" s="1528" t="s">
        <v>986</v>
      </c>
      <c r="AF593" s="1528"/>
      <c r="AG593" s="1528"/>
      <c r="AH593" s="1539">
        <v>719</v>
      </c>
      <c r="AI593" s="1528"/>
      <c r="AJ593" s="1528"/>
      <c r="AK593" s="435">
        <v>20240815</v>
      </c>
      <c r="AL593" s="342" t="s">
        <v>3373</v>
      </c>
      <c r="AM593" s="1363"/>
      <c r="AN593" s="1363"/>
    </row>
    <row r="594" spans="1:40" ht="30.75" customHeight="1" outlineLevel="1">
      <c r="A594" s="1363"/>
      <c r="B594" s="1363"/>
      <c r="C594" s="1363"/>
      <c r="D594" s="1363"/>
      <c r="E594" s="1363"/>
      <c r="F594" s="1363"/>
      <c r="G594" s="1363" t="s">
        <v>325</v>
      </c>
      <c r="H594" s="1500"/>
      <c r="I594" s="1500"/>
      <c r="J594" s="1500"/>
      <c r="K594" s="1500"/>
      <c r="L594" s="1500"/>
      <c r="M594" s="1500"/>
      <c r="N594" s="1500"/>
      <c r="O594" s="1500"/>
      <c r="P594" s="1500"/>
      <c r="Q594" s="1500"/>
      <c r="R594" s="1500"/>
      <c r="S594" s="1500"/>
      <c r="T594" s="1500"/>
      <c r="U594" s="117"/>
      <c r="V594" s="117"/>
      <c r="W594" s="117"/>
      <c r="X594" s="2963" t="s">
        <v>3388</v>
      </c>
      <c r="Y594" s="1543" t="s">
        <v>3433</v>
      </c>
      <c r="Z594" s="670">
        <v>5</v>
      </c>
      <c r="AA594" s="1548">
        <v>0</v>
      </c>
      <c r="AB594" s="1548">
        <f t="shared" si="2"/>
        <v>40</v>
      </c>
      <c r="AC594" s="1548">
        <v>1</v>
      </c>
      <c r="AD594" s="1528"/>
      <c r="AE594" s="1528" t="s">
        <v>3390</v>
      </c>
      <c r="AF594" s="1528"/>
      <c r="AG594" s="1528"/>
      <c r="AH594" s="1539">
        <v>720</v>
      </c>
      <c r="AI594" s="1528"/>
      <c r="AJ594" s="1528"/>
      <c r="AK594" s="435">
        <v>20240815</v>
      </c>
      <c r="AL594" s="342" t="s">
        <v>3373</v>
      </c>
      <c r="AM594" s="1363"/>
      <c r="AN594" s="1363"/>
    </row>
    <row r="595" spans="1:40" ht="30.75" customHeight="1" outlineLevel="1">
      <c r="A595" s="1363"/>
      <c r="B595" s="1363"/>
      <c r="C595" s="1363"/>
      <c r="D595" s="1363"/>
      <c r="E595" s="1363"/>
      <c r="F595" s="1363"/>
      <c r="G595" s="1363" t="s">
        <v>325</v>
      </c>
      <c r="H595" s="1500"/>
      <c r="I595" s="1500"/>
      <c r="J595" s="1500"/>
      <c r="K595" s="1500"/>
      <c r="L595" s="1500"/>
      <c r="M595" s="1500"/>
      <c r="N595" s="1500"/>
      <c r="O595" s="1500"/>
      <c r="P595" s="1500"/>
      <c r="Q595" s="1500"/>
      <c r="R595" s="1500"/>
      <c r="S595" s="1500"/>
      <c r="T595" s="1500"/>
      <c r="U595" s="117"/>
      <c r="V595" s="117"/>
      <c r="W595" s="117"/>
      <c r="X595" s="2964" t="s">
        <v>3391</v>
      </c>
      <c r="Y595" s="1543" t="s">
        <v>3434</v>
      </c>
      <c r="Z595" s="670">
        <v>5</v>
      </c>
      <c r="AA595" s="1548">
        <v>1</v>
      </c>
      <c r="AB595" s="1548">
        <f t="shared" si="2"/>
        <v>41</v>
      </c>
      <c r="AC595" s="1548">
        <v>2</v>
      </c>
      <c r="AD595" s="1528"/>
      <c r="AE595" s="2965" t="s">
        <v>3393</v>
      </c>
      <c r="AF595" s="1528"/>
      <c r="AG595" s="1528"/>
      <c r="AH595" s="1528"/>
      <c r="AI595" s="1528"/>
      <c r="AJ595" s="1528"/>
      <c r="AK595" s="1363"/>
      <c r="AL595" s="364"/>
      <c r="AM595" s="1363"/>
      <c r="AN595" s="1363"/>
    </row>
    <row r="596" spans="1:40" ht="30.75" customHeight="1" outlineLevel="1">
      <c r="A596" s="1363"/>
      <c r="B596" s="1363"/>
      <c r="C596" s="1363"/>
      <c r="D596" s="1363"/>
      <c r="E596" s="1363"/>
      <c r="F596" s="1363"/>
      <c r="G596" s="1363" t="s">
        <v>325</v>
      </c>
      <c r="H596" s="1500"/>
      <c r="I596" s="1500"/>
      <c r="J596" s="1500"/>
      <c r="K596" s="1500"/>
      <c r="L596" s="1500"/>
      <c r="M596" s="1500"/>
      <c r="N596" s="1500"/>
      <c r="O596" s="1500"/>
      <c r="P596" s="1500"/>
      <c r="Q596" s="1500"/>
      <c r="R596" s="1500"/>
      <c r="S596" s="1500"/>
      <c r="T596" s="1500"/>
      <c r="U596" s="117"/>
      <c r="V596" s="117"/>
      <c r="W596" s="117"/>
      <c r="X596" s="2966" t="s">
        <v>3394</v>
      </c>
      <c r="Y596" s="1543" t="s">
        <v>3435</v>
      </c>
      <c r="Z596" s="670">
        <v>5</v>
      </c>
      <c r="AA596" s="1548">
        <v>3</v>
      </c>
      <c r="AB596" s="1548">
        <f t="shared" si="2"/>
        <v>43</v>
      </c>
      <c r="AC596" s="1548">
        <v>1</v>
      </c>
      <c r="AD596" s="1528"/>
      <c r="AE596" s="1528" t="s">
        <v>3396</v>
      </c>
      <c r="AF596" s="1528"/>
      <c r="AG596" s="1528"/>
      <c r="AH596" s="1528"/>
      <c r="AI596" s="1528"/>
      <c r="AJ596" s="1528"/>
      <c r="AK596" s="1363"/>
      <c r="AL596" s="364"/>
      <c r="AM596" s="1363"/>
      <c r="AN596" s="1363"/>
    </row>
    <row r="597" spans="1:40" ht="30.75" customHeight="1" outlineLevel="1">
      <c r="A597" s="1363"/>
      <c r="B597" s="1363"/>
      <c r="C597" s="1363"/>
      <c r="D597" s="1363"/>
      <c r="E597" s="1363"/>
      <c r="F597" s="1363"/>
      <c r="G597" s="1363" t="s">
        <v>325</v>
      </c>
      <c r="H597" s="1500"/>
      <c r="I597" s="1500"/>
      <c r="J597" s="1500"/>
      <c r="K597" s="1500"/>
      <c r="L597" s="1500"/>
      <c r="M597" s="1500"/>
      <c r="N597" s="1500"/>
      <c r="O597" s="1500"/>
      <c r="P597" s="1500"/>
      <c r="Q597" s="1500"/>
      <c r="R597" s="1500"/>
      <c r="S597" s="1500"/>
      <c r="T597" s="1500"/>
      <c r="U597" s="117"/>
      <c r="V597" s="117"/>
      <c r="W597" s="117"/>
      <c r="X597" s="2967" t="s">
        <v>3397</v>
      </c>
      <c r="Y597" s="1543" t="s">
        <v>3436</v>
      </c>
      <c r="Z597" s="670">
        <v>5</v>
      </c>
      <c r="AA597" s="1548">
        <v>4</v>
      </c>
      <c r="AB597" s="1548">
        <f t="shared" si="2"/>
        <v>44</v>
      </c>
      <c r="AC597" s="1548">
        <v>1</v>
      </c>
      <c r="AD597" s="1528"/>
      <c r="AE597" s="1528" t="s">
        <v>3399</v>
      </c>
      <c r="AF597" s="1528"/>
      <c r="AG597" s="1528"/>
      <c r="AH597" s="1528"/>
      <c r="AI597" s="1528"/>
      <c r="AJ597" s="1528"/>
      <c r="AK597" s="1363"/>
      <c r="AL597" s="364"/>
      <c r="AM597" s="1363"/>
      <c r="AN597" s="1363"/>
    </row>
    <row r="598" spans="1:40" ht="30.75" customHeight="1" outlineLevel="1">
      <c r="A598" s="1363"/>
      <c r="B598" s="1363"/>
      <c r="C598" s="1363"/>
      <c r="D598" s="1363"/>
      <c r="E598" s="1363"/>
      <c r="F598" s="1363"/>
      <c r="G598" s="1363" t="s">
        <v>325</v>
      </c>
      <c r="H598" s="1500"/>
      <c r="I598" s="1500"/>
      <c r="J598" s="1500"/>
      <c r="K598" s="1500"/>
      <c r="L598" s="1500"/>
      <c r="M598" s="1500"/>
      <c r="N598" s="1500"/>
      <c r="O598" s="1500"/>
      <c r="P598" s="1500"/>
      <c r="Q598" s="1500"/>
      <c r="R598" s="1500"/>
      <c r="S598" s="1500"/>
      <c r="T598" s="1500"/>
      <c r="U598" s="117"/>
      <c r="V598" s="117"/>
      <c r="W598" s="117"/>
      <c r="X598" s="1539" t="s">
        <v>3400</v>
      </c>
      <c r="Y598" s="1543" t="s">
        <v>3437</v>
      </c>
      <c r="Z598" s="670">
        <v>5</v>
      </c>
      <c r="AA598" s="1548">
        <v>5</v>
      </c>
      <c r="AB598" s="1548">
        <f t="shared" si="2"/>
        <v>45</v>
      </c>
      <c r="AC598" s="1548">
        <v>1</v>
      </c>
      <c r="AD598" s="1528"/>
      <c r="AE598" s="1528" t="s">
        <v>3399</v>
      </c>
      <c r="AF598" s="1528"/>
      <c r="AG598" s="1528"/>
      <c r="AH598" s="1528"/>
      <c r="AI598" s="1528"/>
      <c r="AJ598" s="1528"/>
      <c r="AK598" s="1363"/>
      <c r="AL598" s="364"/>
      <c r="AM598" s="1363"/>
      <c r="AN598" s="1363"/>
    </row>
    <row r="599" spans="1:40" ht="30.75" customHeight="1" outlineLevel="1">
      <c r="A599" s="1363"/>
      <c r="B599" s="1363"/>
      <c r="C599" s="1363"/>
      <c r="D599" s="1363"/>
      <c r="E599" s="1363"/>
      <c r="F599" s="1363"/>
      <c r="G599" s="1363" t="s">
        <v>325</v>
      </c>
      <c r="H599" s="1500"/>
      <c r="I599" s="1500"/>
      <c r="J599" s="1500"/>
      <c r="K599" s="1500"/>
      <c r="L599" s="1500"/>
      <c r="M599" s="1500"/>
      <c r="N599" s="1500"/>
      <c r="O599" s="1500"/>
      <c r="P599" s="1500"/>
      <c r="Q599" s="1500"/>
      <c r="R599" s="1500"/>
      <c r="S599" s="1500"/>
      <c r="T599" s="1500"/>
      <c r="U599" s="1363"/>
      <c r="V599" s="117"/>
      <c r="W599" s="117"/>
      <c r="X599" s="2968" t="s">
        <v>3438</v>
      </c>
      <c r="Y599" s="1543" t="s">
        <v>3439</v>
      </c>
      <c r="Z599" s="670">
        <v>5</v>
      </c>
      <c r="AA599" s="1548">
        <v>6</v>
      </c>
      <c r="AB599" s="1548">
        <f t="shared" si="2"/>
        <v>46</v>
      </c>
      <c r="AC599" s="1548">
        <v>1</v>
      </c>
      <c r="AD599" s="1528"/>
      <c r="AE599" s="1528" t="s">
        <v>3440</v>
      </c>
      <c r="AF599" s="1528"/>
      <c r="AG599" s="1528"/>
      <c r="AH599" s="1528"/>
      <c r="AI599" s="1528"/>
      <c r="AJ599" s="1528"/>
      <c r="AK599" s="1363"/>
      <c r="AL599" s="364"/>
      <c r="AM599" s="1363"/>
      <c r="AN599" s="1363"/>
    </row>
    <row r="600" spans="1:40" ht="14.25" customHeight="1" outlineLevel="1">
      <c r="A600" s="1363"/>
      <c r="B600" s="1363"/>
      <c r="C600" s="1363"/>
      <c r="D600" s="1363"/>
      <c r="E600" s="1363"/>
      <c r="F600" s="1363"/>
      <c r="G600" s="1363" t="s">
        <v>325</v>
      </c>
      <c r="H600" s="1500"/>
      <c r="I600" s="1500"/>
      <c r="J600" s="1500"/>
      <c r="K600" s="1500"/>
      <c r="L600" s="1500"/>
      <c r="M600" s="1500"/>
      <c r="N600" s="1500"/>
      <c r="O600" s="1500"/>
      <c r="P600" s="1500"/>
      <c r="Q600" s="1500"/>
      <c r="R600" s="1500"/>
      <c r="S600" s="1500"/>
      <c r="T600" s="1500"/>
      <c r="U600" s="1363"/>
      <c r="V600" s="117"/>
      <c r="W600" s="117"/>
      <c r="X600" s="2969" t="s">
        <v>3441</v>
      </c>
      <c r="Y600" s="1543" t="s">
        <v>3442</v>
      </c>
      <c r="Z600" s="670">
        <v>7</v>
      </c>
      <c r="AA600" s="1548">
        <v>0</v>
      </c>
      <c r="AB600" s="1548">
        <f t="shared" si="2"/>
        <v>56</v>
      </c>
      <c r="AC600" s="1548">
        <v>8</v>
      </c>
      <c r="AD600" s="1528"/>
      <c r="AE600" s="1528"/>
      <c r="AF600" s="1539">
        <v>1</v>
      </c>
      <c r="AG600" s="1539">
        <v>-40</v>
      </c>
      <c r="AH600" s="1539"/>
      <c r="AI600" s="1539">
        <v>0</v>
      </c>
      <c r="AJ600" s="1539" t="s">
        <v>508</v>
      </c>
      <c r="AK600" s="117"/>
      <c r="AL600" s="364"/>
      <c r="AM600" s="1363"/>
      <c r="AN600" s="1363"/>
    </row>
    <row r="601" spans="1:40" s="1232" customFormat="1" ht="18" customHeight="1">
      <c r="A601" s="1233">
        <v>47</v>
      </c>
      <c r="B601" s="1233" t="s">
        <v>3443</v>
      </c>
      <c r="C601" s="1233" t="s">
        <v>3444</v>
      </c>
      <c r="D601" s="1233" t="s">
        <v>922</v>
      </c>
      <c r="E601" s="1233">
        <v>8</v>
      </c>
      <c r="F601" s="1233" t="s">
        <v>260</v>
      </c>
      <c r="G601" s="1234" t="s">
        <v>325</v>
      </c>
      <c r="H601" s="1233"/>
      <c r="I601" s="1233"/>
      <c r="J601" s="1233"/>
      <c r="K601" s="1233"/>
      <c r="L601" s="1233"/>
      <c r="M601" s="1233"/>
      <c r="N601" s="1233"/>
      <c r="O601" s="1233" t="s">
        <v>261</v>
      </c>
      <c r="P601" s="1233"/>
      <c r="Q601" s="1233"/>
      <c r="R601" s="1233"/>
      <c r="S601" s="1233"/>
      <c r="T601" s="1233"/>
      <c r="U601" s="1233"/>
      <c r="V601" s="1235"/>
      <c r="W601" s="1235"/>
      <c r="X601" s="1235" t="s">
        <v>3445</v>
      </c>
      <c r="Y601" s="1235"/>
      <c r="Z601" s="1233"/>
      <c r="AA601" s="1233"/>
      <c r="AB601" s="1233"/>
      <c r="AC601" s="1233"/>
      <c r="AD601" s="1233"/>
      <c r="AE601" s="1244"/>
      <c r="AF601" s="1233"/>
      <c r="AG601" s="1243"/>
      <c r="AH601" s="1243"/>
      <c r="AI601" s="1243"/>
      <c r="AJ601" s="1243"/>
      <c r="AK601" s="1237"/>
      <c r="AL601" s="1237"/>
      <c r="AM601" s="1237"/>
      <c r="AN601" s="1237"/>
    </row>
    <row r="602" spans="1:40" ht="30.75" customHeight="1" outlineLevel="1">
      <c r="A602" s="1363"/>
      <c r="B602" s="1363"/>
      <c r="C602" s="1363"/>
      <c r="D602" s="1363"/>
      <c r="E602" s="1363"/>
      <c r="F602" s="1363"/>
      <c r="G602" s="1363" t="s">
        <v>325</v>
      </c>
      <c r="H602" s="1500"/>
      <c r="I602" s="1500"/>
      <c r="J602" s="1500"/>
      <c r="K602" s="1500"/>
      <c r="L602" s="1500"/>
      <c r="M602" s="1500"/>
      <c r="N602" s="1500"/>
      <c r="O602" s="1500"/>
      <c r="P602" s="1500"/>
      <c r="Q602" s="1500"/>
      <c r="R602" s="1500"/>
      <c r="S602" s="1500"/>
      <c r="T602" s="1500"/>
      <c r="U602" s="1363"/>
      <c r="V602" s="117"/>
      <c r="W602" s="117"/>
      <c r="X602" s="2970" t="s">
        <v>3446</v>
      </c>
      <c r="Y602" s="1543" t="s">
        <v>3447</v>
      </c>
      <c r="Z602" s="454">
        <v>0</v>
      </c>
      <c r="AA602" s="1512">
        <v>0</v>
      </c>
      <c r="AB602" s="1548">
        <f t="shared" ref="AB602:AB633" si="3">Z602*8+AA602</f>
        <v>0</v>
      </c>
      <c r="AC602" s="1512">
        <v>16</v>
      </c>
      <c r="AD602" s="1527"/>
      <c r="AE602" s="1527"/>
      <c r="AF602" s="1538">
        <v>0.1</v>
      </c>
      <c r="AG602" s="1538">
        <v>0</v>
      </c>
      <c r="AH602" s="1538"/>
      <c r="AI602" s="1538" t="s">
        <v>617</v>
      </c>
      <c r="AJ602" s="1512" t="s">
        <v>1007</v>
      </c>
      <c r="AK602" s="1500"/>
      <c r="AL602" s="364"/>
      <c r="AM602" s="1363"/>
      <c r="AN602" s="1363"/>
    </row>
    <row r="603" spans="1:40" ht="30.75" customHeight="1" outlineLevel="1">
      <c r="A603" s="1363"/>
      <c r="B603" s="1363"/>
      <c r="C603" s="1363"/>
      <c r="D603" s="1363"/>
      <c r="E603" s="1363"/>
      <c r="F603" s="1363"/>
      <c r="G603" s="1363" t="s">
        <v>325</v>
      </c>
      <c r="H603" s="1500"/>
      <c r="I603" s="1500"/>
      <c r="J603" s="1500"/>
      <c r="K603" s="1500"/>
      <c r="L603" s="1500"/>
      <c r="M603" s="1500"/>
      <c r="N603" s="1500"/>
      <c r="O603" s="1500"/>
      <c r="P603" s="1500"/>
      <c r="Q603" s="1500"/>
      <c r="R603" s="1500"/>
      <c r="S603" s="1500"/>
      <c r="T603" s="1500"/>
      <c r="U603" s="1363"/>
      <c r="V603" s="117"/>
      <c r="W603" s="117"/>
      <c r="X603" s="2971" t="s">
        <v>3368</v>
      </c>
      <c r="Y603" s="1543" t="s">
        <v>3448</v>
      </c>
      <c r="Z603" s="670">
        <v>2</v>
      </c>
      <c r="AA603" s="1548">
        <v>0</v>
      </c>
      <c r="AB603" s="1548">
        <f t="shared" si="3"/>
        <v>16</v>
      </c>
      <c r="AC603" s="1548">
        <v>16</v>
      </c>
      <c r="AD603" s="1528"/>
      <c r="AE603" s="1528"/>
      <c r="AF603" s="1539">
        <v>0.1</v>
      </c>
      <c r="AG603" s="1539">
        <v>0</v>
      </c>
      <c r="AH603" s="1539"/>
      <c r="AI603" s="1539" t="s">
        <v>617</v>
      </c>
      <c r="AJ603" s="1548" t="s">
        <v>98</v>
      </c>
      <c r="AK603" s="1500"/>
      <c r="AL603" s="364"/>
      <c r="AM603" s="1363"/>
      <c r="AN603" s="1363"/>
    </row>
    <row r="604" spans="1:40" ht="30.75" customHeight="1" outlineLevel="1">
      <c r="A604" s="1363"/>
      <c r="B604" s="1363"/>
      <c r="C604" s="1363"/>
      <c r="D604" s="1363"/>
      <c r="E604" s="1363"/>
      <c r="F604" s="1363"/>
      <c r="G604" s="1363" t="s">
        <v>325</v>
      </c>
      <c r="H604" s="1500"/>
      <c r="I604" s="1500"/>
      <c r="J604" s="1500"/>
      <c r="K604" s="1500"/>
      <c r="L604" s="1500"/>
      <c r="M604" s="1500"/>
      <c r="N604" s="1500"/>
      <c r="O604" s="1500"/>
      <c r="P604" s="1500"/>
      <c r="Q604" s="1500"/>
      <c r="R604" s="1500"/>
      <c r="S604" s="1500"/>
      <c r="T604" s="1500"/>
      <c r="U604" s="1363"/>
      <c r="V604" s="117"/>
      <c r="W604" s="117"/>
      <c r="X604" s="2972" t="s">
        <v>3370</v>
      </c>
      <c r="Y604" s="1543" t="s">
        <v>3449</v>
      </c>
      <c r="Z604" s="670">
        <v>4</v>
      </c>
      <c r="AA604" s="1548">
        <v>0</v>
      </c>
      <c r="AB604" s="1548">
        <f t="shared" si="3"/>
        <v>32</v>
      </c>
      <c r="AC604" s="1548">
        <v>1</v>
      </c>
      <c r="AD604" s="1528"/>
      <c r="AE604" s="1528" t="s">
        <v>3372</v>
      </c>
      <c r="AF604" s="1539"/>
      <c r="AG604" s="1528"/>
      <c r="AH604" s="1539"/>
      <c r="AI604" s="1528"/>
      <c r="AJ604" s="1528"/>
      <c r="AK604" s="435">
        <v>20240815</v>
      </c>
      <c r="AL604" s="342" t="s">
        <v>3373</v>
      </c>
      <c r="AM604" s="1363"/>
      <c r="AN604" s="1363"/>
    </row>
    <row r="605" spans="1:40" ht="30.75" customHeight="1" outlineLevel="1">
      <c r="A605" s="1363"/>
      <c r="B605" s="1363"/>
      <c r="C605" s="1363"/>
      <c r="D605" s="1363"/>
      <c r="E605" s="1363"/>
      <c r="F605" s="1363"/>
      <c r="G605" s="1363" t="s">
        <v>325</v>
      </c>
      <c r="H605" s="1500"/>
      <c r="I605" s="1500"/>
      <c r="J605" s="1500"/>
      <c r="K605" s="1500"/>
      <c r="L605" s="1500"/>
      <c r="M605" s="1500"/>
      <c r="N605" s="1500"/>
      <c r="O605" s="1500"/>
      <c r="P605" s="1500"/>
      <c r="Q605" s="1500"/>
      <c r="R605" s="1500"/>
      <c r="S605" s="1500"/>
      <c r="T605" s="1500"/>
      <c r="U605" s="1363"/>
      <c r="V605" s="117"/>
      <c r="W605" s="117"/>
      <c r="X605" s="2973" t="s">
        <v>3374</v>
      </c>
      <c r="Y605" s="1543" t="s">
        <v>3450</v>
      </c>
      <c r="Z605" s="670">
        <v>4</v>
      </c>
      <c r="AA605" s="1548">
        <v>1</v>
      </c>
      <c r="AB605" s="1548">
        <f t="shared" si="3"/>
        <v>33</v>
      </c>
      <c r="AC605" s="1548">
        <v>1</v>
      </c>
      <c r="AD605" s="1528"/>
      <c r="AE605" s="1528" t="s">
        <v>3376</v>
      </c>
      <c r="AF605" s="1539"/>
      <c r="AG605" s="1528"/>
      <c r="AH605" s="1539"/>
      <c r="AI605" s="1528"/>
      <c r="AJ605" s="1528"/>
      <c r="AK605" s="435">
        <v>20240815</v>
      </c>
      <c r="AL605" s="342" t="s">
        <v>3373</v>
      </c>
      <c r="AM605" s="1363"/>
      <c r="AN605" s="1363"/>
    </row>
    <row r="606" spans="1:40" ht="30.75" customHeight="1" outlineLevel="1">
      <c r="A606" s="1363"/>
      <c r="B606" s="1363"/>
      <c r="C606" s="1363"/>
      <c r="D606" s="1363"/>
      <c r="E606" s="1363"/>
      <c r="F606" s="1363"/>
      <c r="G606" s="1363" t="s">
        <v>325</v>
      </c>
      <c r="H606" s="1500"/>
      <c r="I606" s="1500"/>
      <c r="J606" s="1500"/>
      <c r="K606" s="1500"/>
      <c r="L606" s="1500"/>
      <c r="M606" s="1500"/>
      <c r="N606" s="1500"/>
      <c r="O606" s="1500"/>
      <c r="P606" s="1500"/>
      <c r="Q606" s="1500"/>
      <c r="R606" s="1500"/>
      <c r="S606" s="1500"/>
      <c r="T606" s="1500"/>
      <c r="U606" s="1363"/>
      <c r="V606" s="117"/>
      <c r="W606" s="117"/>
      <c r="X606" s="2974" t="s">
        <v>3377</v>
      </c>
      <c r="Y606" s="1543" t="s">
        <v>3451</v>
      </c>
      <c r="Z606" s="670">
        <v>4</v>
      </c>
      <c r="AA606" s="1548">
        <v>2</v>
      </c>
      <c r="AB606" s="1548">
        <f t="shared" si="3"/>
        <v>34</v>
      </c>
      <c r="AC606" s="1548">
        <v>2</v>
      </c>
      <c r="AD606" s="1528"/>
      <c r="AE606" s="2975" t="s">
        <v>3379</v>
      </c>
      <c r="AF606" s="1539"/>
      <c r="AG606" s="1528"/>
      <c r="AH606" s="1539"/>
      <c r="AI606" s="1528"/>
      <c r="AJ606" s="1528"/>
      <c r="AK606" s="435">
        <v>20240815</v>
      </c>
      <c r="AL606" s="342" t="s">
        <v>3373</v>
      </c>
      <c r="AM606" s="1363"/>
      <c r="AN606" s="1363"/>
    </row>
    <row r="607" spans="1:40" ht="30.75" customHeight="1" outlineLevel="1">
      <c r="A607" s="1363"/>
      <c r="B607" s="1363"/>
      <c r="C607" s="1363"/>
      <c r="D607" s="1363"/>
      <c r="E607" s="1363"/>
      <c r="F607" s="1363"/>
      <c r="G607" s="1363" t="s">
        <v>325</v>
      </c>
      <c r="H607" s="1500"/>
      <c r="I607" s="1500"/>
      <c r="J607" s="1500"/>
      <c r="K607" s="1500"/>
      <c r="L607" s="1500"/>
      <c r="M607" s="1500"/>
      <c r="N607" s="1500"/>
      <c r="O607" s="1500"/>
      <c r="P607" s="1500"/>
      <c r="Q607" s="1500"/>
      <c r="R607" s="1500"/>
      <c r="S607" s="1500"/>
      <c r="T607" s="1500"/>
      <c r="U607" s="1363"/>
      <c r="V607" s="117"/>
      <c r="W607" s="117"/>
      <c r="X607" s="2976" t="s">
        <v>3380</v>
      </c>
      <c r="Y607" s="1543" t="s">
        <v>3452</v>
      </c>
      <c r="Z607" s="670">
        <v>4</v>
      </c>
      <c r="AA607" s="1548">
        <v>4</v>
      </c>
      <c r="AB607" s="1548">
        <f t="shared" si="3"/>
        <v>36</v>
      </c>
      <c r="AC607" s="1548">
        <v>1</v>
      </c>
      <c r="AD607" s="1528"/>
      <c r="AE607" s="1528" t="s">
        <v>986</v>
      </c>
      <c r="AF607" s="1539"/>
      <c r="AG607" s="1528"/>
      <c r="AH607" s="1539"/>
      <c r="AI607" s="1528"/>
      <c r="AJ607" s="1528"/>
      <c r="AK607" s="435">
        <v>20240815</v>
      </c>
      <c r="AL607" s="342" t="s">
        <v>3373</v>
      </c>
      <c r="AM607" s="1363"/>
      <c r="AN607" s="1363"/>
    </row>
    <row r="608" spans="1:40" ht="30.75" customHeight="1" outlineLevel="1">
      <c r="A608" s="1363"/>
      <c r="B608" s="1363"/>
      <c r="C608" s="1363"/>
      <c r="D608" s="1363"/>
      <c r="E608" s="1363"/>
      <c r="F608" s="1363"/>
      <c r="G608" s="1363" t="s">
        <v>325</v>
      </c>
      <c r="H608" s="1500"/>
      <c r="I608" s="1500"/>
      <c r="J608" s="1500"/>
      <c r="K608" s="1500"/>
      <c r="L608" s="1500"/>
      <c r="M608" s="1500"/>
      <c r="N608" s="1500"/>
      <c r="O608" s="1500"/>
      <c r="P608" s="1500"/>
      <c r="Q608" s="1500"/>
      <c r="R608" s="1500"/>
      <c r="S608" s="1500"/>
      <c r="T608" s="1500"/>
      <c r="U608" s="1363"/>
      <c r="V608" s="117"/>
      <c r="W608" s="117"/>
      <c r="X608" s="2977" t="s">
        <v>3382</v>
      </c>
      <c r="Y608" s="1543" t="s">
        <v>3453</v>
      </c>
      <c r="Z608" s="670">
        <v>4</v>
      </c>
      <c r="AA608" s="1548">
        <v>5</v>
      </c>
      <c r="AB608" s="1548">
        <f t="shared" si="3"/>
        <v>37</v>
      </c>
      <c r="AC608" s="1548">
        <v>1</v>
      </c>
      <c r="AD608" s="1528"/>
      <c r="AE608" s="1528" t="s">
        <v>986</v>
      </c>
      <c r="AF608" s="1539"/>
      <c r="AG608" s="1528"/>
      <c r="AH608" s="1539"/>
      <c r="AI608" s="1528"/>
      <c r="AJ608" s="1528"/>
      <c r="AK608" s="435">
        <v>20240815</v>
      </c>
      <c r="AL608" s="342" t="s">
        <v>3373</v>
      </c>
      <c r="AM608" s="1363"/>
      <c r="AN608" s="1363"/>
    </row>
    <row r="609" spans="1:50" ht="30.75" customHeight="1" outlineLevel="1">
      <c r="A609" s="1363"/>
      <c r="B609" s="1363"/>
      <c r="C609" s="1363"/>
      <c r="D609" s="1363"/>
      <c r="E609" s="1363"/>
      <c r="F609" s="1363"/>
      <c r="G609" s="1363" t="s">
        <v>325</v>
      </c>
      <c r="H609" s="1500"/>
      <c r="I609" s="1500"/>
      <c r="J609" s="1500"/>
      <c r="K609" s="1500"/>
      <c r="L609" s="1500"/>
      <c r="M609" s="1500"/>
      <c r="N609" s="1500"/>
      <c r="O609" s="1500"/>
      <c r="P609" s="1500"/>
      <c r="Q609" s="1500"/>
      <c r="R609" s="1500"/>
      <c r="S609" s="1500"/>
      <c r="T609" s="1500"/>
      <c r="U609" s="1363"/>
      <c r="V609" s="117"/>
      <c r="W609" s="117"/>
      <c r="X609" s="2978" t="s">
        <v>3384</v>
      </c>
      <c r="Y609" s="1543" t="s">
        <v>3454</v>
      </c>
      <c r="Z609" s="670">
        <v>4</v>
      </c>
      <c r="AA609" s="1548">
        <v>6</v>
      </c>
      <c r="AB609" s="1548">
        <f t="shared" si="3"/>
        <v>38</v>
      </c>
      <c r="AC609" s="1548">
        <v>1</v>
      </c>
      <c r="AD609" s="1528"/>
      <c r="AE609" s="1528" t="s">
        <v>986</v>
      </c>
      <c r="AF609" s="1539"/>
      <c r="AG609" s="1528"/>
      <c r="AH609" s="1539"/>
      <c r="AI609" s="1528"/>
      <c r="AJ609" s="1528"/>
      <c r="AK609" s="435">
        <v>20240815</v>
      </c>
      <c r="AL609" s="342" t="s">
        <v>3373</v>
      </c>
      <c r="AM609" s="1363"/>
      <c r="AN609" s="1363"/>
    </row>
    <row r="610" spans="1:50" ht="30.75" customHeight="1" outlineLevel="1">
      <c r="A610" s="1363"/>
      <c r="B610" s="1363"/>
      <c r="C610" s="1363"/>
      <c r="D610" s="1363"/>
      <c r="E610" s="1363"/>
      <c r="F610" s="1363"/>
      <c r="G610" s="1363" t="s">
        <v>325</v>
      </c>
      <c r="H610" s="1500"/>
      <c r="I610" s="1500"/>
      <c r="J610" s="1500"/>
      <c r="K610" s="1500"/>
      <c r="L610" s="1500"/>
      <c r="M610" s="1500"/>
      <c r="N610" s="1500"/>
      <c r="O610" s="1500"/>
      <c r="P610" s="1500"/>
      <c r="Q610" s="1500"/>
      <c r="R610" s="1500"/>
      <c r="S610" s="1500"/>
      <c r="T610" s="1500"/>
      <c r="U610" s="1363"/>
      <c r="V610" s="117"/>
      <c r="W610" s="117"/>
      <c r="X610" s="2979" t="s">
        <v>3386</v>
      </c>
      <c r="Y610" s="1543" t="s">
        <v>3455</v>
      </c>
      <c r="Z610" s="670">
        <v>4</v>
      </c>
      <c r="AA610" s="1548">
        <v>7</v>
      </c>
      <c r="AB610" s="1548">
        <f t="shared" si="3"/>
        <v>39</v>
      </c>
      <c r="AC610" s="1548">
        <v>1</v>
      </c>
      <c r="AD610" s="1528"/>
      <c r="AE610" s="1528" t="s">
        <v>986</v>
      </c>
      <c r="AF610" s="1539"/>
      <c r="AG610" s="1528"/>
      <c r="AH610" s="1539"/>
      <c r="AI610" s="1528"/>
      <c r="AJ610" s="1528"/>
      <c r="AK610" s="435">
        <v>20240815</v>
      </c>
      <c r="AL610" s="342" t="s">
        <v>3373</v>
      </c>
      <c r="AM610" s="1363"/>
      <c r="AN610" s="1363"/>
    </row>
    <row r="611" spans="1:50" ht="30.75" customHeight="1" outlineLevel="1">
      <c r="A611" s="1363"/>
      <c r="B611" s="1363"/>
      <c r="C611" s="1363"/>
      <c r="D611" s="1363"/>
      <c r="E611" s="1363"/>
      <c r="F611" s="1363"/>
      <c r="G611" s="1363" t="s">
        <v>325</v>
      </c>
      <c r="H611" s="1500"/>
      <c r="I611" s="1500"/>
      <c r="J611" s="1500"/>
      <c r="K611" s="1500"/>
      <c r="L611" s="1500"/>
      <c r="M611" s="1500"/>
      <c r="N611" s="1500"/>
      <c r="O611" s="1500"/>
      <c r="P611" s="1500"/>
      <c r="Q611" s="1500"/>
      <c r="R611" s="1500"/>
      <c r="S611" s="1500"/>
      <c r="T611" s="1500"/>
      <c r="U611" s="1363"/>
      <c r="V611" s="117"/>
      <c r="W611" s="117"/>
      <c r="X611" s="2980" t="s">
        <v>3388</v>
      </c>
      <c r="Y611" s="1543" t="s">
        <v>3456</v>
      </c>
      <c r="Z611" s="670">
        <v>5</v>
      </c>
      <c r="AA611" s="1548">
        <v>0</v>
      </c>
      <c r="AB611" s="1548">
        <f t="shared" si="3"/>
        <v>40</v>
      </c>
      <c r="AC611" s="1548">
        <v>1</v>
      </c>
      <c r="AD611" s="1528"/>
      <c r="AE611" s="1528" t="s">
        <v>3390</v>
      </c>
      <c r="AF611" s="1539"/>
      <c r="AG611" s="1528"/>
      <c r="AH611" s="1539"/>
      <c r="AI611" s="1528"/>
      <c r="AJ611" s="1528"/>
      <c r="AK611" s="435">
        <v>20240815</v>
      </c>
      <c r="AL611" s="342" t="s">
        <v>3373</v>
      </c>
      <c r="AM611" s="1363"/>
      <c r="AN611" s="1363"/>
    </row>
    <row r="612" spans="1:50" ht="30.75" customHeight="1" outlineLevel="1">
      <c r="A612" s="1363"/>
      <c r="B612" s="1363"/>
      <c r="C612" s="1363"/>
      <c r="D612" s="1363"/>
      <c r="E612" s="1363"/>
      <c r="F612" s="1363"/>
      <c r="G612" s="1363" t="s">
        <v>325</v>
      </c>
      <c r="H612" s="1500"/>
      <c r="I612" s="1500"/>
      <c r="J612" s="1500"/>
      <c r="K612" s="1500"/>
      <c r="L612" s="1500"/>
      <c r="M612" s="1500"/>
      <c r="N612" s="1500"/>
      <c r="O612" s="1500"/>
      <c r="P612" s="1500"/>
      <c r="Q612" s="1500"/>
      <c r="R612" s="1500"/>
      <c r="S612" s="1500"/>
      <c r="T612" s="1500"/>
      <c r="U612" s="1363"/>
      <c r="V612" s="117"/>
      <c r="W612" s="117"/>
      <c r="X612" s="2981" t="s">
        <v>3391</v>
      </c>
      <c r="Y612" s="1543" t="s">
        <v>3457</v>
      </c>
      <c r="Z612" s="630">
        <v>5</v>
      </c>
      <c r="AA612" s="1330">
        <v>1</v>
      </c>
      <c r="AB612" s="1330">
        <f t="shared" si="3"/>
        <v>41</v>
      </c>
      <c r="AC612" s="1330">
        <v>2</v>
      </c>
      <c r="AD612" s="1517"/>
      <c r="AE612" s="2982" t="s">
        <v>3393</v>
      </c>
      <c r="AF612" s="1516"/>
      <c r="AG612" s="1517"/>
      <c r="AH612" s="1517"/>
      <c r="AI612" s="1517"/>
      <c r="AJ612" s="1517"/>
      <c r="AK612" s="1363"/>
      <c r="AL612" s="364"/>
      <c r="AM612" s="1363"/>
      <c r="AN612" s="1363"/>
    </row>
    <row r="613" spans="1:50" ht="30.75" customHeight="1" outlineLevel="1">
      <c r="A613" s="1363"/>
      <c r="B613" s="1363"/>
      <c r="C613" s="1363"/>
      <c r="D613" s="1363"/>
      <c r="E613" s="1363"/>
      <c r="F613" s="1363"/>
      <c r="G613" s="1363" t="s">
        <v>325</v>
      </c>
      <c r="H613" s="1500"/>
      <c r="I613" s="1500"/>
      <c r="J613" s="1500"/>
      <c r="K613" s="1500"/>
      <c r="L613" s="1500"/>
      <c r="M613" s="1500"/>
      <c r="N613" s="1500"/>
      <c r="O613" s="1500"/>
      <c r="P613" s="1500"/>
      <c r="Q613" s="1500"/>
      <c r="R613" s="1500"/>
      <c r="S613" s="1500"/>
      <c r="T613" s="1500"/>
      <c r="U613" s="1363"/>
      <c r="V613" s="117"/>
      <c r="W613" s="117"/>
      <c r="X613" s="2983" t="s">
        <v>3394</v>
      </c>
      <c r="Y613" s="1543" t="s">
        <v>3458</v>
      </c>
      <c r="Z613" s="670">
        <v>5</v>
      </c>
      <c r="AA613" s="1548">
        <v>3</v>
      </c>
      <c r="AB613" s="1548">
        <f t="shared" si="3"/>
        <v>43</v>
      </c>
      <c r="AC613" s="1548">
        <v>1</v>
      </c>
      <c r="AD613" s="1528"/>
      <c r="AE613" s="1528" t="s">
        <v>3396</v>
      </c>
      <c r="AF613" s="1539"/>
      <c r="AG613" s="1528"/>
      <c r="AH613" s="1528"/>
      <c r="AI613" s="1528"/>
      <c r="AJ613" s="1528"/>
      <c r="AK613" s="1363"/>
      <c r="AL613" s="364"/>
      <c r="AM613" s="1363"/>
      <c r="AN613" s="1363"/>
    </row>
    <row r="614" spans="1:50" ht="30.75" customHeight="1" outlineLevel="1">
      <c r="A614" s="1363"/>
      <c r="B614" s="1363"/>
      <c r="C614" s="1363"/>
      <c r="D614" s="1363"/>
      <c r="E614" s="1363"/>
      <c r="F614" s="1363"/>
      <c r="G614" s="1363" t="s">
        <v>325</v>
      </c>
      <c r="H614" s="1500"/>
      <c r="I614" s="1500"/>
      <c r="J614" s="1500"/>
      <c r="K614" s="1500"/>
      <c r="L614" s="1500"/>
      <c r="M614" s="1500"/>
      <c r="N614" s="1500"/>
      <c r="O614" s="1500"/>
      <c r="P614" s="1500"/>
      <c r="Q614" s="1500"/>
      <c r="R614" s="1500"/>
      <c r="S614" s="1500"/>
      <c r="T614" s="1500"/>
      <c r="U614" s="1363"/>
      <c r="V614" s="117"/>
      <c r="W614" s="117"/>
      <c r="X614" s="2984" t="s">
        <v>3397</v>
      </c>
      <c r="Y614" s="1543" t="s">
        <v>3459</v>
      </c>
      <c r="Z614" s="670">
        <v>5</v>
      </c>
      <c r="AA614" s="1548">
        <v>4</v>
      </c>
      <c r="AB614" s="1548">
        <f t="shared" si="3"/>
        <v>44</v>
      </c>
      <c r="AC614" s="1548">
        <v>1</v>
      </c>
      <c r="AD614" s="1528"/>
      <c r="AE614" s="1528" t="s">
        <v>3399</v>
      </c>
      <c r="AF614" s="1539"/>
      <c r="AG614" s="1528"/>
      <c r="AH614" s="1528"/>
      <c r="AI614" s="1528"/>
      <c r="AJ614" s="1528"/>
      <c r="AK614" s="1363"/>
      <c r="AL614" s="364"/>
      <c r="AM614" s="1363"/>
      <c r="AN614" s="1363"/>
    </row>
    <row r="615" spans="1:50" ht="30.75" customHeight="1" outlineLevel="1">
      <c r="A615" s="1363"/>
      <c r="B615" s="1363"/>
      <c r="C615" s="1363"/>
      <c r="D615" s="1363"/>
      <c r="E615" s="1363"/>
      <c r="F615" s="1363"/>
      <c r="G615" s="1363" t="s">
        <v>325</v>
      </c>
      <c r="H615" s="1500"/>
      <c r="I615" s="1500"/>
      <c r="J615" s="1500"/>
      <c r="K615" s="1500"/>
      <c r="L615" s="1500"/>
      <c r="M615" s="1500"/>
      <c r="N615" s="1500"/>
      <c r="O615" s="1500"/>
      <c r="P615" s="1500"/>
      <c r="Q615" s="1500"/>
      <c r="R615" s="1500"/>
      <c r="S615" s="1500"/>
      <c r="T615" s="1500"/>
      <c r="U615" s="1363"/>
      <c r="V615" s="117"/>
      <c r="W615" s="117"/>
      <c r="X615" s="1539" t="s">
        <v>3400</v>
      </c>
      <c r="Y615" s="1543" t="s">
        <v>3460</v>
      </c>
      <c r="Z615" s="670">
        <v>5</v>
      </c>
      <c r="AA615" s="1548">
        <v>5</v>
      </c>
      <c r="AB615" s="1548">
        <f t="shared" si="3"/>
        <v>45</v>
      </c>
      <c r="AC615" s="1548">
        <v>1</v>
      </c>
      <c r="AD615" s="1528"/>
      <c r="AE615" s="1528" t="s">
        <v>3399</v>
      </c>
      <c r="AF615" s="1539"/>
      <c r="AG615" s="1528"/>
      <c r="AH615" s="1528"/>
      <c r="AI615" s="1528"/>
      <c r="AJ615" s="1528"/>
      <c r="AK615" s="1363"/>
      <c r="AL615" s="364"/>
      <c r="AM615" s="1363"/>
      <c r="AN615" s="1363"/>
    </row>
    <row r="616" spans="1:50" ht="30.75" customHeight="1" outlineLevel="1">
      <c r="A616" s="1363"/>
      <c r="B616" s="1363"/>
      <c r="C616" s="1363"/>
      <c r="D616" s="1363"/>
      <c r="E616" s="1363"/>
      <c r="F616" s="1363"/>
      <c r="G616" s="1363" t="s">
        <v>325</v>
      </c>
      <c r="H616" s="1500"/>
      <c r="I616" s="1500"/>
      <c r="J616" s="1500"/>
      <c r="K616" s="1500"/>
      <c r="L616" s="1500"/>
      <c r="M616" s="1500"/>
      <c r="N616" s="1500"/>
      <c r="O616" s="1500"/>
      <c r="P616" s="1500"/>
      <c r="Q616" s="1500"/>
      <c r="R616" s="1500"/>
      <c r="S616" s="1500"/>
      <c r="T616" s="1500"/>
      <c r="U616" s="1363"/>
      <c r="V616" s="117"/>
      <c r="W616" s="117"/>
      <c r="X616" s="1539" t="s">
        <v>3461</v>
      </c>
      <c r="Y616" s="1543" t="s">
        <v>3462</v>
      </c>
      <c r="Z616" s="670">
        <v>6</v>
      </c>
      <c r="AA616" s="1548">
        <v>0</v>
      </c>
      <c r="AB616" s="1548">
        <f t="shared" si="3"/>
        <v>48</v>
      </c>
      <c r="AC616" s="1548">
        <v>8</v>
      </c>
      <c r="AD616" s="1528"/>
      <c r="AE616" s="2985" t="s">
        <v>3463</v>
      </c>
      <c r="AF616" s="1539"/>
      <c r="AG616" s="1528"/>
      <c r="AH616" s="1528"/>
      <c r="AI616" s="1528"/>
      <c r="AJ616" s="1528"/>
      <c r="AK616" s="1363"/>
      <c r="AL616" s="364"/>
      <c r="AM616" s="1363"/>
      <c r="AN616" s="1363"/>
    </row>
    <row r="617" spans="1:50" ht="14.25" customHeight="1" outlineLevel="1">
      <c r="A617" s="1363"/>
      <c r="B617" s="1363"/>
      <c r="C617" s="1363"/>
      <c r="D617" s="1363"/>
      <c r="E617" s="1363"/>
      <c r="F617" s="1363"/>
      <c r="G617" s="1363" t="s">
        <v>325</v>
      </c>
      <c r="H617" s="1500"/>
      <c r="I617" s="1500"/>
      <c r="J617" s="1500"/>
      <c r="K617" s="1500"/>
      <c r="L617" s="1500"/>
      <c r="M617" s="1500" t="s">
        <v>261</v>
      </c>
      <c r="N617" s="1500"/>
      <c r="O617" s="1500"/>
      <c r="P617" s="1500"/>
      <c r="Q617" s="1500"/>
      <c r="R617" s="1500"/>
      <c r="S617" s="1500"/>
      <c r="T617" s="1500"/>
      <c r="U617" s="1363"/>
      <c r="V617" s="117"/>
      <c r="W617" s="117"/>
      <c r="X617" s="2986" t="s">
        <v>3441</v>
      </c>
      <c r="Y617" s="1543" t="s">
        <v>3464</v>
      </c>
      <c r="Z617" s="670">
        <v>7</v>
      </c>
      <c r="AA617" s="1548">
        <v>0</v>
      </c>
      <c r="AB617" s="1548">
        <f t="shared" si="3"/>
        <v>56</v>
      </c>
      <c r="AC617" s="1548">
        <v>8</v>
      </c>
      <c r="AD617" s="1528"/>
      <c r="AE617" s="1528"/>
      <c r="AF617" s="1539">
        <v>1</v>
      </c>
      <c r="AG617" s="1539">
        <v>-40</v>
      </c>
      <c r="AH617" s="1539"/>
      <c r="AI617" s="1539">
        <v>0</v>
      </c>
      <c r="AJ617" s="1539" t="s">
        <v>508</v>
      </c>
      <c r="AK617" s="117"/>
      <c r="AL617" s="364"/>
      <c r="AM617" s="1363"/>
      <c r="AN617" s="1363"/>
    </row>
    <row r="618" spans="1:50" s="1232" customFormat="1" ht="18" customHeight="1">
      <c r="A618" s="1233">
        <v>48</v>
      </c>
      <c r="B618" s="1233" t="s">
        <v>3465</v>
      </c>
      <c r="C618" s="1233" t="s">
        <v>3466</v>
      </c>
      <c r="D618" s="1233" t="s">
        <v>844</v>
      </c>
      <c r="E618" s="1233">
        <v>8</v>
      </c>
      <c r="F618" s="1233" t="s">
        <v>260</v>
      </c>
      <c r="G618" s="1234"/>
      <c r="H618" s="1233"/>
      <c r="I618" s="1233"/>
      <c r="J618" s="1233"/>
      <c r="K618" s="1233"/>
      <c r="L618" s="1233" t="s">
        <v>325</v>
      </c>
      <c r="M618" s="1233"/>
      <c r="N618" s="1233"/>
      <c r="O618" s="1233" t="s">
        <v>261</v>
      </c>
      <c r="P618" s="1233"/>
      <c r="Q618" s="1233"/>
      <c r="R618" s="1233"/>
      <c r="S618" s="1233"/>
      <c r="T618" s="1233"/>
      <c r="U618" s="1233"/>
      <c r="V618" s="1235"/>
      <c r="W618" s="1235"/>
      <c r="X618" s="1235" t="s">
        <v>3467</v>
      </c>
      <c r="Y618" s="1235"/>
      <c r="Z618" s="1233"/>
      <c r="AA618" s="1233"/>
      <c r="AB618" s="1238">
        <f t="shared" si="3"/>
        <v>0</v>
      </c>
      <c r="AC618" s="1233"/>
      <c r="AD618" s="1233"/>
      <c r="AE618" s="1233"/>
      <c r="AF618" s="1233"/>
      <c r="AG618" s="1233"/>
      <c r="AH618" s="1233"/>
      <c r="AI618" s="1233"/>
      <c r="AJ618" s="1233"/>
      <c r="AK618" s="1236"/>
      <c r="AL618" s="1237"/>
      <c r="AM618" s="1237"/>
      <c r="AN618" s="1237"/>
    </row>
    <row r="619" spans="1:50" ht="30.75" customHeight="1" outlineLevel="1">
      <c r="A619" s="1500"/>
      <c r="B619" s="1500"/>
      <c r="C619" s="1500"/>
      <c r="D619" s="1500"/>
      <c r="E619" s="1500"/>
      <c r="F619" s="1500"/>
      <c r="G619" s="1363"/>
      <c r="H619" s="1500"/>
      <c r="I619" s="1500"/>
      <c r="J619" s="1500"/>
      <c r="K619" s="1500"/>
      <c r="L619" s="1500"/>
      <c r="M619" s="1500"/>
      <c r="N619" s="1500"/>
      <c r="O619" s="1500"/>
      <c r="P619" s="1500"/>
      <c r="Q619" s="1500"/>
      <c r="R619" s="1500"/>
      <c r="S619" s="1500"/>
      <c r="T619" s="1500"/>
      <c r="U619" s="1363"/>
      <c r="V619" s="117"/>
      <c r="W619" s="117"/>
      <c r="X619" s="2987" t="s">
        <v>532</v>
      </c>
      <c r="Y619" s="117" t="s">
        <v>588</v>
      </c>
      <c r="Z619" s="131">
        <v>0</v>
      </c>
      <c r="AA619" s="101">
        <v>0</v>
      </c>
      <c r="AB619" s="1548">
        <f t="shared" si="3"/>
        <v>0</v>
      </c>
      <c r="AC619" s="101">
        <v>16</v>
      </c>
      <c r="AD619" s="101"/>
      <c r="AE619" s="1536"/>
      <c r="AF619" s="1536"/>
      <c r="AG619" s="1536"/>
      <c r="AH619" s="1536"/>
      <c r="AI619" s="1536"/>
      <c r="AJ619" s="140"/>
      <c r="AK619" s="616"/>
      <c r="AL619" s="364"/>
      <c r="AM619" s="1363"/>
      <c r="AN619" s="1363"/>
    </row>
    <row r="620" spans="1:50" ht="30.75" customHeight="1" outlineLevel="1">
      <c r="A620" s="1500"/>
      <c r="B620" s="1500"/>
      <c r="C620" s="1500"/>
      <c r="D620" s="1500"/>
      <c r="E620" s="1500"/>
      <c r="F620" s="1500"/>
      <c r="G620" s="1363"/>
      <c r="H620" s="1500"/>
      <c r="I620" s="1500"/>
      <c r="J620" s="1500"/>
      <c r="K620" s="1500"/>
      <c r="L620" s="1500"/>
      <c r="M620" s="1500"/>
      <c r="N620" s="1500"/>
      <c r="O620" s="1500"/>
      <c r="P620" s="1500"/>
      <c r="Q620" s="1500"/>
      <c r="R620" s="1500"/>
      <c r="S620" s="1500"/>
      <c r="T620" s="1500"/>
      <c r="U620" s="1363"/>
      <c r="V620" s="117"/>
      <c r="W620" s="117"/>
      <c r="X620" s="2988" t="s">
        <v>534</v>
      </c>
      <c r="Y620" s="117" t="s">
        <v>589</v>
      </c>
      <c r="Z620" s="132">
        <v>2</v>
      </c>
      <c r="AA620" s="103">
        <v>0</v>
      </c>
      <c r="AB620" s="1548">
        <f t="shared" si="3"/>
        <v>16</v>
      </c>
      <c r="AC620" s="103">
        <v>8</v>
      </c>
      <c r="AD620" s="103"/>
      <c r="AE620" s="1537"/>
      <c r="AF620" s="1537"/>
      <c r="AG620" s="1537"/>
      <c r="AH620" s="1537"/>
      <c r="AI620" s="1537"/>
      <c r="AJ620" s="141" t="s">
        <v>536</v>
      </c>
      <c r="AK620" s="616" t="s">
        <v>3468</v>
      </c>
      <c r="AL620" s="364"/>
      <c r="AM620" s="1363"/>
      <c r="AN620" s="1363"/>
    </row>
    <row r="621" spans="1:50" ht="45.75" customHeight="1" outlineLevel="1">
      <c r="A621" s="1500"/>
      <c r="B621" s="1500"/>
      <c r="C621" s="1500"/>
      <c r="D621" s="1500"/>
      <c r="E621" s="1500"/>
      <c r="F621" s="1500"/>
      <c r="G621" s="1363"/>
      <c r="H621" s="1500"/>
      <c r="I621" s="1500"/>
      <c r="J621" s="1500"/>
      <c r="K621" s="1500"/>
      <c r="L621" s="1500"/>
      <c r="M621" s="1500"/>
      <c r="N621" s="1500"/>
      <c r="O621" s="1500"/>
      <c r="P621" s="1500"/>
      <c r="Q621" s="1500"/>
      <c r="R621" s="1500"/>
      <c r="S621" s="1500"/>
      <c r="T621" s="1500"/>
      <c r="U621" s="1363"/>
      <c r="V621" s="117"/>
      <c r="W621" s="117"/>
      <c r="X621" s="2989" t="s">
        <v>537</v>
      </c>
      <c r="Y621" s="117" t="s">
        <v>590</v>
      </c>
      <c r="Z621" s="132">
        <v>3</v>
      </c>
      <c r="AA621" s="103">
        <v>0</v>
      </c>
      <c r="AB621" s="1548">
        <f t="shared" si="3"/>
        <v>24</v>
      </c>
      <c r="AC621" s="103">
        <v>8</v>
      </c>
      <c r="AD621" s="103"/>
      <c r="AE621" s="1537"/>
      <c r="AF621" s="1537"/>
      <c r="AG621" s="1537"/>
      <c r="AH621" s="1537"/>
      <c r="AI621" s="1537"/>
      <c r="AJ621" s="141" t="s">
        <v>539</v>
      </c>
      <c r="AK621" s="616"/>
      <c r="AL621" s="364"/>
      <c r="AM621" s="1363"/>
      <c r="AN621" s="1363"/>
    </row>
    <row r="622" spans="1:50" ht="30.75" customHeight="1" outlineLevel="1">
      <c r="A622" s="1500"/>
      <c r="B622" s="1500"/>
      <c r="C622" s="1500"/>
      <c r="D622" s="1500"/>
      <c r="E622" s="1500"/>
      <c r="F622" s="1500"/>
      <c r="G622" s="1363"/>
      <c r="H622" s="1500"/>
      <c r="I622" s="1500"/>
      <c r="J622" s="1500"/>
      <c r="K622" s="1500"/>
      <c r="L622" s="1500"/>
      <c r="M622" s="1500"/>
      <c r="N622" s="1500"/>
      <c r="O622" s="1500"/>
      <c r="P622" s="1500"/>
      <c r="Q622" s="1500"/>
      <c r="R622" s="1500"/>
      <c r="S622" s="1500"/>
      <c r="T622" s="1500"/>
      <c r="U622" s="1363"/>
      <c r="V622" s="117"/>
      <c r="W622" s="117"/>
      <c r="X622" s="2990" t="s">
        <v>540</v>
      </c>
      <c r="Y622" s="117" t="s">
        <v>591</v>
      </c>
      <c r="Z622" s="132">
        <v>4</v>
      </c>
      <c r="AA622" s="103">
        <v>0</v>
      </c>
      <c r="AB622" s="1548">
        <f t="shared" si="3"/>
        <v>32</v>
      </c>
      <c r="AC622" s="103">
        <v>8</v>
      </c>
      <c r="AD622" s="103"/>
      <c r="AE622" s="1537"/>
      <c r="AF622" s="1537"/>
      <c r="AG622" s="1537"/>
      <c r="AH622" s="1537"/>
      <c r="AI622" s="1537"/>
      <c r="AJ622" s="141" t="s">
        <v>542</v>
      </c>
      <c r="AK622" s="616"/>
      <c r="AL622" s="364"/>
      <c r="AM622" s="1363"/>
      <c r="AN622" s="1363"/>
    </row>
    <row r="623" spans="1:50" ht="14.25" customHeight="1" outlineLevel="1">
      <c r="A623" s="1500"/>
      <c r="B623" s="1500"/>
      <c r="C623" s="1500"/>
      <c r="D623" s="1500"/>
      <c r="E623" s="1500"/>
      <c r="F623" s="1500"/>
      <c r="G623" s="1363"/>
      <c r="H623" s="1500"/>
      <c r="I623" s="1500"/>
      <c r="J623" s="1500"/>
      <c r="K623" s="1500"/>
      <c r="L623" s="1500"/>
      <c r="M623" s="1500"/>
      <c r="N623" s="1500"/>
      <c r="O623" s="1500"/>
      <c r="P623" s="1500"/>
      <c r="Q623" s="1500"/>
      <c r="R623" s="1500"/>
      <c r="S623" s="1500"/>
      <c r="T623" s="1500"/>
      <c r="U623" s="1363"/>
      <c r="V623" s="117"/>
      <c r="W623" s="117"/>
      <c r="X623" s="2991" t="s">
        <v>543</v>
      </c>
      <c r="Y623" s="117" t="s">
        <v>592</v>
      </c>
      <c r="Z623" s="132">
        <v>5</v>
      </c>
      <c r="AA623" s="103">
        <v>0</v>
      </c>
      <c r="AB623" s="1548">
        <f t="shared" si="3"/>
        <v>40</v>
      </c>
      <c r="AC623" s="103">
        <v>24</v>
      </c>
      <c r="AD623" s="103"/>
      <c r="AE623" s="1537"/>
      <c r="AF623" s="1537"/>
      <c r="AG623" s="1537"/>
      <c r="AH623" s="1537"/>
      <c r="AI623" s="1537"/>
      <c r="AJ623" s="141" t="s">
        <v>545</v>
      </c>
      <c r="AK623" s="616"/>
      <c r="AL623" s="364"/>
      <c r="AM623" s="1363"/>
      <c r="AN623" s="1363"/>
    </row>
    <row r="624" spans="1:50" s="1232" customFormat="1" ht="18" customHeight="1">
      <c r="A624" s="1233">
        <v>49</v>
      </c>
      <c r="B624" s="1233" t="s">
        <v>3469</v>
      </c>
      <c r="C624" s="1233" t="s">
        <v>3470</v>
      </c>
      <c r="D624" s="1233" t="s">
        <v>844</v>
      </c>
      <c r="E624" s="1233">
        <v>8</v>
      </c>
      <c r="F624" s="1233" t="s">
        <v>260</v>
      </c>
      <c r="G624" s="1234"/>
      <c r="H624" s="1233"/>
      <c r="I624" s="1233"/>
      <c r="J624" s="1233"/>
      <c r="K624" s="1233"/>
      <c r="L624" s="1233" t="s">
        <v>325</v>
      </c>
      <c r="M624" s="1233"/>
      <c r="N624" s="1233"/>
      <c r="O624" s="1233" t="s">
        <v>261</v>
      </c>
      <c r="P624" s="1233"/>
      <c r="Q624" s="1233"/>
      <c r="R624" s="1233"/>
      <c r="S624" s="1233"/>
      <c r="T624" s="1233"/>
      <c r="U624" s="1233"/>
      <c r="V624" s="1235"/>
      <c r="W624" s="1235"/>
      <c r="X624" s="1235" t="s">
        <v>3471</v>
      </c>
      <c r="Y624" s="1235"/>
      <c r="Z624" s="1233"/>
      <c r="AA624" s="1233"/>
      <c r="AB624" s="1238">
        <f t="shared" si="3"/>
        <v>0</v>
      </c>
      <c r="AC624" s="1233"/>
      <c r="AD624" s="1233"/>
      <c r="AE624" s="1233"/>
      <c r="AF624" s="1233"/>
      <c r="AG624" s="1233"/>
      <c r="AH624" s="1233"/>
      <c r="AI624" s="1233"/>
      <c r="AJ624" s="1233"/>
      <c r="AK624" s="1236"/>
      <c r="AL624" s="1237"/>
      <c r="AM624" s="1237"/>
      <c r="AN624" s="1237"/>
      <c r="AO624" s="1245"/>
      <c r="AP624" s="1245"/>
      <c r="AQ624" s="1245"/>
      <c r="AR624" s="1245"/>
      <c r="AS624" s="1245"/>
      <c r="AT624" s="1245"/>
      <c r="AU624" s="1245"/>
      <c r="AV624" s="1245"/>
      <c r="AW624" s="1245"/>
      <c r="AX624" s="1245"/>
    </row>
    <row r="625" spans="1:50" ht="45.75" customHeight="1" outlineLevel="1">
      <c r="A625" s="1500"/>
      <c r="B625" s="1500"/>
      <c r="C625" s="1500"/>
      <c r="D625" s="1500"/>
      <c r="E625" s="1500"/>
      <c r="F625" s="1500"/>
      <c r="G625" s="1363"/>
      <c r="H625" s="1500"/>
      <c r="I625" s="1500"/>
      <c r="J625" s="1500"/>
      <c r="K625" s="1500"/>
      <c r="L625" s="1500"/>
      <c r="M625" s="1500"/>
      <c r="N625" s="1500"/>
      <c r="O625" s="1500"/>
      <c r="P625" s="1500"/>
      <c r="Q625" s="1500"/>
      <c r="R625" s="1500"/>
      <c r="S625" s="1500"/>
      <c r="T625" s="1500"/>
      <c r="U625" s="1389"/>
      <c r="V625" s="117"/>
      <c r="W625" s="117"/>
      <c r="X625" s="2992" t="s">
        <v>549</v>
      </c>
      <c r="Y625" s="484" t="s">
        <v>849</v>
      </c>
      <c r="Z625" s="484">
        <v>0</v>
      </c>
      <c r="AA625" s="1512">
        <v>0</v>
      </c>
      <c r="AB625" s="1548">
        <f t="shared" si="3"/>
        <v>0</v>
      </c>
      <c r="AC625" s="1512">
        <v>8</v>
      </c>
      <c r="AD625" s="1527"/>
      <c r="AE625" s="1538" t="s">
        <v>551</v>
      </c>
      <c r="AF625" s="134"/>
      <c r="AG625" s="134"/>
      <c r="AH625" s="134"/>
      <c r="AI625" s="134"/>
      <c r="AJ625" s="134"/>
      <c r="AK625" s="1389"/>
      <c r="AL625" s="364"/>
      <c r="AM625" s="1363"/>
      <c r="AN625" s="1363"/>
    </row>
    <row r="626" spans="1:50" ht="75.75" customHeight="1" outlineLevel="1">
      <c r="A626" s="1500"/>
      <c r="B626" s="1500"/>
      <c r="C626" s="1500"/>
      <c r="D626" s="1500"/>
      <c r="E626" s="1500"/>
      <c r="F626" s="1500"/>
      <c r="G626" s="1363"/>
      <c r="H626" s="1500"/>
      <c r="I626" s="1500"/>
      <c r="J626" s="1500"/>
      <c r="K626" s="1500"/>
      <c r="L626" s="1500"/>
      <c r="M626" s="1500"/>
      <c r="N626" s="1500"/>
      <c r="O626" s="1500"/>
      <c r="P626" s="1500"/>
      <c r="Q626" s="1500"/>
      <c r="R626" s="1500"/>
      <c r="S626" s="1500"/>
      <c r="T626" s="1500"/>
      <c r="U626" s="1363"/>
      <c r="V626" s="117"/>
      <c r="W626" s="117"/>
      <c r="X626" s="2993" t="s">
        <v>552</v>
      </c>
      <c r="Y626" s="684" t="s">
        <v>850</v>
      </c>
      <c r="Z626" s="684">
        <v>1</v>
      </c>
      <c r="AA626" s="1548">
        <v>0</v>
      </c>
      <c r="AB626" s="1548">
        <f t="shared" si="3"/>
        <v>8</v>
      </c>
      <c r="AC626" s="1548">
        <v>8</v>
      </c>
      <c r="AD626" s="1528"/>
      <c r="AE626" s="1539" t="s">
        <v>554</v>
      </c>
      <c r="AF626" s="646"/>
      <c r="AG626" s="646"/>
      <c r="AH626" s="646"/>
      <c r="AI626" s="646"/>
      <c r="AJ626" s="646"/>
      <c r="AK626" s="1389"/>
      <c r="AL626" s="364"/>
      <c r="AM626" s="1363"/>
      <c r="AN626" s="1363"/>
    </row>
    <row r="627" spans="1:50" ht="75.75" customHeight="1" outlineLevel="1">
      <c r="A627" s="1500"/>
      <c r="B627" s="1500"/>
      <c r="C627" s="1500"/>
      <c r="D627" s="1500"/>
      <c r="E627" s="1500"/>
      <c r="F627" s="1500"/>
      <c r="G627" s="1363"/>
      <c r="H627" s="1500"/>
      <c r="I627" s="1500"/>
      <c r="J627" s="1500"/>
      <c r="K627" s="1500"/>
      <c r="L627" s="1500"/>
      <c r="M627" s="1500"/>
      <c r="N627" s="1500"/>
      <c r="O627" s="1500"/>
      <c r="P627" s="1500"/>
      <c r="Q627" s="1500"/>
      <c r="R627" s="1500"/>
      <c r="S627" s="1500"/>
      <c r="T627" s="1500"/>
      <c r="U627" s="1363"/>
      <c r="V627" s="117"/>
      <c r="W627" s="117"/>
      <c r="X627" s="2994" t="s">
        <v>555</v>
      </c>
      <c r="Y627" s="684" t="s">
        <v>851</v>
      </c>
      <c r="Z627" s="684">
        <v>2</v>
      </c>
      <c r="AA627" s="1548">
        <v>0</v>
      </c>
      <c r="AB627" s="1548">
        <f t="shared" si="3"/>
        <v>16</v>
      </c>
      <c r="AC627" s="1548">
        <v>8</v>
      </c>
      <c r="AD627" s="1528"/>
      <c r="AE627" s="1539" t="s">
        <v>557</v>
      </c>
      <c r="AF627" s="646"/>
      <c r="AG627" s="646"/>
      <c r="AH627" s="646"/>
      <c r="AI627" s="646"/>
      <c r="AJ627" s="646"/>
      <c r="AK627" s="1389"/>
      <c r="AL627" s="364"/>
      <c r="AM627" s="1363"/>
      <c r="AN627" s="1363"/>
    </row>
    <row r="628" spans="1:50" ht="75.75" customHeight="1" outlineLevel="1">
      <c r="A628" s="1500"/>
      <c r="B628" s="1500"/>
      <c r="C628" s="1500"/>
      <c r="D628" s="1500"/>
      <c r="E628" s="1500"/>
      <c r="F628" s="1500"/>
      <c r="G628" s="1363"/>
      <c r="H628" s="1500"/>
      <c r="I628" s="1500"/>
      <c r="J628" s="1500"/>
      <c r="K628" s="1500"/>
      <c r="L628" s="1500"/>
      <c r="M628" s="1500"/>
      <c r="N628" s="1500"/>
      <c r="O628" s="1500"/>
      <c r="P628" s="1500"/>
      <c r="Q628" s="1500"/>
      <c r="R628" s="1500"/>
      <c r="S628" s="1500"/>
      <c r="T628" s="1500"/>
      <c r="U628" s="1363"/>
      <c r="V628" s="117"/>
      <c r="W628" s="117"/>
      <c r="X628" s="2995" t="s">
        <v>558</v>
      </c>
      <c r="Y628" s="684" t="s">
        <v>852</v>
      </c>
      <c r="Z628" s="684">
        <v>3</v>
      </c>
      <c r="AA628" s="1548">
        <v>0</v>
      </c>
      <c r="AB628" s="1548">
        <f t="shared" si="3"/>
        <v>24</v>
      </c>
      <c r="AC628" s="1548">
        <v>8</v>
      </c>
      <c r="AD628" s="1528"/>
      <c r="AE628" s="1539" t="s">
        <v>560</v>
      </c>
      <c r="AF628" s="646"/>
      <c r="AG628" s="646"/>
      <c r="AH628" s="646"/>
      <c r="AI628" s="646"/>
      <c r="AJ628" s="646"/>
      <c r="AK628" s="1389"/>
      <c r="AL628" s="364"/>
      <c r="AM628" s="1363"/>
      <c r="AN628" s="1363"/>
    </row>
    <row r="629" spans="1:50" ht="45.75" customHeight="1" outlineLevel="1">
      <c r="A629" s="1500"/>
      <c r="B629" s="1500"/>
      <c r="C629" s="1500"/>
      <c r="D629" s="1500"/>
      <c r="E629" s="1500"/>
      <c r="F629" s="1500"/>
      <c r="G629" s="1363"/>
      <c r="H629" s="1500"/>
      <c r="I629" s="1500"/>
      <c r="J629" s="1500"/>
      <c r="K629" s="1500"/>
      <c r="L629" s="1500"/>
      <c r="M629" s="1500"/>
      <c r="N629" s="1500"/>
      <c r="O629" s="1500"/>
      <c r="P629" s="1500"/>
      <c r="Q629" s="1500"/>
      <c r="R629" s="1500"/>
      <c r="S629" s="1500"/>
      <c r="T629" s="1500"/>
      <c r="U629" s="1363"/>
      <c r="V629" s="117"/>
      <c r="W629" s="117"/>
      <c r="X629" s="2996" t="s">
        <v>561</v>
      </c>
      <c r="Y629" s="684" t="s">
        <v>853</v>
      </c>
      <c r="Z629" s="684">
        <v>4</v>
      </c>
      <c r="AA629" s="1548">
        <v>0</v>
      </c>
      <c r="AB629" s="1548">
        <f t="shared" si="3"/>
        <v>32</v>
      </c>
      <c r="AC629" s="1548">
        <v>8</v>
      </c>
      <c r="AD629" s="1528"/>
      <c r="AE629" s="1539" t="s">
        <v>563</v>
      </c>
      <c r="AF629" s="646"/>
      <c r="AG629" s="646"/>
      <c r="AH629" s="646"/>
      <c r="AI629" s="646"/>
      <c r="AJ629" s="646"/>
      <c r="AK629" s="1389"/>
      <c r="AL629" s="364"/>
      <c r="AM629" s="1363"/>
      <c r="AN629" s="1363"/>
    </row>
    <row r="630" spans="1:50" ht="75.75" customHeight="1" outlineLevel="1">
      <c r="A630" s="1500"/>
      <c r="B630" s="1500"/>
      <c r="C630" s="1500"/>
      <c r="D630" s="1500"/>
      <c r="E630" s="1500"/>
      <c r="F630" s="1500"/>
      <c r="G630" s="1363"/>
      <c r="H630" s="1500"/>
      <c r="I630" s="1500"/>
      <c r="J630" s="1500"/>
      <c r="K630" s="1500"/>
      <c r="L630" s="1500"/>
      <c r="M630" s="1500"/>
      <c r="N630" s="1500"/>
      <c r="O630" s="1500"/>
      <c r="P630" s="1500"/>
      <c r="Q630" s="1500"/>
      <c r="R630" s="1500"/>
      <c r="S630" s="1500"/>
      <c r="T630" s="1500"/>
      <c r="U630" s="1363"/>
      <c r="V630" s="117"/>
      <c r="W630" s="117"/>
      <c r="X630" s="2997" t="s">
        <v>564</v>
      </c>
      <c r="Y630" s="684" t="s">
        <v>854</v>
      </c>
      <c r="Z630" s="684">
        <v>5</v>
      </c>
      <c r="AA630" s="1548">
        <v>0</v>
      </c>
      <c r="AB630" s="1548">
        <f t="shared" si="3"/>
        <v>40</v>
      </c>
      <c r="AC630" s="1548">
        <v>8</v>
      </c>
      <c r="AD630" s="1528"/>
      <c r="AE630" s="1539" t="s">
        <v>566</v>
      </c>
      <c r="AF630" s="646"/>
      <c r="AG630" s="646"/>
      <c r="AH630" s="646"/>
      <c r="AI630" s="646"/>
      <c r="AJ630" s="646"/>
      <c r="AK630" s="1389"/>
      <c r="AL630" s="364"/>
      <c r="AM630" s="1363"/>
      <c r="AN630" s="1363"/>
    </row>
    <row r="631" spans="1:50" ht="75.75" customHeight="1" outlineLevel="1">
      <c r="A631" s="1500"/>
      <c r="B631" s="1500"/>
      <c r="C631" s="1500"/>
      <c r="D631" s="1500"/>
      <c r="E631" s="1500"/>
      <c r="F631" s="1500"/>
      <c r="G631" s="1363"/>
      <c r="H631" s="1500"/>
      <c r="I631" s="1500"/>
      <c r="J631" s="1500"/>
      <c r="K631" s="1500"/>
      <c r="L631" s="1500"/>
      <c r="M631" s="1500"/>
      <c r="N631" s="1500"/>
      <c r="O631" s="1500"/>
      <c r="P631" s="1500"/>
      <c r="Q631" s="1500"/>
      <c r="R631" s="1500"/>
      <c r="S631" s="1500"/>
      <c r="T631" s="1500"/>
      <c r="U631" s="1363"/>
      <c r="V631" s="117"/>
      <c r="W631" s="117"/>
      <c r="X631" s="2998" t="s">
        <v>567</v>
      </c>
      <c r="Y631" s="684" t="s">
        <v>855</v>
      </c>
      <c r="Z631" s="684">
        <v>6</v>
      </c>
      <c r="AA631" s="1548">
        <v>0</v>
      </c>
      <c r="AB631" s="1548">
        <f t="shared" si="3"/>
        <v>48</v>
      </c>
      <c r="AC631" s="1548">
        <v>8</v>
      </c>
      <c r="AD631" s="1528"/>
      <c r="AE631" s="1539" t="s">
        <v>569</v>
      </c>
      <c r="AF631" s="646"/>
      <c r="AG631" s="646"/>
      <c r="AH631" s="646"/>
      <c r="AI631" s="646"/>
      <c r="AJ631" s="646"/>
      <c r="AK631" s="1389"/>
      <c r="AL631" s="364"/>
      <c r="AM631" s="1363"/>
      <c r="AN631" s="1363"/>
    </row>
    <row r="632" spans="1:50" ht="14.25" customHeight="1" outlineLevel="1">
      <c r="A632" s="1500"/>
      <c r="B632" s="1500"/>
      <c r="C632" s="1500"/>
      <c r="D632" s="1500"/>
      <c r="E632" s="1500"/>
      <c r="F632" s="1500"/>
      <c r="G632" s="1363"/>
      <c r="H632" s="1500"/>
      <c r="I632" s="1500"/>
      <c r="J632" s="1500"/>
      <c r="K632" s="1500"/>
      <c r="L632" s="1500"/>
      <c r="M632" s="1500"/>
      <c r="N632" s="1500"/>
      <c r="O632" s="1500"/>
      <c r="P632" s="1500"/>
      <c r="Q632" s="1500"/>
      <c r="R632" s="1500"/>
      <c r="S632" s="1500"/>
      <c r="T632" s="1500"/>
      <c r="U632" s="1363"/>
      <c r="V632" s="117"/>
      <c r="W632" s="117"/>
      <c r="X632" s="2999" t="s">
        <v>570</v>
      </c>
      <c r="Y632" s="684" t="s">
        <v>856</v>
      </c>
      <c r="Z632" s="684">
        <v>7</v>
      </c>
      <c r="AA632" s="1548">
        <v>0</v>
      </c>
      <c r="AB632" s="1548">
        <f t="shared" si="3"/>
        <v>56</v>
      </c>
      <c r="AC632" s="1548">
        <v>8</v>
      </c>
      <c r="AD632" s="1528"/>
      <c r="AE632" s="1539" t="s">
        <v>572</v>
      </c>
      <c r="AF632" s="646"/>
      <c r="AG632" s="646"/>
      <c r="AH632" s="646"/>
      <c r="AI632" s="646"/>
      <c r="AJ632" s="646"/>
      <c r="AK632" s="1389"/>
      <c r="AL632" s="364"/>
      <c r="AM632" s="1363"/>
      <c r="AN632" s="1363"/>
    </row>
    <row r="633" spans="1:50" s="1232" customFormat="1" ht="18" customHeight="1">
      <c r="A633" s="1233">
        <v>50</v>
      </c>
      <c r="B633" s="1233" t="s">
        <v>3472</v>
      </c>
      <c r="C633" s="1233" t="s">
        <v>3473</v>
      </c>
      <c r="D633" s="1233" t="s">
        <v>844</v>
      </c>
      <c r="E633" s="1233">
        <v>8</v>
      </c>
      <c r="F633" s="1233" t="s">
        <v>260</v>
      </c>
      <c r="G633" s="1234"/>
      <c r="H633" s="1233"/>
      <c r="I633" s="1233"/>
      <c r="J633" s="1233"/>
      <c r="K633" s="1233"/>
      <c r="L633" s="1233" t="s">
        <v>325</v>
      </c>
      <c r="M633" s="1233"/>
      <c r="N633" s="1233"/>
      <c r="O633" s="1233" t="s">
        <v>261</v>
      </c>
      <c r="P633" s="1233"/>
      <c r="Q633" s="1233"/>
      <c r="R633" s="1233"/>
      <c r="S633" s="1233"/>
      <c r="T633" s="1233"/>
      <c r="U633" s="1233"/>
      <c r="V633" s="1235"/>
      <c r="W633" s="1235"/>
      <c r="X633" s="1235" t="s">
        <v>3474</v>
      </c>
      <c r="Y633" s="1235"/>
      <c r="Z633" s="1233"/>
      <c r="AA633" s="1233"/>
      <c r="AB633" s="1238">
        <f t="shared" si="3"/>
        <v>0</v>
      </c>
      <c r="AC633" s="1233"/>
      <c r="AD633" s="1233"/>
      <c r="AE633" s="1233"/>
      <c r="AF633" s="1233"/>
      <c r="AG633" s="1233"/>
      <c r="AH633" s="1233"/>
      <c r="AI633" s="1233"/>
      <c r="AJ633" s="1233"/>
      <c r="AK633" s="1236"/>
      <c r="AL633" s="1237"/>
      <c r="AM633" s="1237"/>
      <c r="AN633" s="1237"/>
    </row>
    <row r="634" spans="1:50" ht="45.75" customHeight="1">
      <c r="A634" s="1500"/>
      <c r="B634" s="1500"/>
      <c r="C634" s="1500"/>
      <c r="D634" s="1500"/>
      <c r="E634" s="1500"/>
      <c r="F634" s="1500"/>
      <c r="G634" s="1363"/>
      <c r="H634" s="1500"/>
      <c r="I634" s="1500"/>
      <c r="J634" s="1500"/>
      <c r="K634" s="1500"/>
      <c r="L634" s="1500"/>
      <c r="M634" s="1500"/>
      <c r="N634" s="1500"/>
      <c r="O634" s="1500"/>
      <c r="P634" s="1500"/>
      <c r="Q634" s="1500"/>
      <c r="R634" s="1500"/>
      <c r="S634" s="1500"/>
      <c r="T634" s="1500"/>
      <c r="U634" s="1389"/>
      <c r="V634" s="117"/>
      <c r="W634" s="117"/>
      <c r="X634" s="3000" t="s">
        <v>576</v>
      </c>
      <c r="Y634" s="684" t="s">
        <v>3475</v>
      </c>
      <c r="Z634" s="484">
        <v>0</v>
      </c>
      <c r="AA634" s="1512">
        <v>0</v>
      </c>
      <c r="AB634" s="1548">
        <f t="shared" ref="AB634:AB665" si="4">Z634*8+AA634</f>
        <v>0</v>
      </c>
      <c r="AC634" s="1512">
        <v>8</v>
      </c>
      <c r="AD634" s="1512"/>
      <c r="AE634" s="1538" t="s">
        <v>578</v>
      </c>
      <c r="AF634" s="1538"/>
      <c r="AG634" s="1538"/>
      <c r="AH634" s="1538"/>
      <c r="AI634" s="1538"/>
      <c r="AJ634" s="1512"/>
      <c r="AK634" s="1500"/>
      <c r="AL634" s="364"/>
      <c r="AM634" s="1363"/>
      <c r="AN634" s="1363"/>
    </row>
    <row r="635" spans="1:50" ht="75.75" customHeight="1">
      <c r="A635" s="1500"/>
      <c r="B635" s="1500"/>
      <c r="C635" s="1500"/>
      <c r="D635" s="1500"/>
      <c r="E635" s="1500"/>
      <c r="F635" s="1500"/>
      <c r="G635" s="1363"/>
      <c r="H635" s="1500"/>
      <c r="I635" s="1500"/>
      <c r="J635" s="1500"/>
      <c r="K635" s="1500"/>
      <c r="L635" s="1500"/>
      <c r="M635" s="1500"/>
      <c r="N635" s="1500"/>
      <c r="O635" s="1500"/>
      <c r="P635" s="1500"/>
      <c r="Q635" s="1500"/>
      <c r="R635" s="1500"/>
      <c r="S635" s="1500"/>
      <c r="T635" s="1500"/>
      <c r="U635" s="1363"/>
      <c r="V635" s="117"/>
      <c r="W635" s="117"/>
      <c r="X635" s="3001" t="s">
        <v>579</v>
      </c>
      <c r="Y635" s="684" t="s">
        <v>3476</v>
      </c>
      <c r="Z635" s="684">
        <v>1</v>
      </c>
      <c r="AA635" s="1548">
        <v>0</v>
      </c>
      <c r="AB635" s="1548">
        <f t="shared" si="4"/>
        <v>8</v>
      </c>
      <c r="AC635" s="1548">
        <v>8</v>
      </c>
      <c r="AD635" s="1548"/>
      <c r="AE635" s="1539" t="s">
        <v>554</v>
      </c>
      <c r="AF635" s="1539"/>
      <c r="AG635" s="1539"/>
      <c r="AH635" s="1539"/>
      <c r="AI635" s="1539"/>
      <c r="AJ635" s="1548"/>
      <c r="AK635" s="1500"/>
      <c r="AL635" s="364"/>
      <c r="AM635" s="1363"/>
      <c r="AN635" s="1363"/>
    </row>
    <row r="636" spans="1:50" ht="75.75" customHeight="1">
      <c r="A636" s="1500"/>
      <c r="B636" s="1500"/>
      <c r="C636" s="1500"/>
      <c r="D636" s="1500"/>
      <c r="E636" s="1500"/>
      <c r="F636" s="1500"/>
      <c r="G636" s="1363"/>
      <c r="H636" s="1500"/>
      <c r="I636" s="1500"/>
      <c r="J636" s="1500"/>
      <c r="K636" s="1500"/>
      <c r="L636" s="1500"/>
      <c r="M636" s="1500"/>
      <c r="N636" s="1500"/>
      <c r="O636" s="1500"/>
      <c r="P636" s="1500"/>
      <c r="Q636" s="1500"/>
      <c r="R636" s="1500"/>
      <c r="S636" s="1500"/>
      <c r="T636" s="1500"/>
      <c r="U636" s="1363"/>
      <c r="V636" s="117"/>
      <c r="W636" s="117"/>
      <c r="X636" s="3002" t="s">
        <v>581</v>
      </c>
      <c r="Y636" s="684" t="s">
        <v>3477</v>
      </c>
      <c r="Z636" s="684">
        <v>2</v>
      </c>
      <c r="AA636" s="1548">
        <v>0</v>
      </c>
      <c r="AB636" s="1548">
        <f t="shared" si="4"/>
        <v>16</v>
      </c>
      <c r="AC636" s="1548">
        <v>8</v>
      </c>
      <c r="AD636" s="1548"/>
      <c r="AE636" s="1539" t="s">
        <v>557</v>
      </c>
      <c r="AF636" s="1539"/>
      <c r="AG636" s="1539"/>
      <c r="AH636" s="1539"/>
      <c r="AI636" s="1539"/>
      <c r="AJ636" s="1548"/>
      <c r="AK636" s="1500"/>
      <c r="AL636" s="364"/>
      <c r="AM636" s="1363"/>
      <c r="AN636" s="1363"/>
    </row>
    <row r="637" spans="1:50" ht="14.25" customHeight="1">
      <c r="A637" s="1500"/>
      <c r="B637" s="1500"/>
      <c r="C637" s="1500"/>
      <c r="D637" s="1500"/>
      <c r="E637" s="1500"/>
      <c r="F637" s="1500"/>
      <c r="G637" s="1363"/>
      <c r="H637" s="1500"/>
      <c r="I637" s="1500"/>
      <c r="J637" s="1500"/>
      <c r="K637" s="1500"/>
      <c r="L637" s="1500"/>
      <c r="M637" s="1500"/>
      <c r="N637" s="1500"/>
      <c r="O637" s="1500"/>
      <c r="P637" s="1500"/>
      <c r="Q637" s="1500"/>
      <c r="R637" s="1500"/>
      <c r="S637" s="1500"/>
      <c r="T637" s="1500"/>
      <c r="U637" s="1363"/>
      <c r="V637" s="117"/>
      <c r="W637" s="117"/>
      <c r="X637" s="3003" t="s">
        <v>583</v>
      </c>
      <c r="Y637" s="684" t="s">
        <v>3478</v>
      </c>
      <c r="Z637" s="684">
        <v>3</v>
      </c>
      <c r="AA637" s="1548">
        <v>0</v>
      </c>
      <c r="AB637" s="1548">
        <f t="shared" si="4"/>
        <v>24</v>
      </c>
      <c r="AC637" s="1548">
        <v>8</v>
      </c>
      <c r="AD637" s="1548"/>
      <c r="AE637" s="1539" t="s">
        <v>560</v>
      </c>
      <c r="AF637" s="1539"/>
      <c r="AG637" s="1539"/>
      <c r="AH637" s="1539"/>
      <c r="AI637" s="1539"/>
      <c r="AJ637" s="1548"/>
      <c r="AK637" s="1500"/>
      <c r="AL637" s="364"/>
      <c r="AM637" s="1363"/>
      <c r="AN637" s="1363"/>
    </row>
    <row r="638" spans="1:50" s="1232" customFormat="1" ht="18" customHeight="1">
      <c r="A638" s="1233">
        <v>51</v>
      </c>
      <c r="B638" s="1233" t="s">
        <v>3479</v>
      </c>
      <c r="C638" s="1233" t="s">
        <v>3480</v>
      </c>
      <c r="D638" s="1233" t="s">
        <v>617</v>
      </c>
      <c r="E638" s="1233">
        <v>8</v>
      </c>
      <c r="F638" s="1233" t="s">
        <v>260</v>
      </c>
      <c r="G638" s="1234"/>
      <c r="H638" s="1233"/>
      <c r="I638" s="1233"/>
      <c r="J638" s="1233"/>
      <c r="K638" s="1233"/>
      <c r="L638" s="1233"/>
      <c r="M638" s="1233" t="s">
        <v>261</v>
      </c>
      <c r="N638" s="1233"/>
      <c r="O638" s="1233"/>
      <c r="P638" s="1233" t="s">
        <v>325</v>
      </c>
      <c r="Q638" s="1233"/>
      <c r="R638" s="1233"/>
      <c r="S638" s="1233"/>
      <c r="T638" s="1233"/>
      <c r="U638" s="1233"/>
      <c r="V638" s="1235"/>
      <c r="W638" s="1235"/>
      <c r="X638" s="1235" t="s">
        <v>974</v>
      </c>
      <c r="Y638" s="1235"/>
      <c r="Z638" s="1233"/>
      <c r="AA638" s="1233"/>
      <c r="AB638" s="1238">
        <f t="shared" si="4"/>
        <v>0</v>
      </c>
      <c r="AC638" s="1233"/>
      <c r="AD638" s="1233"/>
      <c r="AE638" s="1233"/>
      <c r="AF638" s="1233"/>
      <c r="AG638" s="1233"/>
      <c r="AH638" s="1233"/>
      <c r="AI638" s="1233"/>
      <c r="AJ638" s="1233"/>
      <c r="AK638" s="1236"/>
      <c r="AL638" s="1237"/>
      <c r="AM638" s="1237"/>
      <c r="AN638" s="1237"/>
      <c r="AO638" s="1245"/>
      <c r="AP638" s="1245"/>
      <c r="AQ638" s="1245"/>
      <c r="AR638" s="1245"/>
      <c r="AS638" s="1245"/>
      <c r="AT638" s="1245"/>
      <c r="AU638" s="1245"/>
      <c r="AV638" s="1245"/>
      <c r="AW638" s="1245"/>
      <c r="AX638" s="1245"/>
    </row>
    <row r="639" spans="1:50" ht="14.25" customHeight="1" outlineLevel="1">
      <c r="A639" s="1363"/>
      <c r="B639" s="1500"/>
      <c r="C639" s="1500"/>
      <c r="D639" s="1500"/>
      <c r="E639" s="1500"/>
      <c r="F639" s="1500"/>
      <c r="G639" s="1363"/>
      <c r="H639" s="1500"/>
      <c r="I639" s="1500"/>
      <c r="J639" s="1500"/>
      <c r="K639" s="1500"/>
      <c r="L639" s="1500"/>
      <c r="M639" s="1500" t="s">
        <v>261</v>
      </c>
      <c r="N639" s="1500"/>
      <c r="O639" s="1500"/>
      <c r="P639" s="1500" t="s">
        <v>325</v>
      </c>
      <c r="Q639" s="1500"/>
      <c r="R639" s="1500"/>
      <c r="S639" s="1500"/>
      <c r="T639" s="1500"/>
      <c r="U639" s="1389"/>
      <c r="V639" s="117"/>
      <c r="W639" s="117"/>
      <c r="X639" s="1538" t="s">
        <v>619</v>
      </c>
      <c r="Y639" s="484"/>
      <c r="Z639" s="1530"/>
      <c r="AA639" s="1527"/>
      <c r="AB639" s="1548">
        <f t="shared" si="4"/>
        <v>0</v>
      </c>
      <c r="AC639" s="1527"/>
      <c r="AD639" s="1527"/>
      <c r="AE639" s="1527"/>
      <c r="AF639" s="1527"/>
      <c r="AG639" s="1527"/>
      <c r="AH639" s="1527"/>
      <c r="AI639" s="1527"/>
      <c r="AJ639" s="1527"/>
      <c r="AK639" s="1363"/>
      <c r="AL639" s="364"/>
      <c r="AM639" s="1363"/>
      <c r="AN639" s="1363"/>
    </row>
    <row r="640" spans="1:50" s="1232" customFormat="1" ht="18" customHeight="1">
      <c r="A640" s="1233">
        <v>52</v>
      </c>
      <c r="B640" s="1233" t="s">
        <v>3481</v>
      </c>
      <c r="C640" s="1233" t="s">
        <v>3482</v>
      </c>
      <c r="D640" s="1233" t="s">
        <v>617</v>
      </c>
      <c r="E640" s="1233">
        <v>8</v>
      </c>
      <c r="F640" s="1233" t="s">
        <v>260</v>
      </c>
      <c r="G640" s="1234"/>
      <c r="H640" s="1233"/>
      <c r="I640" s="1233"/>
      <c r="J640" s="1233"/>
      <c r="K640" s="1233"/>
      <c r="L640" s="1233"/>
      <c r="M640" s="1233" t="s">
        <v>325</v>
      </c>
      <c r="N640" s="1233"/>
      <c r="O640" s="1233"/>
      <c r="P640" s="1233" t="s">
        <v>261</v>
      </c>
      <c r="Q640" s="1233"/>
      <c r="R640" s="1233"/>
      <c r="S640" s="1233"/>
      <c r="T640" s="1233"/>
      <c r="U640" s="1233"/>
      <c r="V640" s="1235"/>
      <c r="W640" s="1235"/>
      <c r="X640" s="1235" t="s">
        <v>976</v>
      </c>
      <c r="Y640" s="1235"/>
      <c r="Z640" s="1233"/>
      <c r="AA640" s="1233"/>
      <c r="AB640" s="1238">
        <f t="shared" si="4"/>
        <v>0</v>
      </c>
      <c r="AC640" s="1233"/>
      <c r="AD640" s="1233"/>
      <c r="AE640" s="1233"/>
      <c r="AF640" s="1233"/>
      <c r="AG640" s="1233"/>
      <c r="AH640" s="1233"/>
      <c r="AI640" s="1233"/>
      <c r="AJ640" s="1233"/>
      <c r="AK640" s="1236"/>
      <c r="AL640" s="1237"/>
      <c r="AM640" s="1237"/>
      <c r="AN640" s="1237"/>
      <c r="AO640" s="1245"/>
      <c r="AP640" s="1245"/>
      <c r="AQ640" s="1245"/>
      <c r="AR640" s="1245"/>
      <c r="AS640" s="1245"/>
      <c r="AT640" s="1245"/>
      <c r="AU640" s="1245"/>
      <c r="AV640" s="1245"/>
      <c r="AW640" s="1245"/>
      <c r="AX640" s="1245"/>
    </row>
    <row r="641" spans="1:50" ht="15.75" customHeight="1" outlineLevel="1">
      <c r="A641" s="1363"/>
      <c r="B641" s="1500"/>
      <c r="C641" s="1500"/>
      <c r="D641" s="1500"/>
      <c r="E641" s="1500"/>
      <c r="F641" s="1500"/>
      <c r="G641" s="1363"/>
      <c r="H641" s="1500"/>
      <c r="I641" s="1500"/>
      <c r="J641" s="1500"/>
      <c r="K641" s="1500"/>
      <c r="L641" s="1500"/>
      <c r="M641" s="1500" t="s">
        <v>325</v>
      </c>
      <c r="N641" s="1500"/>
      <c r="O641" s="1500"/>
      <c r="P641" s="1500" t="s">
        <v>261</v>
      </c>
      <c r="Q641" s="1500"/>
      <c r="R641" s="1500"/>
      <c r="S641" s="1500"/>
      <c r="T641" s="1500"/>
      <c r="U641" s="1389"/>
      <c r="V641" s="117"/>
      <c r="W641" s="117"/>
      <c r="X641" s="1538" t="s">
        <v>619</v>
      </c>
      <c r="Y641" s="484"/>
      <c r="Z641" s="1530"/>
      <c r="AA641" s="1527"/>
      <c r="AB641" s="1548">
        <f t="shared" si="4"/>
        <v>0</v>
      </c>
      <c r="AC641" s="1527"/>
      <c r="AD641" s="1527"/>
      <c r="AE641" s="1527"/>
      <c r="AF641" s="1527"/>
      <c r="AG641" s="1527"/>
      <c r="AH641" s="1527"/>
      <c r="AI641" s="1527"/>
      <c r="AJ641" s="1527"/>
      <c r="AK641" s="1363"/>
      <c r="AL641" s="364"/>
      <c r="AM641" s="1363"/>
      <c r="AN641" s="1363"/>
    </row>
    <row r="642" spans="1:50" s="1232" customFormat="1" ht="35.25" customHeight="1">
      <c r="A642" s="1233">
        <v>67</v>
      </c>
      <c r="B642" s="1233" t="s">
        <v>3483</v>
      </c>
      <c r="C642" s="1233" t="s">
        <v>3484</v>
      </c>
      <c r="D642" s="1233" t="s">
        <v>259</v>
      </c>
      <c r="E642" s="1233">
        <v>8</v>
      </c>
      <c r="F642" s="1233" t="s">
        <v>260</v>
      </c>
      <c r="G642" s="1234" t="s">
        <v>325</v>
      </c>
      <c r="H642" s="1233"/>
      <c r="I642" s="1233"/>
      <c r="J642" s="1233"/>
      <c r="K642" s="1233"/>
      <c r="L642" s="1233" t="s">
        <v>325</v>
      </c>
      <c r="M642" s="1233"/>
      <c r="N642" s="1233" t="s">
        <v>261</v>
      </c>
      <c r="O642" s="1233"/>
      <c r="P642" s="1233"/>
      <c r="Q642" s="1233" t="s">
        <v>325</v>
      </c>
      <c r="R642" s="1233"/>
      <c r="S642" s="1233"/>
      <c r="T642" s="1233"/>
      <c r="U642" s="1233"/>
      <c r="V642" s="1235"/>
      <c r="W642" s="1235"/>
      <c r="X642" s="1235" t="s">
        <v>3485</v>
      </c>
      <c r="Y642" s="1235"/>
      <c r="Z642" s="1233"/>
      <c r="AA642" s="1233"/>
      <c r="AB642" s="1238">
        <f t="shared" si="4"/>
        <v>0</v>
      </c>
      <c r="AC642" s="1233"/>
      <c r="AD642" s="1233"/>
      <c r="AE642" s="1233"/>
      <c r="AF642" s="1233"/>
      <c r="AG642" s="1233"/>
      <c r="AH642" s="1233"/>
      <c r="AI642" s="1233"/>
      <c r="AJ642" s="1233"/>
      <c r="AK642" s="1236"/>
      <c r="AL642" s="1237"/>
      <c r="AM642" s="1237"/>
      <c r="AN642" s="1237"/>
    </row>
    <row r="643" spans="1:50" ht="30.75" customHeight="1" outlineLevel="1">
      <c r="A643" s="1500"/>
      <c r="B643" s="1500"/>
      <c r="C643" s="1500"/>
      <c r="D643" s="1500"/>
      <c r="E643" s="1500"/>
      <c r="F643" s="1500"/>
      <c r="G643" s="1363"/>
      <c r="H643" s="1500"/>
      <c r="I643" s="1500"/>
      <c r="J643" s="1500"/>
      <c r="K643" s="1500"/>
      <c r="L643" s="1500"/>
      <c r="M643" s="1500"/>
      <c r="N643" s="1500"/>
      <c r="O643" s="1500"/>
      <c r="P643" s="1500"/>
      <c r="Q643" s="1500"/>
      <c r="R643" s="1500"/>
      <c r="S643" s="1500"/>
      <c r="T643" s="1500"/>
      <c r="U643" s="1389"/>
      <c r="V643" s="117"/>
      <c r="W643" s="117"/>
      <c r="X643" s="3004" t="s">
        <v>3486</v>
      </c>
      <c r="Y643" s="1526" t="s">
        <v>3487</v>
      </c>
      <c r="Z643" s="484">
        <v>0</v>
      </c>
      <c r="AA643" s="1512">
        <v>0</v>
      </c>
      <c r="AB643" s="1548">
        <f t="shared" si="4"/>
        <v>0</v>
      </c>
      <c r="AC643" s="1512">
        <v>1</v>
      </c>
      <c r="AD643" s="1512"/>
      <c r="AE643" s="3005" t="s">
        <v>336</v>
      </c>
      <c r="AF643" s="1538"/>
      <c r="AG643" s="1538"/>
      <c r="AH643" s="1538"/>
      <c r="AI643" s="1538"/>
      <c r="AJ643" s="1512"/>
      <c r="AK643" s="1500"/>
      <c r="AL643" s="364"/>
      <c r="AM643" s="1363"/>
      <c r="AN643" s="1363"/>
    </row>
    <row r="644" spans="1:50" ht="30.75" customHeight="1" outlineLevel="1">
      <c r="A644" s="1500"/>
      <c r="B644" s="1363"/>
      <c r="C644" s="1363"/>
      <c r="D644" s="1363"/>
      <c r="E644" s="1363"/>
      <c r="F644" s="1363"/>
      <c r="G644" s="1363"/>
      <c r="H644" s="1500"/>
      <c r="I644" s="1500"/>
      <c r="J644" s="1500"/>
      <c r="K644" s="1500"/>
      <c r="L644" s="1500"/>
      <c r="M644" s="1500"/>
      <c r="N644" s="1500"/>
      <c r="O644" s="1500"/>
      <c r="P644" s="1500"/>
      <c r="Q644" s="1363"/>
      <c r="R644" s="1363"/>
      <c r="S644" s="1363"/>
      <c r="T644" s="1363"/>
      <c r="U644" s="1363"/>
      <c r="V644" s="117"/>
      <c r="W644" s="117"/>
      <c r="X644" s="3006" t="s">
        <v>3488</v>
      </c>
      <c r="Y644" s="1526" t="s">
        <v>3489</v>
      </c>
      <c r="Z644" s="684">
        <v>0</v>
      </c>
      <c r="AA644" s="1548">
        <v>1</v>
      </c>
      <c r="AB644" s="1548">
        <f t="shared" si="4"/>
        <v>1</v>
      </c>
      <c r="AC644" s="1548">
        <v>1</v>
      </c>
      <c r="AD644" s="1548"/>
      <c r="AE644" s="3007" t="s">
        <v>3490</v>
      </c>
      <c r="AF644" s="1539"/>
      <c r="AG644" s="1539"/>
      <c r="AH644" s="1539"/>
      <c r="AI644" s="1539"/>
      <c r="AJ644" s="1548"/>
      <c r="AK644" s="1500"/>
      <c r="AL644" s="364"/>
      <c r="AM644" s="1363"/>
      <c r="AN644" s="1363"/>
    </row>
    <row r="645" spans="1:50" ht="90.75" customHeight="1" outlineLevel="1">
      <c r="A645" s="1500"/>
      <c r="B645" s="1363"/>
      <c r="C645" s="1363"/>
      <c r="D645" s="1363"/>
      <c r="E645" s="1363"/>
      <c r="F645" s="1363" t="s">
        <v>3491</v>
      </c>
      <c r="G645" s="1363"/>
      <c r="H645" s="1500"/>
      <c r="I645" s="1500"/>
      <c r="J645" s="1500"/>
      <c r="K645" s="1500"/>
      <c r="L645" s="1500"/>
      <c r="M645" s="1500"/>
      <c r="N645" s="1500"/>
      <c r="O645" s="1500"/>
      <c r="P645" s="1500"/>
      <c r="Q645" s="1363"/>
      <c r="R645" s="1363"/>
      <c r="S645" s="1363"/>
      <c r="T645" s="1363"/>
      <c r="U645" s="1363"/>
      <c r="V645" s="117"/>
      <c r="W645" s="117"/>
      <c r="X645" s="3008" t="s">
        <v>3492</v>
      </c>
      <c r="Y645" s="1526" t="s">
        <v>3493</v>
      </c>
      <c r="Z645" s="684">
        <v>0</v>
      </c>
      <c r="AA645" s="1548">
        <v>2</v>
      </c>
      <c r="AB645" s="1548">
        <f t="shared" si="4"/>
        <v>2</v>
      </c>
      <c r="AC645" s="1548">
        <v>3</v>
      </c>
      <c r="AD645" s="1548"/>
      <c r="AE645" s="3009" t="s">
        <v>3494</v>
      </c>
      <c r="AF645" s="1539"/>
      <c r="AG645" s="1539"/>
      <c r="AH645" s="1539"/>
      <c r="AI645" s="1539"/>
      <c r="AJ645" s="1548"/>
      <c r="AK645" s="1500"/>
      <c r="AL645" s="364"/>
      <c r="AM645" s="1363"/>
      <c r="AN645" s="1363"/>
    </row>
    <row r="646" spans="1:50" ht="60.75" customHeight="1" outlineLevel="1">
      <c r="A646" s="1500"/>
      <c r="B646" s="1500"/>
      <c r="C646" s="1500"/>
      <c r="D646" s="1500"/>
      <c r="E646" s="1500"/>
      <c r="F646" s="1500"/>
      <c r="G646" s="1363"/>
      <c r="H646" s="1500"/>
      <c r="I646" s="1500"/>
      <c r="J646" s="1500"/>
      <c r="K646" s="1500"/>
      <c r="L646" s="1500"/>
      <c r="M646" s="1500"/>
      <c r="N646" s="1500"/>
      <c r="O646" s="1500"/>
      <c r="P646" s="1500"/>
      <c r="Q646" s="1363"/>
      <c r="R646" s="1363"/>
      <c r="S646" s="1363"/>
      <c r="T646" s="1363"/>
      <c r="U646" s="1363"/>
      <c r="V646" s="117"/>
      <c r="W646" s="117"/>
      <c r="X646" s="3010" t="s">
        <v>3495</v>
      </c>
      <c r="Y646" s="1526" t="s">
        <v>3496</v>
      </c>
      <c r="Z646" s="684">
        <v>0</v>
      </c>
      <c r="AA646" s="1548">
        <v>5</v>
      </c>
      <c r="AB646" s="1548">
        <f t="shared" si="4"/>
        <v>5</v>
      </c>
      <c r="AC646" s="1548">
        <v>2</v>
      </c>
      <c r="AD646" s="1548"/>
      <c r="AE646" s="3011" t="s">
        <v>3497</v>
      </c>
      <c r="AF646" s="1539"/>
      <c r="AG646" s="1539"/>
      <c r="AH646" s="1539"/>
      <c r="AI646" s="1539"/>
      <c r="AJ646" s="1548"/>
      <c r="AK646" s="1500"/>
      <c r="AL646" s="364"/>
      <c r="AM646" s="1363"/>
      <c r="AN646" s="1363"/>
    </row>
    <row r="647" spans="1:50" ht="30.75" customHeight="1" outlineLevel="1">
      <c r="A647" s="1500"/>
      <c r="B647" s="1500"/>
      <c r="C647" s="1500"/>
      <c r="D647" s="1500"/>
      <c r="E647" s="1500"/>
      <c r="F647" s="1500"/>
      <c r="G647" s="1363"/>
      <c r="H647" s="1500"/>
      <c r="I647" s="1500"/>
      <c r="J647" s="1500"/>
      <c r="K647" s="1500"/>
      <c r="L647" s="1500"/>
      <c r="M647" s="1500"/>
      <c r="N647" s="1500"/>
      <c r="O647" s="1500"/>
      <c r="P647" s="1500"/>
      <c r="Q647" s="1363"/>
      <c r="R647" s="1363"/>
      <c r="S647" s="1363"/>
      <c r="T647" s="1363"/>
      <c r="U647" s="1363"/>
      <c r="V647" s="117"/>
      <c r="W647" s="117"/>
      <c r="X647" s="3012" t="s">
        <v>3498</v>
      </c>
      <c r="Y647" s="1526" t="s">
        <v>3499</v>
      </c>
      <c r="Z647" s="684">
        <v>1</v>
      </c>
      <c r="AA647" s="1548">
        <v>0</v>
      </c>
      <c r="AB647" s="1548">
        <f t="shared" si="4"/>
        <v>8</v>
      </c>
      <c r="AC647" s="1548">
        <v>1</v>
      </c>
      <c r="AD647" s="1548"/>
      <c r="AE647" s="3013" t="s">
        <v>3500</v>
      </c>
      <c r="AF647" s="1539"/>
      <c r="AG647" s="1539"/>
      <c r="AH647" s="1539"/>
      <c r="AI647" s="1539"/>
      <c r="AJ647" s="1548"/>
      <c r="AK647" s="1500"/>
      <c r="AL647" s="364"/>
      <c r="AM647" s="1363"/>
      <c r="AN647" s="1363"/>
    </row>
    <row r="648" spans="1:50" ht="45.75" customHeight="1" outlineLevel="1">
      <c r="A648" s="1500"/>
      <c r="B648" s="1500"/>
      <c r="C648" s="1500"/>
      <c r="D648" s="1500"/>
      <c r="E648" s="1500"/>
      <c r="F648" s="1500"/>
      <c r="G648" s="1363"/>
      <c r="H648" s="1500"/>
      <c r="I648" s="1500"/>
      <c r="J648" s="1500"/>
      <c r="K648" s="1500"/>
      <c r="L648" s="1500"/>
      <c r="M648" s="1500"/>
      <c r="N648" s="1500"/>
      <c r="O648" s="1500"/>
      <c r="P648" s="1500"/>
      <c r="Q648" s="1363"/>
      <c r="R648" s="1363"/>
      <c r="S648" s="1363"/>
      <c r="T648" s="1363"/>
      <c r="U648" s="1363"/>
      <c r="V648" s="117"/>
      <c r="W648" s="117"/>
      <c r="X648" s="3014" t="s">
        <v>3501</v>
      </c>
      <c r="Y648" s="1526" t="s">
        <v>3502</v>
      </c>
      <c r="Z648" s="684">
        <v>1</v>
      </c>
      <c r="AA648" s="1548">
        <v>1</v>
      </c>
      <c r="AB648" s="1548">
        <f t="shared" si="4"/>
        <v>9</v>
      </c>
      <c r="AC648" s="1548">
        <v>1</v>
      </c>
      <c r="AD648" s="1548"/>
      <c r="AE648" s="3015" t="s">
        <v>3500</v>
      </c>
      <c r="AF648" s="1539"/>
      <c r="AG648" s="1539"/>
      <c r="AH648" s="1539"/>
      <c r="AI648" s="1539"/>
      <c r="AJ648" s="1548"/>
      <c r="AK648" s="1500"/>
      <c r="AL648" s="364"/>
      <c r="AM648" s="1363"/>
      <c r="AN648" s="1363"/>
    </row>
    <row r="649" spans="1:50" ht="45.75" customHeight="1" outlineLevel="1">
      <c r="A649" s="1500"/>
      <c r="B649" s="1500"/>
      <c r="C649" s="1500"/>
      <c r="D649" s="1500"/>
      <c r="E649" s="1500"/>
      <c r="F649" s="1500"/>
      <c r="G649" s="1363"/>
      <c r="H649" s="1500"/>
      <c r="I649" s="1500"/>
      <c r="J649" s="1500"/>
      <c r="K649" s="1500"/>
      <c r="L649" s="1500"/>
      <c r="M649" s="1500"/>
      <c r="N649" s="1500"/>
      <c r="O649" s="1500"/>
      <c r="P649" s="1500"/>
      <c r="Q649" s="1363"/>
      <c r="R649" s="1363"/>
      <c r="S649" s="1363"/>
      <c r="T649" s="1363"/>
      <c r="U649" s="1363"/>
      <c r="V649" s="117"/>
      <c r="W649" s="117"/>
      <c r="X649" s="3016" t="s">
        <v>3503</v>
      </c>
      <c r="Y649" s="1526" t="s">
        <v>3504</v>
      </c>
      <c r="Z649" s="684">
        <v>1</v>
      </c>
      <c r="AA649" s="1548">
        <v>2</v>
      </c>
      <c r="AB649" s="1548">
        <f t="shared" si="4"/>
        <v>10</v>
      </c>
      <c r="AC649" s="1548">
        <v>1</v>
      </c>
      <c r="AD649" s="1548"/>
      <c r="AE649" s="3017" t="s">
        <v>3500</v>
      </c>
      <c r="AF649" s="1539"/>
      <c r="AG649" s="1539"/>
      <c r="AH649" s="1539"/>
      <c r="AI649" s="1539"/>
      <c r="AJ649" s="1548"/>
      <c r="AK649" s="1500"/>
      <c r="AL649" s="364"/>
      <c r="AM649" s="1363"/>
      <c r="AN649" s="1363"/>
    </row>
    <row r="650" spans="1:50" ht="30.75" customHeight="1" outlineLevel="1">
      <c r="A650" s="1500"/>
      <c r="B650" s="1500"/>
      <c r="C650" s="1500"/>
      <c r="D650" s="1500"/>
      <c r="E650" s="1500"/>
      <c r="F650" s="1500"/>
      <c r="G650" s="1363"/>
      <c r="H650" s="1500"/>
      <c r="I650" s="1500"/>
      <c r="J650" s="1500"/>
      <c r="K650" s="1500"/>
      <c r="L650" s="1500"/>
      <c r="M650" s="1500"/>
      <c r="N650" s="1500"/>
      <c r="O650" s="1500"/>
      <c r="P650" s="1500"/>
      <c r="Q650" s="1363"/>
      <c r="R650" s="1363"/>
      <c r="S650" s="1363"/>
      <c r="T650" s="1363"/>
      <c r="U650" s="1363"/>
      <c r="V650" s="117"/>
      <c r="W650" s="117"/>
      <c r="X650" s="3018" t="s">
        <v>3505</v>
      </c>
      <c r="Y650" s="1526" t="s">
        <v>3506</v>
      </c>
      <c r="Z650" s="684">
        <v>1</v>
      </c>
      <c r="AA650" s="1548">
        <v>3</v>
      </c>
      <c r="AB650" s="1548">
        <f t="shared" si="4"/>
        <v>11</v>
      </c>
      <c r="AC650" s="1548">
        <v>1</v>
      </c>
      <c r="AD650" s="1548"/>
      <c r="AE650" s="3019" t="s">
        <v>3507</v>
      </c>
      <c r="AF650" s="1539"/>
      <c r="AG650" s="1539"/>
      <c r="AH650" s="1539"/>
      <c r="AI650" s="1539"/>
      <c r="AJ650" s="1548"/>
      <c r="AK650" s="1500"/>
      <c r="AL650" s="364"/>
      <c r="AM650" s="1363"/>
      <c r="AN650" s="1363"/>
    </row>
    <row r="651" spans="1:50" s="434" customFormat="1" ht="45.75" customHeight="1" outlineLevel="1">
      <c r="A651" s="1500"/>
      <c r="B651" s="1500"/>
      <c r="C651" s="1500"/>
      <c r="D651" s="1500"/>
      <c r="E651" s="1500"/>
      <c r="F651" s="1500"/>
      <c r="G651" s="1363"/>
      <c r="H651" s="1500"/>
      <c r="I651" s="1500"/>
      <c r="J651" s="1500"/>
      <c r="K651" s="1500"/>
      <c r="L651" s="1500"/>
      <c r="M651" s="1500"/>
      <c r="N651" s="1500"/>
      <c r="O651" s="1500"/>
      <c r="P651" s="1500"/>
      <c r="Q651" s="1363"/>
      <c r="R651" s="1363"/>
      <c r="S651" s="1363"/>
      <c r="T651" s="1363"/>
      <c r="U651" s="1363"/>
      <c r="V651" s="117"/>
      <c r="W651" s="117"/>
      <c r="X651" s="3020" t="s">
        <v>3508</v>
      </c>
      <c r="Y651" s="1526" t="s">
        <v>3509</v>
      </c>
      <c r="Z651" s="684">
        <v>1</v>
      </c>
      <c r="AA651" s="1548">
        <v>4</v>
      </c>
      <c r="AB651" s="1548">
        <f t="shared" si="4"/>
        <v>12</v>
      </c>
      <c r="AC651" s="1548">
        <v>2</v>
      </c>
      <c r="AD651" s="1548"/>
      <c r="AE651" s="3021" t="s">
        <v>3510</v>
      </c>
      <c r="AF651" s="1539"/>
      <c r="AG651" s="1539"/>
      <c r="AH651" s="1539"/>
      <c r="AI651" s="1539"/>
      <c r="AJ651" s="1548"/>
      <c r="AK651" s="1500"/>
      <c r="AL651" s="364"/>
      <c r="AM651" s="1363"/>
      <c r="AN651" s="1363"/>
    </row>
    <row r="652" spans="1:50" ht="30.75" customHeight="1" outlineLevel="1">
      <c r="A652" s="1500"/>
      <c r="B652" s="1500"/>
      <c r="C652" s="1500"/>
      <c r="D652" s="1500"/>
      <c r="E652" s="1500"/>
      <c r="F652" s="1500"/>
      <c r="G652" s="1363"/>
      <c r="H652" s="1500"/>
      <c r="I652" s="1500"/>
      <c r="J652" s="1500"/>
      <c r="K652" s="1500"/>
      <c r="L652" s="1500"/>
      <c r="M652" s="1500"/>
      <c r="N652" s="1500"/>
      <c r="O652" s="1500"/>
      <c r="P652" s="1500"/>
      <c r="Q652" s="1363"/>
      <c r="R652" s="1363"/>
      <c r="S652" s="1363"/>
      <c r="T652" s="1363"/>
      <c r="U652" s="1363"/>
      <c r="V652" s="117"/>
      <c r="W652" s="117"/>
      <c r="X652" s="3022" t="s">
        <v>3511</v>
      </c>
      <c r="Y652" s="1526" t="s">
        <v>3512</v>
      </c>
      <c r="Z652" s="684">
        <v>1</v>
      </c>
      <c r="AA652" s="1548">
        <v>6</v>
      </c>
      <c r="AB652" s="1548">
        <f t="shared" si="4"/>
        <v>14</v>
      </c>
      <c r="AC652" s="1548">
        <v>1</v>
      </c>
      <c r="AD652" s="1548"/>
      <c r="AE652" s="3023" t="s">
        <v>3513</v>
      </c>
      <c r="AF652" s="1539"/>
      <c r="AG652" s="1539"/>
      <c r="AH652" s="1539"/>
      <c r="AI652" s="1539"/>
      <c r="AJ652" s="1548"/>
      <c r="AK652" s="1500"/>
      <c r="AL652" s="1363"/>
      <c r="AM652" s="1363"/>
      <c r="AN652" s="1363"/>
      <c r="AO652" s="243"/>
      <c r="AP652" s="243"/>
      <c r="AQ652" s="243"/>
      <c r="AR652" s="243"/>
      <c r="AS652" s="243"/>
      <c r="AT652" s="243"/>
      <c r="AU652" s="243"/>
      <c r="AV652" s="243"/>
      <c r="AW652" s="243"/>
      <c r="AX652" s="243"/>
    </row>
    <row r="653" spans="1:50" ht="30.75" customHeight="1" outlineLevel="1">
      <c r="A653" s="1500"/>
      <c r="B653" s="1500"/>
      <c r="C653" s="1500"/>
      <c r="D653" s="1500"/>
      <c r="E653" s="1500"/>
      <c r="F653" s="1500"/>
      <c r="G653" s="1363"/>
      <c r="H653" s="1500"/>
      <c r="I653" s="1500"/>
      <c r="J653" s="1500"/>
      <c r="K653" s="1500"/>
      <c r="L653" s="1500"/>
      <c r="M653" s="1500"/>
      <c r="N653" s="1500"/>
      <c r="O653" s="1500"/>
      <c r="P653" s="1500"/>
      <c r="Q653" s="1363"/>
      <c r="R653" s="1363"/>
      <c r="S653" s="1363"/>
      <c r="T653" s="1363"/>
      <c r="U653" s="1363"/>
      <c r="V653" s="117"/>
      <c r="W653" s="117"/>
      <c r="X653" s="3024" t="s">
        <v>3514</v>
      </c>
      <c r="Y653" s="684" t="s">
        <v>3515</v>
      </c>
      <c r="Z653" s="684">
        <v>2</v>
      </c>
      <c r="AA653" s="1548">
        <v>0</v>
      </c>
      <c r="AB653" s="1548">
        <f t="shared" si="4"/>
        <v>16</v>
      </c>
      <c r="AC653" s="1548">
        <v>8</v>
      </c>
      <c r="AD653" s="1548"/>
      <c r="AE653" s="1539"/>
      <c r="AF653" s="1539">
        <v>1</v>
      </c>
      <c r="AG653" s="1539">
        <v>0</v>
      </c>
      <c r="AH653" s="1539"/>
      <c r="AI653" s="1539"/>
      <c r="AJ653" s="1548"/>
      <c r="AK653" s="1500"/>
      <c r="AL653" s="364"/>
      <c r="AM653" s="1363"/>
      <c r="AN653" s="1363"/>
    </row>
    <row r="654" spans="1:50" ht="30.75" customHeight="1" outlineLevel="1">
      <c r="A654" s="1500"/>
      <c r="B654" s="1500"/>
      <c r="C654" s="1500"/>
      <c r="D654" s="1500"/>
      <c r="E654" s="1500"/>
      <c r="F654" s="1500"/>
      <c r="G654" s="1363"/>
      <c r="H654" s="1500"/>
      <c r="I654" s="1500"/>
      <c r="J654" s="1500"/>
      <c r="K654" s="1500"/>
      <c r="L654" s="1500"/>
      <c r="M654" s="1500"/>
      <c r="N654" s="1500"/>
      <c r="O654" s="1500"/>
      <c r="P654" s="1500"/>
      <c r="Q654" s="1363"/>
      <c r="R654" s="1363"/>
      <c r="S654" s="1363"/>
      <c r="T654" s="1363"/>
      <c r="U654" s="1363"/>
      <c r="V654" s="117"/>
      <c r="W654" s="117"/>
      <c r="X654" s="3025" t="s">
        <v>3516</v>
      </c>
      <c r="Y654" s="684" t="s">
        <v>3517</v>
      </c>
      <c r="Z654" s="684">
        <v>3</v>
      </c>
      <c r="AA654" s="1548">
        <v>0</v>
      </c>
      <c r="AB654" s="1548">
        <f t="shared" si="4"/>
        <v>24</v>
      </c>
      <c r="AC654" s="1548">
        <v>16</v>
      </c>
      <c r="AD654" s="1548"/>
      <c r="AE654" s="1539"/>
      <c r="AF654" s="1539">
        <v>1E-3</v>
      </c>
      <c r="AG654" s="1539">
        <v>0</v>
      </c>
      <c r="AH654" s="1539"/>
      <c r="AI654" s="1539"/>
      <c r="AJ654" s="1548" t="s">
        <v>1007</v>
      </c>
      <c r="AK654" s="1500"/>
      <c r="AL654" s="364"/>
      <c r="AM654" s="1363"/>
      <c r="AN654" s="1363"/>
    </row>
    <row r="655" spans="1:50" ht="30.75" customHeight="1" outlineLevel="1">
      <c r="A655" s="1500"/>
      <c r="B655" s="1500"/>
      <c r="C655" s="1500"/>
      <c r="D655" s="1500"/>
      <c r="E655" s="1500"/>
      <c r="F655" s="1500"/>
      <c r="G655" s="1363"/>
      <c r="H655" s="1500"/>
      <c r="I655" s="1500"/>
      <c r="J655" s="1500"/>
      <c r="K655" s="1500"/>
      <c r="L655" s="1500"/>
      <c r="M655" s="1500"/>
      <c r="N655" s="1500"/>
      <c r="O655" s="1500"/>
      <c r="P655" s="1500"/>
      <c r="Q655" s="1363"/>
      <c r="R655" s="1363"/>
      <c r="S655" s="1363"/>
      <c r="T655" s="1363"/>
      <c r="U655" s="1363"/>
      <c r="V655" s="117"/>
      <c r="W655" s="117"/>
      <c r="X655" s="3026" t="s">
        <v>3518</v>
      </c>
      <c r="Y655" s="684" t="s">
        <v>3519</v>
      </c>
      <c r="Z655" s="684">
        <v>5</v>
      </c>
      <c r="AA655" s="1548">
        <v>0</v>
      </c>
      <c r="AB655" s="1548">
        <f t="shared" si="4"/>
        <v>40</v>
      </c>
      <c r="AC655" s="1548">
        <v>8</v>
      </c>
      <c r="AD655" s="1548"/>
      <c r="AE655" s="1539"/>
      <c r="AF655" s="1539">
        <v>1</v>
      </c>
      <c r="AG655" s="1539">
        <v>0</v>
      </c>
      <c r="AH655" s="1539"/>
      <c r="AI655" s="1539"/>
      <c r="AJ655" s="1548"/>
      <c r="AK655" s="1500"/>
      <c r="AL655" s="364"/>
      <c r="AM655" s="1363"/>
      <c r="AN655" s="1363"/>
    </row>
    <row r="656" spans="1:50" ht="30.75" customHeight="1" outlineLevel="1">
      <c r="A656" s="1500"/>
      <c r="B656" s="1500"/>
      <c r="C656" s="1500"/>
      <c r="D656" s="1500"/>
      <c r="E656" s="1500"/>
      <c r="F656" s="1500"/>
      <c r="G656" s="1363"/>
      <c r="H656" s="1500"/>
      <c r="I656" s="1500"/>
      <c r="J656" s="1500"/>
      <c r="K656" s="1500"/>
      <c r="L656" s="1500"/>
      <c r="M656" s="1500"/>
      <c r="N656" s="1500"/>
      <c r="O656" s="1500"/>
      <c r="P656" s="1500"/>
      <c r="Q656" s="1363"/>
      <c r="R656" s="1363"/>
      <c r="S656" s="1363"/>
      <c r="T656" s="1363"/>
      <c r="U656" s="1363"/>
      <c r="V656" s="117"/>
      <c r="W656" s="117"/>
      <c r="X656" s="3027" t="s">
        <v>3520</v>
      </c>
      <c r="Y656" s="684" t="s">
        <v>3521</v>
      </c>
      <c r="Z656" s="684">
        <v>6</v>
      </c>
      <c r="AA656" s="1548">
        <v>0</v>
      </c>
      <c r="AB656" s="1548">
        <f t="shared" si="4"/>
        <v>48</v>
      </c>
      <c r="AC656" s="1548">
        <v>16</v>
      </c>
      <c r="AD656" s="1548"/>
      <c r="AE656" s="1539"/>
      <c r="AF656" s="1539">
        <v>1E-3</v>
      </c>
      <c r="AG656" s="1539">
        <v>0</v>
      </c>
      <c r="AH656" s="1539"/>
      <c r="AI656" s="1539"/>
      <c r="AJ656" s="1548" t="s">
        <v>1007</v>
      </c>
      <c r="AK656" s="1500"/>
      <c r="AL656" s="364"/>
      <c r="AM656" s="1363"/>
      <c r="AN656" s="1363"/>
    </row>
    <row r="657" spans="1:50" s="1232" customFormat="1" ht="35.25" customHeight="1">
      <c r="A657" s="1233">
        <v>68</v>
      </c>
      <c r="B657" s="1233" t="s">
        <v>3522</v>
      </c>
      <c r="C657" s="1233" t="s">
        <v>3523</v>
      </c>
      <c r="D657" s="1233" t="s">
        <v>3258</v>
      </c>
      <c r="E657" s="1233">
        <v>8</v>
      </c>
      <c r="F657" s="1233" t="s">
        <v>260</v>
      </c>
      <c r="G657" s="1234" t="s">
        <v>325</v>
      </c>
      <c r="H657" s="1233"/>
      <c r="I657" s="1233"/>
      <c r="J657" s="1233"/>
      <c r="K657" s="1233"/>
      <c r="L657" s="1233"/>
      <c r="M657" s="1233"/>
      <c r="N657" s="1233" t="s">
        <v>261</v>
      </c>
      <c r="O657" s="1233"/>
      <c r="P657" s="1233" t="s">
        <v>325</v>
      </c>
      <c r="Q657" s="1233" t="s">
        <v>325</v>
      </c>
      <c r="R657" s="1233"/>
      <c r="S657" s="1233"/>
      <c r="T657" s="1233"/>
      <c r="U657" s="1233"/>
      <c r="V657" s="1235"/>
      <c r="W657" s="1235"/>
      <c r="X657" s="1235" t="s">
        <v>3524</v>
      </c>
      <c r="Y657" s="1235"/>
      <c r="Z657" s="1233"/>
      <c r="AA657" s="1233"/>
      <c r="AB657" s="1238"/>
      <c r="AC657" s="1233"/>
      <c r="AD657" s="1233"/>
      <c r="AE657" s="1244"/>
      <c r="AF657" s="1233"/>
      <c r="AG657" s="1233"/>
      <c r="AH657" s="1233"/>
      <c r="AI657" s="1233"/>
      <c r="AJ657" s="1233"/>
      <c r="AK657" s="1236"/>
      <c r="AL657" s="1237" t="s">
        <v>3525</v>
      </c>
      <c r="AM657" s="1237"/>
      <c r="AN657" s="1237"/>
    </row>
    <row r="658" spans="1:50" ht="45.75" customHeight="1" outlineLevel="1">
      <c r="A658" s="1500"/>
      <c r="B658" s="1500"/>
      <c r="C658" s="1500"/>
      <c r="D658" s="1500"/>
      <c r="E658" s="1500"/>
      <c r="F658" s="1500"/>
      <c r="G658" s="1363"/>
      <c r="H658" s="1500"/>
      <c r="I658" s="1500"/>
      <c r="J658" s="1500"/>
      <c r="K658" s="1500"/>
      <c r="L658" s="1500"/>
      <c r="M658" s="1500"/>
      <c r="N658" s="1500"/>
      <c r="O658" s="1500"/>
      <c r="P658" s="1500"/>
      <c r="Q658" s="1500"/>
      <c r="R658" s="1500"/>
      <c r="S658" s="1500"/>
      <c r="T658" s="1500"/>
      <c r="U658" s="1389"/>
      <c r="V658" s="117"/>
      <c r="W658" s="117"/>
      <c r="X658" s="3028" t="s">
        <v>3526</v>
      </c>
      <c r="Y658" s="1547" t="s">
        <v>3527</v>
      </c>
      <c r="Z658" s="454">
        <v>0</v>
      </c>
      <c r="AA658" s="1512">
        <v>0</v>
      </c>
      <c r="AB658" s="1548">
        <f t="shared" ref="AB658:AB669" si="5">Z658*8+AA658</f>
        <v>0</v>
      </c>
      <c r="AC658" s="1512">
        <v>16</v>
      </c>
      <c r="AD658" s="1512"/>
      <c r="AE658" s="1527"/>
      <c r="AF658" s="1512">
        <v>0.1</v>
      </c>
      <c r="AG658" s="1512">
        <v>-1000</v>
      </c>
      <c r="AH658" s="1512"/>
      <c r="AI658" s="1512"/>
      <c r="AJ658" s="156" t="s">
        <v>98</v>
      </c>
      <c r="AK658" s="1500"/>
      <c r="AL658" s="364"/>
      <c r="AM658" s="1363"/>
      <c r="AN658" s="1363"/>
    </row>
    <row r="659" spans="1:50" ht="45.75" customHeight="1" outlineLevel="1">
      <c r="A659" s="1500"/>
      <c r="B659" s="1500"/>
      <c r="C659" s="1500"/>
      <c r="D659" s="1500"/>
      <c r="E659" s="1500"/>
      <c r="F659" s="1500"/>
      <c r="G659" s="1363"/>
      <c r="H659" s="1500"/>
      <c r="I659" s="1500"/>
      <c r="J659" s="1500"/>
      <c r="K659" s="1500"/>
      <c r="L659" s="1500"/>
      <c r="M659" s="1500"/>
      <c r="N659" s="1500"/>
      <c r="O659" s="1500"/>
      <c r="P659" s="1500"/>
      <c r="Q659" s="1363"/>
      <c r="R659" s="1363"/>
      <c r="S659" s="1363"/>
      <c r="T659" s="1363"/>
      <c r="U659" s="1363"/>
      <c r="V659" s="117"/>
      <c r="W659" s="117"/>
      <c r="X659" s="3029" t="s">
        <v>3528</v>
      </c>
      <c r="Y659" s="1547" t="s">
        <v>3529</v>
      </c>
      <c r="Z659" s="670">
        <v>2</v>
      </c>
      <c r="AA659" s="1548">
        <v>0</v>
      </c>
      <c r="AB659" s="1548">
        <f t="shared" si="5"/>
        <v>16</v>
      </c>
      <c r="AC659" s="1548">
        <v>16</v>
      </c>
      <c r="AD659" s="1548"/>
      <c r="AE659" s="1528"/>
      <c r="AF659" s="1548">
        <v>0.1</v>
      </c>
      <c r="AG659" s="1548">
        <v>-1000</v>
      </c>
      <c r="AH659" s="1548"/>
      <c r="AI659" s="1548"/>
      <c r="AJ659" s="668" t="s">
        <v>98</v>
      </c>
      <c r="AK659" s="1500"/>
      <c r="AL659" s="364"/>
      <c r="AM659" s="1363"/>
      <c r="AN659" s="1363"/>
    </row>
    <row r="660" spans="1:50" ht="45.75" customHeight="1" outlineLevel="1">
      <c r="A660" s="1500"/>
      <c r="B660" s="1500"/>
      <c r="C660" s="1500"/>
      <c r="D660" s="1500"/>
      <c r="E660" s="1500"/>
      <c r="F660" s="1500"/>
      <c r="G660" s="1363"/>
      <c r="H660" s="1500"/>
      <c r="I660" s="1500"/>
      <c r="J660" s="1500"/>
      <c r="K660" s="1500"/>
      <c r="L660" s="1500"/>
      <c r="M660" s="1500"/>
      <c r="N660" s="1500"/>
      <c r="O660" s="1500"/>
      <c r="P660" s="1500"/>
      <c r="Q660" s="1363"/>
      <c r="R660" s="1363"/>
      <c r="S660" s="1363"/>
      <c r="T660" s="1363"/>
      <c r="U660" s="1363"/>
      <c r="V660" s="117"/>
      <c r="W660" s="117"/>
      <c r="X660" s="3030" t="s">
        <v>3530</v>
      </c>
      <c r="Y660" s="1547" t="s">
        <v>3531</v>
      </c>
      <c r="Z660" s="670">
        <v>4</v>
      </c>
      <c r="AA660" s="1548">
        <v>0</v>
      </c>
      <c r="AB660" s="1548">
        <f t="shared" si="5"/>
        <v>32</v>
      </c>
      <c r="AC660" s="1548">
        <v>16</v>
      </c>
      <c r="AD660" s="1548"/>
      <c r="AE660" s="1528"/>
      <c r="AF660" s="1548">
        <v>0.1</v>
      </c>
      <c r="AG660" s="1548">
        <v>-1000</v>
      </c>
      <c r="AH660" s="1548"/>
      <c r="AI660" s="1548"/>
      <c r="AJ660" s="668" t="s">
        <v>98</v>
      </c>
      <c r="AK660" s="1500"/>
      <c r="AL660" s="364"/>
      <c r="AM660" s="1363"/>
      <c r="AN660" s="1363"/>
    </row>
    <row r="661" spans="1:50" ht="43.5" customHeight="1" outlineLevel="1">
      <c r="A661" s="1500"/>
      <c r="B661" s="1500"/>
      <c r="C661" s="1500"/>
      <c r="D661" s="1500"/>
      <c r="E661" s="1500"/>
      <c r="F661" s="1500"/>
      <c r="G661" s="1363"/>
      <c r="H661" s="1500"/>
      <c r="I661" s="1500"/>
      <c r="J661" s="1500"/>
      <c r="K661" s="1500"/>
      <c r="L661" s="1500"/>
      <c r="M661" s="1500"/>
      <c r="N661" s="1500"/>
      <c r="O661" s="1500"/>
      <c r="P661" s="1500"/>
      <c r="Q661" s="1363"/>
      <c r="R661" s="1363"/>
      <c r="S661" s="1363"/>
      <c r="T661" s="1363"/>
      <c r="U661" s="1363"/>
      <c r="V661" s="117"/>
      <c r="W661" s="117"/>
      <c r="X661" s="3031" t="s">
        <v>3532</v>
      </c>
      <c r="Y661" s="1547" t="s">
        <v>3533</v>
      </c>
      <c r="Z661" s="670">
        <v>6</v>
      </c>
      <c r="AA661" s="1548">
        <v>0</v>
      </c>
      <c r="AB661" s="1548">
        <f t="shared" si="5"/>
        <v>48</v>
      </c>
      <c r="AC661" s="1548">
        <v>16</v>
      </c>
      <c r="AD661" s="1548"/>
      <c r="AE661" s="1528"/>
      <c r="AF661" s="1548">
        <v>0.1</v>
      </c>
      <c r="AG661" s="1548">
        <v>-1000</v>
      </c>
      <c r="AH661" s="1548"/>
      <c r="AI661" s="1548"/>
      <c r="AJ661" s="668" t="s">
        <v>98</v>
      </c>
      <c r="AK661" s="1500"/>
      <c r="AL661" s="364"/>
      <c r="AM661" s="1363"/>
      <c r="AN661" s="1363"/>
    </row>
    <row r="662" spans="1:50" s="1232" customFormat="1" ht="18" customHeight="1">
      <c r="A662" s="1233">
        <v>69</v>
      </c>
      <c r="B662" s="1233" t="s">
        <v>3534</v>
      </c>
      <c r="C662" s="1233" t="s">
        <v>3535</v>
      </c>
      <c r="D662" s="1233" t="s">
        <v>922</v>
      </c>
      <c r="E662" s="1233">
        <v>8</v>
      </c>
      <c r="F662" s="1233" t="s">
        <v>260</v>
      </c>
      <c r="G662" s="1234" t="s">
        <v>325</v>
      </c>
      <c r="H662" s="1233"/>
      <c r="I662" s="1233"/>
      <c r="J662" s="1233"/>
      <c r="K662" s="1233"/>
      <c r="L662" s="1233" t="s">
        <v>325</v>
      </c>
      <c r="M662" s="1233"/>
      <c r="N662" s="1233" t="s">
        <v>261</v>
      </c>
      <c r="O662" s="1233"/>
      <c r="P662" s="1233"/>
      <c r="Q662" s="1233" t="s">
        <v>325</v>
      </c>
      <c r="R662" s="1233"/>
      <c r="S662" s="1233"/>
      <c r="T662" s="1233"/>
      <c r="U662" s="1233"/>
      <c r="V662" s="1235"/>
      <c r="W662" s="1235"/>
      <c r="X662" s="1235"/>
      <c r="Y662" s="1235"/>
      <c r="Z662" s="1233"/>
      <c r="AA662" s="1233"/>
      <c r="AB662" s="1238">
        <f t="shared" si="5"/>
        <v>0</v>
      </c>
      <c r="AC662" s="1233"/>
      <c r="AD662" s="1233"/>
      <c r="AE662" s="1244"/>
      <c r="AF662" s="1233"/>
      <c r="AG662" s="1233"/>
      <c r="AH662" s="1233"/>
      <c r="AI662" s="1233"/>
      <c r="AJ662" s="1233"/>
      <c r="AK662" s="1236"/>
      <c r="AL662" s="1237"/>
      <c r="AM662" s="1237"/>
      <c r="AN662" s="1237"/>
      <c r="AO662" s="1245"/>
      <c r="AP662" s="1245"/>
      <c r="AQ662" s="1245"/>
      <c r="AR662" s="1245"/>
      <c r="AS662" s="1245"/>
      <c r="AT662" s="1245"/>
      <c r="AU662" s="1245"/>
      <c r="AV662" s="1245"/>
      <c r="AW662" s="1245"/>
      <c r="AX662" s="1245"/>
    </row>
    <row r="663" spans="1:50" ht="45.75" customHeight="1" outlineLevel="1">
      <c r="A663" s="1500"/>
      <c r="B663" s="1500"/>
      <c r="C663" s="3352"/>
      <c r="D663" s="1500"/>
      <c r="E663" s="1500"/>
      <c r="F663" s="1500"/>
      <c r="G663" s="1363"/>
      <c r="H663" s="1500"/>
      <c r="I663" s="1500"/>
      <c r="J663" s="1500"/>
      <c r="K663" s="1500"/>
      <c r="L663" s="1500"/>
      <c r="M663" s="1500"/>
      <c r="N663" s="1500"/>
      <c r="O663" s="1500"/>
      <c r="P663" s="1500"/>
      <c r="Q663" s="1363"/>
      <c r="R663" s="1363"/>
      <c r="S663" s="1363"/>
      <c r="T663" s="1363"/>
      <c r="U663" s="1363"/>
      <c r="V663" s="117"/>
      <c r="W663" s="117"/>
      <c r="X663" s="3032" t="s">
        <v>3536</v>
      </c>
      <c r="Y663" s="117" t="s">
        <v>3537</v>
      </c>
      <c r="Z663" s="454">
        <v>0</v>
      </c>
      <c r="AA663" s="1512">
        <v>0</v>
      </c>
      <c r="AB663" s="1548">
        <f t="shared" si="5"/>
        <v>0</v>
      </c>
      <c r="AC663" s="1512">
        <v>16</v>
      </c>
      <c r="AD663" s="1512"/>
      <c r="AE663" s="1527"/>
      <c r="AF663" s="1538">
        <v>0.1</v>
      </c>
      <c r="AG663" s="1538">
        <v>0</v>
      </c>
      <c r="AH663" s="1538"/>
      <c r="AI663" s="1538"/>
      <c r="AJ663" s="156" t="s">
        <v>1007</v>
      </c>
      <c r="AK663" s="1500"/>
      <c r="AL663" s="364"/>
      <c r="AM663" s="1363"/>
      <c r="AN663" s="1363"/>
    </row>
    <row r="664" spans="1:50" s="364" customFormat="1" ht="45.75" customHeight="1" outlineLevel="1">
      <c r="A664" s="1500"/>
      <c r="B664" s="1500"/>
      <c r="C664" s="3352"/>
      <c r="D664" s="1500"/>
      <c r="E664" s="1500"/>
      <c r="F664" s="1500"/>
      <c r="G664" s="1363"/>
      <c r="H664" s="1500"/>
      <c r="I664" s="1500"/>
      <c r="J664" s="1500"/>
      <c r="K664" s="1500"/>
      <c r="L664" s="1500"/>
      <c r="M664" s="1500"/>
      <c r="N664" s="1500"/>
      <c r="O664" s="1500"/>
      <c r="P664" s="1500"/>
      <c r="Q664" s="1363"/>
      <c r="R664" s="1363"/>
      <c r="S664" s="1363"/>
      <c r="T664" s="1363"/>
      <c r="U664" s="1363"/>
      <c r="V664" s="117"/>
      <c r="W664" s="117"/>
      <c r="X664" s="3033" t="s">
        <v>3538</v>
      </c>
      <c r="Y664" s="1539" t="s">
        <v>3539</v>
      </c>
      <c r="Z664" s="670">
        <v>2</v>
      </c>
      <c r="AA664" s="1548">
        <v>0</v>
      </c>
      <c r="AB664" s="1548">
        <f t="shared" si="5"/>
        <v>16</v>
      </c>
      <c r="AC664" s="1548">
        <v>16</v>
      </c>
      <c r="AD664" s="1528"/>
      <c r="AE664" s="1528"/>
      <c r="AF664" s="1539">
        <v>0.1</v>
      </c>
      <c r="AG664" s="1539">
        <v>0</v>
      </c>
      <c r="AH664" s="1539"/>
      <c r="AI664" s="1539"/>
      <c r="AJ664" s="668" t="s">
        <v>98</v>
      </c>
      <c r="AK664" s="1500"/>
      <c r="AM664" s="1363"/>
      <c r="AN664" s="1363"/>
    </row>
    <row r="665" spans="1:50" ht="75.75" customHeight="1" outlineLevel="1">
      <c r="A665" s="162"/>
      <c r="B665" s="162"/>
      <c r="C665" s="3353"/>
      <c r="D665" s="162"/>
      <c r="E665" s="162"/>
      <c r="F665" s="162"/>
      <c r="G665" s="364"/>
      <c r="H665" s="162"/>
      <c r="I665" s="162"/>
      <c r="J665" s="162"/>
      <c r="K665" s="162"/>
      <c r="L665" s="162"/>
      <c r="M665" s="162"/>
      <c r="N665" s="162"/>
      <c r="O665" s="162"/>
      <c r="P665" s="162"/>
      <c r="Q665" s="364"/>
      <c r="R665" s="364"/>
      <c r="S665" s="364"/>
      <c r="T665" s="364"/>
      <c r="U665" s="364"/>
      <c r="V665" s="163"/>
      <c r="W665" s="163"/>
      <c r="X665" s="3034" t="s">
        <v>3540</v>
      </c>
      <c r="Y665" s="1545" t="s">
        <v>3541</v>
      </c>
      <c r="Z665" s="630">
        <v>4</v>
      </c>
      <c r="AA665" s="1330">
        <v>0</v>
      </c>
      <c r="AB665" s="1330">
        <f t="shared" si="5"/>
        <v>32</v>
      </c>
      <c r="AC665" s="1330">
        <v>8</v>
      </c>
      <c r="AD665" s="1330"/>
      <c r="AE665" s="3035" t="s">
        <v>3542</v>
      </c>
      <c r="AF665" s="1516"/>
      <c r="AG665" s="1516"/>
      <c r="AH665" s="1516"/>
      <c r="AI665" s="1516"/>
      <c r="AJ665" s="687"/>
      <c r="AK665" s="162"/>
      <c r="AL665" s="364"/>
      <c r="AM665" s="364"/>
      <c r="AN665" s="364"/>
    </row>
    <row r="666" spans="1:50" ht="150.75" customHeight="1" outlineLevel="1">
      <c r="A666" s="1500"/>
      <c r="B666" s="1500"/>
      <c r="C666" s="3352"/>
      <c r="D666" s="1500"/>
      <c r="E666" s="1500"/>
      <c r="F666" s="1500"/>
      <c r="G666" s="1363"/>
      <c r="H666" s="1500"/>
      <c r="I666" s="1500"/>
      <c r="J666" s="1500"/>
      <c r="K666" s="1500"/>
      <c r="L666" s="1500"/>
      <c r="M666" s="1500"/>
      <c r="N666" s="1500"/>
      <c r="O666" s="1500"/>
      <c r="P666" s="1500"/>
      <c r="Q666" s="1363"/>
      <c r="R666" s="1363"/>
      <c r="S666" s="1363"/>
      <c r="T666" s="1363"/>
      <c r="U666" s="1363"/>
      <c r="V666" s="117"/>
      <c r="W666" s="117"/>
      <c r="X666" s="3036" t="s">
        <v>3543</v>
      </c>
      <c r="Y666" s="1547" t="s">
        <v>3544</v>
      </c>
      <c r="Z666" s="670">
        <v>5</v>
      </c>
      <c r="AA666" s="1548">
        <v>0</v>
      </c>
      <c r="AB666" s="1548">
        <f t="shared" si="5"/>
        <v>40</v>
      </c>
      <c r="AC666" s="1548">
        <v>8</v>
      </c>
      <c r="AD666" s="1548"/>
      <c r="AE666" s="3037" t="s">
        <v>3545</v>
      </c>
      <c r="AF666" s="1539"/>
      <c r="AG666" s="1539"/>
      <c r="AH666" s="1539"/>
      <c r="AI666" s="1539"/>
      <c r="AJ666" s="668"/>
      <c r="AK666" s="3038" t="s">
        <v>3546</v>
      </c>
      <c r="AL666" s="364"/>
      <c r="AM666" s="1363"/>
      <c r="AN666" s="1363"/>
    </row>
    <row r="667" spans="1:50" ht="60.75" customHeight="1" outlineLevel="1">
      <c r="A667" s="1500"/>
      <c r="B667" s="1500"/>
      <c r="C667" s="3352"/>
      <c r="D667" s="1500"/>
      <c r="E667" s="1500"/>
      <c r="F667" s="1500"/>
      <c r="G667" s="1363"/>
      <c r="H667" s="1500"/>
      <c r="I667" s="1500"/>
      <c r="J667" s="1500"/>
      <c r="K667" s="1500"/>
      <c r="L667" s="1500"/>
      <c r="M667" s="1500"/>
      <c r="N667" s="1500"/>
      <c r="O667" s="1500"/>
      <c r="P667" s="1500"/>
      <c r="Q667" s="1363"/>
      <c r="R667" s="1363"/>
      <c r="S667" s="1363"/>
      <c r="T667" s="1363"/>
      <c r="U667" s="364"/>
      <c r="V667" s="163"/>
      <c r="W667" s="163"/>
      <c r="X667" s="3039" t="s">
        <v>3547</v>
      </c>
      <c r="Y667" s="688" t="s">
        <v>3548</v>
      </c>
      <c r="Z667" s="630">
        <v>6</v>
      </c>
      <c r="AA667" s="1330">
        <v>0</v>
      </c>
      <c r="AB667" s="1330">
        <f t="shared" si="5"/>
        <v>48</v>
      </c>
      <c r="AC667" s="1330">
        <v>2</v>
      </c>
      <c r="AD667" s="1330"/>
      <c r="AE667" s="3040" t="s">
        <v>3549</v>
      </c>
      <c r="AF667" s="1516"/>
      <c r="AG667" s="1539"/>
      <c r="AH667" s="1539"/>
      <c r="AI667" s="1539"/>
      <c r="AJ667" s="668"/>
      <c r="AK667" s="1500" t="s">
        <v>3550</v>
      </c>
      <c r="AL667" s="364"/>
      <c r="AM667" s="1363"/>
      <c r="AN667" s="1363"/>
    </row>
    <row r="668" spans="1:50" s="113" customFormat="1" ht="57.75" customHeight="1" outlineLevel="1">
      <c r="A668" s="1500"/>
      <c r="B668" s="1500"/>
      <c r="C668" s="3352"/>
      <c r="D668" s="1500"/>
      <c r="E668" s="1500"/>
      <c r="F668" s="1500"/>
      <c r="G668" s="1363"/>
      <c r="H668" s="1500"/>
      <c r="I668" s="1500"/>
      <c r="J668" s="1500"/>
      <c r="K668" s="1500"/>
      <c r="L668" s="1500"/>
      <c r="M668" s="1500"/>
      <c r="N668" s="1500"/>
      <c r="O668" s="1500"/>
      <c r="P668" s="1500"/>
      <c r="Q668" s="1363"/>
      <c r="R668" s="1363"/>
      <c r="S668" s="1363"/>
      <c r="T668" s="1363"/>
      <c r="U668" s="364"/>
      <c r="V668" s="163"/>
      <c r="W668" s="163"/>
      <c r="X668" s="3041" t="s">
        <v>3551</v>
      </c>
      <c r="Y668" s="688" t="s">
        <v>3552</v>
      </c>
      <c r="Z668" s="630">
        <v>6</v>
      </c>
      <c r="AA668" s="1330">
        <v>2</v>
      </c>
      <c r="AB668" s="1330">
        <f t="shared" si="5"/>
        <v>50</v>
      </c>
      <c r="AC668" s="1330">
        <v>2</v>
      </c>
      <c r="AD668" s="1330"/>
      <c r="AE668" s="3042" t="s">
        <v>3553</v>
      </c>
      <c r="AF668" s="1516"/>
      <c r="AG668" s="1539"/>
      <c r="AH668" s="1539"/>
      <c r="AI668" s="1539"/>
      <c r="AJ668" s="668"/>
      <c r="AK668" s="1500"/>
      <c r="AL668" s="364"/>
      <c r="AM668" s="1363"/>
      <c r="AN668" s="1363"/>
    </row>
    <row r="669" spans="1:50" s="1232" customFormat="1" ht="18" customHeight="1">
      <c r="A669" s="1233">
        <v>70</v>
      </c>
      <c r="B669" s="1233" t="s">
        <v>3554</v>
      </c>
      <c r="C669" s="1233" t="s">
        <v>3555</v>
      </c>
      <c r="D669" s="1233" t="s">
        <v>259</v>
      </c>
      <c r="E669" s="1233">
        <v>8</v>
      </c>
      <c r="F669" s="1233" t="s">
        <v>260</v>
      </c>
      <c r="G669" s="1243" t="s">
        <v>325</v>
      </c>
      <c r="H669" s="1243"/>
      <c r="I669" s="1243"/>
      <c r="J669" s="1238"/>
      <c r="K669" s="1238"/>
      <c r="L669" s="1238" t="s">
        <v>325</v>
      </c>
      <c r="M669" s="1243"/>
      <c r="N669" s="1243" t="s">
        <v>261</v>
      </c>
      <c r="O669" s="1243"/>
      <c r="P669" s="1238"/>
      <c r="Q669" s="1243"/>
      <c r="R669" s="1243"/>
      <c r="S669" s="1243"/>
      <c r="T669" s="1243"/>
      <c r="U669" s="1243"/>
      <c r="V669" s="1233"/>
      <c r="W669" s="1233"/>
      <c r="X669" s="1233" t="s">
        <v>3556</v>
      </c>
      <c r="Y669" s="1233"/>
      <c r="Z669" s="1233"/>
      <c r="AA669" s="1233"/>
      <c r="AB669" s="1238">
        <f t="shared" si="5"/>
        <v>0</v>
      </c>
      <c r="AC669" s="1233"/>
      <c r="AD669" s="1233"/>
      <c r="AE669" s="1233"/>
      <c r="AF669" s="1233"/>
      <c r="AG669" s="1233"/>
      <c r="AH669" s="1233"/>
      <c r="AI669" s="1233"/>
      <c r="AJ669" s="1233"/>
      <c r="AK669" s="1236"/>
      <c r="AL669" s="1237" t="s">
        <v>661</v>
      </c>
      <c r="AM669" s="1237"/>
      <c r="AN669" s="1237"/>
    </row>
    <row r="670" spans="1:50" s="113" customFormat="1" ht="95.25" customHeight="1">
      <c r="A670" s="646"/>
      <c r="B670" s="646"/>
      <c r="C670" s="646"/>
      <c r="D670" s="646"/>
      <c r="E670" s="646"/>
      <c r="F670" s="646"/>
      <c r="G670" s="1528"/>
      <c r="H670" s="1528"/>
      <c r="I670" s="1528"/>
      <c r="J670" s="1548"/>
      <c r="K670" s="1548"/>
      <c r="L670" s="1548"/>
      <c r="M670" s="1528"/>
      <c r="N670" s="1528"/>
      <c r="O670" s="1528"/>
      <c r="P670" s="1548"/>
      <c r="Q670" s="1528"/>
      <c r="R670" s="1528"/>
      <c r="S670" s="1528"/>
      <c r="T670" s="1528"/>
      <c r="U670" s="1528"/>
      <c r="V670" s="646"/>
      <c r="W670" s="646"/>
      <c r="X670" s="1542" t="s">
        <v>3557</v>
      </c>
      <c r="Y670" s="1363" t="s">
        <v>3558</v>
      </c>
      <c r="Z670" s="1522">
        <v>0</v>
      </c>
      <c r="AA670" s="1522">
        <v>0</v>
      </c>
      <c r="AB670" s="1522">
        <v>0</v>
      </c>
      <c r="AC670" s="690">
        <v>2</v>
      </c>
      <c r="AD670" s="646"/>
      <c r="AE670" s="3043" t="s">
        <v>3559</v>
      </c>
      <c r="AF670" s="646"/>
      <c r="AG670" s="646"/>
      <c r="AH670" s="646"/>
      <c r="AI670" s="646"/>
      <c r="AJ670" s="646"/>
      <c r="AK670" s="3044" t="s">
        <v>3560</v>
      </c>
      <c r="AL670" s="1363"/>
      <c r="AM670" s="1363"/>
      <c r="AN670" s="1363"/>
    </row>
    <row r="671" spans="1:50" s="1232" customFormat="1" ht="35.25" customHeight="1">
      <c r="A671" s="1233">
        <v>71</v>
      </c>
      <c r="B671" s="1233" t="s">
        <v>3561</v>
      </c>
      <c r="C671" s="1233" t="s">
        <v>3562</v>
      </c>
      <c r="D671" s="1233" t="s">
        <v>259</v>
      </c>
      <c r="E671" s="1233">
        <v>8</v>
      </c>
      <c r="F671" s="1233" t="s">
        <v>260</v>
      </c>
      <c r="G671" s="1234" t="s">
        <v>325</v>
      </c>
      <c r="H671" s="1233"/>
      <c r="I671" s="1233"/>
      <c r="J671" s="1233"/>
      <c r="K671" s="1233"/>
      <c r="L671" s="1233" t="s">
        <v>325</v>
      </c>
      <c r="M671" s="1233"/>
      <c r="N671" s="1233" t="s">
        <v>261</v>
      </c>
      <c r="O671" s="1233" t="s">
        <v>325</v>
      </c>
      <c r="P671" s="1233" t="s">
        <v>325</v>
      </c>
      <c r="Q671" s="1233" t="s">
        <v>325</v>
      </c>
      <c r="R671" s="1233"/>
      <c r="S671" s="1233"/>
      <c r="T671" s="1233"/>
      <c r="U671" s="1233"/>
      <c r="V671" s="1235"/>
      <c r="W671" s="1235"/>
      <c r="X671" s="1235" t="s">
        <v>3563</v>
      </c>
      <c r="Y671" s="1235"/>
      <c r="Z671" s="1233"/>
      <c r="AA671" s="1233"/>
      <c r="AB671" s="1238">
        <f t="shared" ref="AB671:AB677" si="6">Z671*8+AA671</f>
        <v>0</v>
      </c>
      <c r="AC671" s="1233"/>
      <c r="AD671" s="1233"/>
      <c r="AE671" s="1244"/>
      <c r="AF671" s="1233"/>
      <c r="AG671" s="1233"/>
      <c r="AH671" s="1233"/>
      <c r="AI671" s="1233"/>
      <c r="AJ671" s="1233"/>
      <c r="AK671" s="1236"/>
      <c r="AL671" s="1237"/>
      <c r="AM671" s="1237"/>
      <c r="AN671" s="1237"/>
    </row>
    <row r="672" spans="1:50" ht="30.75" customHeight="1" outlineLevel="1">
      <c r="A672" s="1500"/>
      <c r="B672" s="1500"/>
      <c r="C672" s="1500"/>
      <c r="D672" s="1500"/>
      <c r="E672" s="1500"/>
      <c r="F672" s="1500"/>
      <c r="G672" s="1363"/>
      <c r="H672" s="1500"/>
      <c r="I672" s="1500"/>
      <c r="J672" s="1500"/>
      <c r="K672" s="1500"/>
      <c r="L672" s="1500"/>
      <c r="M672" s="1500"/>
      <c r="N672" s="1500"/>
      <c r="O672" s="1500"/>
      <c r="P672" s="1500"/>
      <c r="Q672" s="1363"/>
      <c r="R672" s="1363"/>
      <c r="S672" s="1363"/>
      <c r="T672" s="1363"/>
      <c r="U672" s="1363"/>
      <c r="V672" s="117"/>
      <c r="W672" s="117"/>
      <c r="X672" s="1538" t="s">
        <v>3564</v>
      </c>
      <c r="Y672" s="1547" t="s">
        <v>3565</v>
      </c>
      <c r="Z672" s="454">
        <v>0</v>
      </c>
      <c r="AA672" s="1512">
        <v>0</v>
      </c>
      <c r="AB672" s="1548">
        <f t="shared" si="6"/>
        <v>0</v>
      </c>
      <c r="AC672" s="1512">
        <v>8</v>
      </c>
      <c r="AD672" s="1512" t="s">
        <v>286</v>
      </c>
      <c r="AE672" s="1527"/>
      <c r="AF672" s="1512">
        <v>0.5</v>
      </c>
      <c r="AG672" s="1512">
        <v>0</v>
      </c>
      <c r="AH672" s="1512" t="s">
        <v>3226</v>
      </c>
      <c r="AI672" s="1512"/>
      <c r="AJ672" s="156" t="s">
        <v>904</v>
      </c>
      <c r="AK672" s="1500"/>
      <c r="AL672" s="364"/>
      <c r="AM672" s="1363"/>
      <c r="AN672" s="1363"/>
    </row>
    <row r="673" spans="1:40" ht="30.75" customHeight="1" outlineLevel="1">
      <c r="A673" s="1500"/>
      <c r="B673" s="1500"/>
      <c r="C673" s="1500"/>
      <c r="D673" s="1500"/>
      <c r="E673" s="1500"/>
      <c r="F673" s="1500"/>
      <c r="G673" s="1363"/>
      <c r="H673" s="1500"/>
      <c r="I673" s="1500"/>
      <c r="J673" s="1500"/>
      <c r="K673" s="1500"/>
      <c r="L673" s="1500"/>
      <c r="M673" s="1500"/>
      <c r="N673" s="1500"/>
      <c r="O673" s="1500"/>
      <c r="P673" s="1500"/>
      <c r="Q673" s="1363"/>
      <c r="R673" s="1363"/>
      <c r="S673" s="1363"/>
      <c r="T673" s="1363"/>
      <c r="U673" s="1363"/>
      <c r="V673" s="117"/>
      <c r="W673" s="117"/>
      <c r="X673" s="1539" t="s">
        <v>3566</v>
      </c>
      <c r="Y673" s="1547" t="s">
        <v>3567</v>
      </c>
      <c r="Z673" s="670">
        <v>1</v>
      </c>
      <c r="AA673" s="1548">
        <v>0</v>
      </c>
      <c r="AB673" s="1548">
        <f t="shared" si="6"/>
        <v>8</v>
      </c>
      <c r="AC673" s="1548">
        <v>8</v>
      </c>
      <c r="AD673" s="1548" t="s">
        <v>286</v>
      </c>
      <c r="AE673" s="1528"/>
      <c r="AF673" s="1548">
        <v>0.5</v>
      </c>
      <c r="AG673" s="1548">
        <v>0</v>
      </c>
      <c r="AH673" s="1548" t="s">
        <v>3226</v>
      </c>
      <c r="AI673" s="1548"/>
      <c r="AJ673" s="668" t="s">
        <v>904</v>
      </c>
      <c r="AK673" s="1500"/>
      <c r="AL673" s="364"/>
      <c r="AM673" s="1363"/>
      <c r="AN673" s="1363"/>
    </row>
    <row r="674" spans="1:40" ht="30.75" customHeight="1" outlineLevel="1">
      <c r="A674" s="1500"/>
      <c r="B674" s="1500"/>
      <c r="C674" s="1500"/>
      <c r="D674" s="1500"/>
      <c r="E674" s="1500"/>
      <c r="F674" s="1500"/>
      <c r="G674" s="1363"/>
      <c r="H674" s="1500"/>
      <c r="I674" s="1500"/>
      <c r="J674" s="1500"/>
      <c r="K674" s="1500"/>
      <c r="L674" s="1500"/>
      <c r="M674" s="1500"/>
      <c r="N674" s="1500"/>
      <c r="O674" s="1500"/>
      <c r="P674" s="1500"/>
      <c r="Q674" s="1363"/>
      <c r="R674" s="1363"/>
      <c r="S674" s="1363"/>
      <c r="T674" s="1363"/>
      <c r="U674" s="1363"/>
      <c r="V674" s="117"/>
      <c r="W674" s="117"/>
      <c r="X674" s="3045" t="s">
        <v>3568</v>
      </c>
      <c r="Y674" s="1547" t="s">
        <v>3569</v>
      </c>
      <c r="Z674" s="670">
        <v>2</v>
      </c>
      <c r="AA674" s="1548">
        <v>0</v>
      </c>
      <c r="AB674" s="1548">
        <f t="shared" si="6"/>
        <v>16</v>
      </c>
      <c r="AC674" s="1548">
        <v>16</v>
      </c>
      <c r="AD674" s="1548" t="s">
        <v>286</v>
      </c>
      <c r="AE674" s="1528"/>
      <c r="AF674" s="1548">
        <v>1</v>
      </c>
      <c r="AG674" s="1548">
        <v>0</v>
      </c>
      <c r="AH674" s="1548"/>
      <c r="AI674" s="1548"/>
      <c r="AJ674" s="668" t="s">
        <v>1007</v>
      </c>
      <c r="AK674" s="1500"/>
      <c r="AL674" s="364"/>
      <c r="AM674" s="1363"/>
      <c r="AN674" s="1363"/>
    </row>
    <row r="675" spans="1:40" ht="30.75" customHeight="1" outlineLevel="1">
      <c r="A675" s="1500"/>
      <c r="B675" s="1500"/>
      <c r="C675" s="1500"/>
      <c r="D675" s="1500"/>
      <c r="E675" s="1500"/>
      <c r="F675" s="1500"/>
      <c r="G675" s="1363"/>
      <c r="H675" s="1500"/>
      <c r="I675" s="1500"/>
      <c r="J675" s="1500"/>
      <c r="K675" s="1500"/>
      <c r="L675" s="1500"/>
      <c r="M675" s="1500"/>
      <c r="N675" s="1500"/>
      <c r="O675" s="1500"/>
      <c r="P675" s="1500"/>
      <c r="Q675" s="1363"/>
      <c r="R675" s="1363"/>
      <c r="S675" s="1363"/>
      <c r="T675" s="1363"/>
      <c r="U675" s="1363"/>
      <c r="V675" s="117"/>
      <c r="W675" s="117"/>
      <c r="X675" s="3046" t="s">
        <v>3570</v>
      </c>
      <c r="Y675" s="1547" t="s">
        <v>3571</v>
      </c>
      <c r="Z675" s="670">
        <v>4</v>
      </c>
      <c r="AA675" s="1548">
        <v>0</v>
      </c>
      <c r="AB675" s="1548">
        <f t="shared" si="6"/>
        <v>32</v>
      </c>
      <c r="AC675" s="1548">
        <v>16</v>
      </c>
      <c r="AD675" s="1548" t="s">
        <v>286</v>
      </c>
      <c r="AE675" s="1528"/>
      <c r="AF675" s="1548">
        <v>1</v>
      </c>
      <c r="AG675" s="1548">
        <v>-1000</v>
      </c>
      <c r="AH675" s="1548"/>
      <c r="AI675" s="1548"/>
      <c r="AJ675" s="668" t="s">
        <v>98</v>
      </c>
      <c r="AK675" s="1500"/>
      <c r="AL675" s="364"/>
      <c r="AM675" s="1363"/>
      <c r="AN675" s="1363"/>
    </row>
    <row r="676" spans="1:40" ht="30.75" customHeight="1" outlineLevel="1">
      <c r="A676" s="1500"/>
      <c r="B676" s="1500"/>
      <c r="C676" s="1500"/>
      <c r="D676" s="1500"/>
      <c r="E676" s="1500"/>
      <c r="F676" s="1500"/>
      <c r="G676" s="1363"/>
      <c r="H676" s="1500"/>
      <c r="I676" s="1500"/>
      <c r="J676" s="1500"/>
      <c r="K676" s="1500"/>
      <c r="L676" s="1500"/>
      <c r="M676" s="1500"/>
      <c r="N676" s="1500"/>
      <c r="O676" s="1500"/>
      <c r="P676" s="1500"/>
      <c r="Q676" s="1363"/>
      <c r="R676" s="1363"/>
      <c r="S676" s="1363"/>
      <c r="T676" s="1363"/>
      <c r="U676" s="1363"/>
      <c r="V676" s="117"/>
      <c r="W676" s="117"/>
      <c r="X676" s="3047" t="s">
        <v>521</v>
      </c>
      <c r="Y676" s="1547" t="s">
        <v>3572</v>
      </c>
      <c r="Z676" s="670">
        <v>6</v>
      </c>
      <c r="AA676" s="1548">
        <v>0</v>
      </c>
      <c r="AB676" s="1548">
        <f t="shared" si="6"/>
        <v>48</v>
      </c>
      <c r="AC676" s="1548">
        <v>8</v>
      </c>
      <c r="AD676" s="1548" t="s">
        <v>286</v>
      </c>
      <c r="AE676" s="1528"/>
      <c r="AF676" s="1548">
        <v>1</v>
      </c>
      <c r="AG676" s="1548">
        <v>-40</v>
      </c>
      <c r="AH676" s="1548"/>
      <c r="AI676" s="1548"/>
      <c r="AJ676" s="668" t="s">
        <v>508</v>
      </c>
      <c r="AK676" s="1500"/>
      <c r="AL676" s="162"/>
      <c r="AM676" s="1363"/>
      <c r="AN676" s="1363"/>
    </row>
    <row r="677" spans="1:40" ht="30.75" customHeight="1" outlineLevel="1">
      <c r="A677" s="1500"/>
      <c r="B677" s="1500"/>
      <c r="C677" s="1500"/>
      <c r="D677" s="1500"/>
      <c r="E677" s="1500"/>
      <c r="F677" s="1500"/>
      <c r="G677" s="1363"/>
      <c r="H677" s="1500"/>
      <c r="I677" s="1500"/>
      <c r="J677" s="1500"/>
      <c r="K677" s="1500"/>
      <c r="L677" s="1500"/>
      <c r="M677" s="1500"/>
      <c r="N677" s="1500"/>
      <c r="O677" s="1500"/>
      <c r="P677" s="1500"/>
      <c r="Q677" s="1363"/>
      <c r="R677" s="1363"/>
      <c r="S677" s="1363"/>
      <c r="T677" s="1363"/>
      <c r="U677" s="1363"/>
      <c r="V677" s="117"/>
      <c r="W677" s="117"/>
      <c r="X677" s="3048" t="s">
        <v>515</v>
      </c>
      <c r="Y677" s="1547" t="s">
        <v>3573</v>
      </c>
      <c r="Z677" s="670">
        <v>7</v>
      </c>
      <c r="AA677" s="1548">
        <v>0</v>
      </c>
      <c r="AB677" s="1548">
        <f t="shared" si="6"/>
        <v>56</v>
      </c>
      <c r="AC677" s="1548">
        <v>8</v>
      </c>
      <c r="AD677" s="1548" t="s">
        <v>286</v>
      </c>
      <c r="AE677" s="1528"/>
      <c r="AF677" s="1548">
        <v>1</v>
      </c>
      <c r="AG677" s="1548">
        <v>-40</v>
      </c>
      <c r="AH677" s="1548"/>
      <c r="AI677" s="1548"/>
      <c r="AJ677" s="668" t="s">
        <v>508</v>
      </c>
      <c r="AK677" s="1500"/>
      <c r="AL677" s="364"/>
      <c r="AM677" s="1363"/>
      <c r="AN677" s="1363"/>
    </row>
    <row r="678" spans="1:40" s="1232" customFormat="1" ht="35.25" customHeight="1">
      <c r="A678" s="1233">
        <v>72</v>
      </c>
      <c r="B678" s="1233" t="s">
        <v>3574</v>
      </c>
      <c r="C678" s="1233" t="s">
        <v>3575</v>
      </c>
      <c r="D678" s="1233" t="s">
        <v>3258</v>
      </c>
      <c r="E678" s="1233">
        <v>8</v>
      </c>
      <c r="F678" s="1233" t="s">
        <v>260</v>
      </c>
      <c r="G678" s="1234" t="s">
        <v>325</v>
      </c>
      <c r="H678" s="1233"/>
      <c r="I678" s="1233"/>
      <c r="J678" s="1233"/>
      <c r="K678" s="1233"/>
      <c r="L678" s="1233" t="s">
        <v>325</v>
      </c>
      <c r="M678" s="1233"/>
      <c r="N678" s="1233" t="s">
        <v>261</v>
      </c>
      <c r="O678" s="1233"/>
      <c r="P678" s="1233"/>
      <c r="Q678" s="1233"/>
      <c r="R678" s="1233"/>
      <c r="S678" s="1233"/>
      <c r="T678" s="1233"/>
      <c r="U678" s="1233"/>
      <c r="V678" s="1235"/>
      <c r="W678" s="1235"/>
      <c r="X678" s="1235" t="s">
        <v>3576</v>
      </c>
      <c r="Y678" s="1235"/>
      <c r="Z678" s="1233"/>
      <c r="AA678" s="1233"/>
      <c r="AB678" s="1233"/>
      <c r="AC678" s="1233"/>
      <c r="AD678" s="1233"/>
      <c r="AE678" s="1244" t="s">
        <v>1530</v>
      </c>
      <c r="AF678" s="1233"/>
      <c r="AG678" s="1233"/>
      <c r="AH678" s="1233"/>
      <c r="AI678" s="1233"/>
      <c r="AJ678" s="1233"/>
      <c r="AK678" s="1236"/>
      <c r="AL678" s="1237"/>
      <c r="AM678" s="1237"/>
      <c r="AN678" s="1237"/>
    </row>
    <row r="679" spans="1:40" ht="18" customHeight="1" outlineLevel="1">
      <c r="A679" s="1500"/>
      <c r="B679" s="1500"/>
      <c r="C679" s="1500"/>
      <c r="D679" s="1500"/>
      <c r="E679" s="1500"/>
      <c r="F679" s="1500"/>
      <c r="G679" s="1363"/>
      <c r="H679" s="1500"/>
      <c r="I679" s="1500"/>
      <c r="J679" s="646"/>
      <c r="K679" s="1389"/>
      <c r="L679" s="1389"/>
      <c r="M679" s="1500"/>
      <c r="N679" s="1500"/>
      <c r="O679" s="1500"/>
      <c r="P679" s="1500"/>
      <c r="Q679" s="1363"/>
      <c r="R679" s="1363"/>
      <c r="S679" s="1363"/>
      <c r="T679" s="1363"/>
      <c r="U679" s="1363"/>
      <c r="V679" s="117"/>
      <c r="W679" s="117"/>
      <c r="X679" s="1539" t="s">
        <v>3577</v>
      </c>
      <c r="Y679" s="1547" t="s">
        <v>3578</v>
      </c>
      <c r="Z679" s="1542">
        <v>0</v>
      </c>
      <c r="AA679" s="1512"/>
      <c r="AB679" s="1544">
        <v>0</v>
      </c>
      <c r="AC679" s="1544">
        <v>2</v>
      </c>
      <c r="AD679" s="1530"/>
      <c r="AE679" s="1526" t="s">
        <v>3579</v>
      </c>
      <c r="AF679" s="1538"/>
      <c r="AG679" s="1538"/>
      <c r="AH679" s="910"/>
      <c r="AI679" s="1538"/>
      <c r="AJ679" s="156"/>
      <c r="AK679" s="1500"/>
      <c r="AL679" s="364"/>
      <c r="AM679" s="1363"/>
      <c r="AN679" s="1363"/>
    </row>
    <row r="680" spans="1:40" ht="18" customHeight="1" outlineLevel="1">
      <c r="A680" s="1500"/>
      <c r="B680" s="1500"/>
      <c r="C680" s="1500"/>
      <c r="D680" s="1500"/>
      <c r="E680" s="1500"/>
      <c r="F680" s="1500"/>
      <c r="G680" s="1363"/>
      <c r="H680" s="1500"/>
      <c r="I680" s="1500"/>
      <c r="J680" s="646"/>
      <c r="K680" s="1389"/>
      <c r="L680" s="1389"/>
      <c r="M680" s="1500"/>
      <c r="N680" s="1500"/>
      <c r="O680" s="1500"/>
      <c r="P680" s="1500"/>
      <c r="Q680" s="1363"/>
      <c r="R680" s="1363"/>
      <c r="S680" s="1363"/>
      <c r="T680" s="1363"/>
      <c r="U680" s="1363"/>
      <c r="V680" s="117"/>
      <c r="W680" s="117"/>
      <c r="X680" s="1539" t="s">
        <v>3580</v>
      </c>
      <c r="Y680" s="1547" t="s">
        <v>3581</v>
      </c>
      <c r="Z680" s="1521">
        <v>0</v>
      </c>
      <c r="AA680" s="1548"/>
      <c r="AB680" s="1544">
        <v>2</v>
      </c>
      <c r="AC680" s="1544">
        <v>2</v>
      </c>
      <c r="AD680" s="1499"/>
      <c r="AE680" s="1526" t="s">
        <v>3579</v>
      </c>
      <c r="AF680" s="1539"/>
      <c r="AG680" s="1539"/>
      <c r="AH680" s="910"/>
      <c r="AI680" s="1539"/>
      <c r="AJ680" s="668"/>
      <c r="AK680" s="1500"/>
      <c r="AL680" s="364"/>
      <c r="AM680" s="1363"/>
      <c r="AN680" s="1363"/>
    </row>
    <row r="681" spans="1:40" ht="41.25" customHeight="1" outlineLevel="1">
      <c r="A681" s="1500"/>
      <c r="B681" s="1500"/>
      <c r="C681" s="1500"/>
      <c r="D681" s="1500"/>
      <c r="E681" s="1500"/>
      <c r="F681" s="1500"/>
      <c r="G681" s="1363"/>
      <c r="H681" s="1500"/>
      <c r="I681" s="1500"/>
      <c r="J681" s="646"/>
      <c r="K681" s="1389"/>
      <c r="L681" s="1389"/>
      <c r="M681" s="1500"/>
      <c r="N681" s="1500"/>
      <c r="O681" s="1500"/>
      <c r="P681" s="1500"/>
      <c r="Q681" s="1363"/>
      <c r="R681" s="1363"/>
      <c r="S681" s="1363"/>
      <c r="T681" s="1363"/>
      <c r="U681" s="1363"/>
      <c r="V681" s="117"/>
      <c r="W681" s="117"/>
      <c r="X681" s="1539" t="s">
        <v>3582</v>
      </c>
      <c r="Y681" s="1547" t="s">
        <v>3583</v>
      </c>
      <c r="Z681" s="1521">
        <v>0</v>
      </c>
      <c r="AA681" s="1548"/>
      <c r="AB681" s="1544">
        <v>4</v>
      </c>
      <c r="AC681" s="1544">
        <v>2</v>
      </c>
      <c r="AD681" s="1499"/>
      <c r="AE681" s="1526" t="s">
        <v>3579</v>
      </c>
      <c r="AF681" s="1539"/>
      <c r="AG681" s="1539"/>
      <c r="AH681" s="910"/>
      <c r="AI681" s="1539"/>
      <c r="AJ681" s="668"/>
      <c r="AK681" s="1506" t="s">
        <v>3584</v>
      </c>
      <c r="AL681" s="364"/>
      <c r="AM681" s="1363"/>
      <c r="AN681" s="1363"/>
    </row>
    <row r="682" spans="1:40" ht="18" customHeight="1" outlineLevel="1">
      <c r="A682" s="1500"/>
      <c r="B682" s="1500"/>
      <c r="C682" s="1500"/>
      <c r="D682" s="1500"/>
      <c r="E682" s="1500"/>
      <c r="F682" s="1500"/>
      <c r="G682" s="1363"/>
      <c r="H682" s="1500"/>
      <c r="I682" s="1500"/>
      <c r="J682" s="646"/>
      <c r="K682" s="1389"/>
      <c r="L682" s="1389"/>
      <c r="M682" s="1500"/>
      <c r="N682" s="1500"/>
      <c r="O682" s="1500"/>
      <c r="P682" s="1500"/>
      <c r="Q682" s="1363"/>
      <c r="R682" s="1363"/>
      <c r="S682" s="1363"/>
      <c r="T682" s="1363"/>
      <c r="U682" s="1363"/>
      <c r="V682" s="117"/>
      <c r="W682" s="117"/>
      <c r="X682" s="1539" t="s">
        <v>3585</v>
      </c>
      <c r="Y682" s="1547" t="s">
        <v>3586</v>
      </c>
      <c r="Z682" s="1521">
        <v>0</v>
      </c>
      <c r="AA682" s="1548"/>
      <c r="AB682" s="1544">
        <v>6</v>
      </c>
      <c r="AC682" s="1544">
        <v>2</v>
      </c>
      <c r="AD682" s="1499"/>
      <c r="AE682" s="1526" t="s">
        <v>3579</v>
      </c>
      <c r="AF682" s="1539"/>
      <c r="AG682" s="1539"/>
      <c r="AH682" s="910"/>
      <c r="AI682" s="1539"/>
      <c r="AJ682" s="668"/>
      <c r="AK682" s="1526"/>
      <c r="AL682" s="364"/>
      <c r="AM682" s="1363"/>
      <c r="AN682" s="1363"/>
    </row>
    <row r="683" spans="1:40" ht="18" customHeight="1" outlineLevel="1">
      <c r="A683" s="1500"/>
      <c r="B683" s="1500"/>
      <c r="C683" s="1500"/>
      <c r="D683" s="1500"/>
      <c r="E683" s="1500"/>
      <c r="F683" s="1500"/>
      <c r="G683" s="1363"/>
      <c r="H683" s="1500"/>
      <c r="I683" s="1500"/>
      <c r="J683" s="646"/>
      <c r="K683" s="1389"/>
      <c r="L683" s="1389"/>
      <c r="M683" s="1500"/>
      <c r="N683" s="1500"/>
      <c r="O683" s="1500"/>
      <c r="P683" s="1500"/>
      <c r="Q683" s="1363"/>
      <c r="R683" s="1363"/>
      <c r="S683" s="1363"/>
      <c r="T683" s="1363"/>
      <c r="U683" s="1363"/>
      <c r="V683" s="117"/>
      <c r="W683" s="117"/>
      <c r="X683" s="1539" t="s">
        <v>3587</v>
      </c>
      <c r="Y683" s="1547" t="s">
        <v>3588</v>
      </c>
      <c r="Z683" s="1521">
        <v>1</v>
      </c>
      <c r="AA683" s="1548"/>
      <c r="AB683" s="1544">
        <v>8</v>
      </c>
      <c r="AC683" s="1544">
        <v>2</v>
      </c>
      <c r="AD683" s="1499"/>
      <c r="AE683" s="1526" t="s">
        <v>3579</v>
      </c>
      <c r="AF683" s="1539"/>
      <c r="AG683" s="1539"/>
      <c r="AH683" s="910"/>
      <c r="AI683" s="1539"/>
      <c r="AJ683" s="668"/>
      <c r="AK683" s="1526"/>
      <c r="AL683" s="364"/>
      <c r="AM683" s="1363"/>
      <c r="AN683" s="1363"/>
    </row>
    <row r="684" spans="1:40" ht="18" customHeight="1" outlineLevel="1">
      <c r="A684" s="1500"/>
      <c r="B684" s="1500"/>
      <c r="C684" s="1500"/>
      <c r="D684" s="1500"/>
      <c r="E684" s="1500"/>
      <c r="F684" s="1500"/>
      <c r="G684" s="1363"/>
      <c r="H684" s="1500"/>
      <c r="I684" s="1500"/>
      <c r="J684" s="646"/>
      <c r="K684" s="1389"/>
      <c r="L684" s="1389"/>
      <c r="M684" s="1500"/>
      <c r="N684" s="1500"/>
      <c r="O684" s="1500"/>
      <c r="P684" s="1500"/>
      <c r="Q684" s="1363"/>
      <c r="R684" s="1363"/>
      <c r="S684" s="1363"/>
      <c r="T684" s="1363"/>
      <c r="U684" s="1363"/>
      <c r="V684" s="117"/>
      <c r="W684" s="117"/>
      <c r="X684" s="1539" t="s">
        <v>3589</v>
      </c>
      <c r="Y684" s="1547" t="s">
        <v>3590</v>
      </c>
      <c r="Z684" s="1521">
        <v>1</v>
      </c>
      <c r="AA684" s="1548"/>
      <c r="AB684" s="1544">
        <v>10</v>
      </c>
      <c r="AC684" s="1544">
        <v>2</v>
      </c>
      <c r="AD684" s="1499"/>
      <c r="AE684" s="1526" t="s">
        <v>3579</v>
      </c>
      <c r="AF684" s="1539"/>
      <c r="AG684" s="1539"/>
      <c r="AH684" s="910"/>
      <c r="AI684" s="1539"/>
      <c r="AJ684" s="668"/>
      <c r="AK684" s="1526"/>
      <c r="AL684" s="364"/>
      <c r="AM684" s="1363"/>
      <c r="AN684" s="1363"/>
    </row>
    <row r="685" spans="1:40" ht="18" customHeight="1" outlineLevel="1">
      <c r="A685" s="1500"/>
      <c r="B685" s="1500"/>
      <c r="C685" s="1500"/>
      <c r="D685" s="1500"/>
      <c r="E685" s="1500"/>
      <c r="F685" s="1500"/>
      <c r="G685" s="1363"/>
      <c r="H685" s="1500"/>
      <c r="I685" s="1500"/>
      <c r="J685" s="646"/>
      <c r="K685" s="1389"/>
      <c r="L685" s="1389"/>
      <c r="M685" s="1500"/>
      <c r="N685" s="1500"/>
      <c r="O685" s="1500"/>
      <c r="P685" s="1500"/>
      <c r="Q685" s="1363"/>
      <c r="R685" s="1363"/>
      <c r="S685" s="1363"/>
      <c r="T685" s="1363"/>
      <c r="U685" s="1363"/>
      <c r="V685" s="117"/>
      <c r="W685" s="117"/>
      <c r="X685" s="1539" t="s">
        <v>3591</v>
      </c>
      <c r="Y685" s="1547" t="s">
        <v>3592</v>
      </c>
      <c r="Z685" s="1521">
        <v>1</v>
      </c>
      <c r="AA685" s="1548"/>
      <c r="AB685" s="1544">
        <v>12</v>
      </c>
      <c r="AC685" s="1544">
        <v>2</v>
      </c>
      <c r="AD685" s="1499"/>
      <c r="AE685" s="1526" t="s">
        <v>3579</v>
      </c>
      <c r="AF685" s="1539"/>
      <c r="AG685" s="1539"/>
      <c r="AH685" s="910"/>
      <c r="AI685" s="1539"/>
      <c r="AJ685" s="668"/>
      <c r="AK685" s="1526"/>
      <c r="AL685" s="364"/>
      <c r="AM685" s="1363"/>
      <c r="AN685" s="1363"/>
    </row>
    <row r="686" spans="1:40" ht="18" customHeight="1" outlineLevel="1">
      <c r="A686" s="1500"/>
      <c r="B686" s="1500"/>
      <c r="C686" s="1500"/>
      <c r="D686" s="1500"/>
      <c r="E686" s="1500"/>
      <c r="F686" s="1500"/>
      <c r="G686" s="1363"/>
      <c r="H686" s="1500"/>
      <c r="I686" s="1500"/>
      <c r="J686" s="646"/>
      <c r="K686" s="1389"/>
      <c r="L686" s="1389"/>
      <c r="M686" s="1500"/>
      <c r="N686" s="1500"/>
      <c r="O686" s="1500"/>
      <c r="P686" s="1500"/>
      <c r="Q686" s="1363"/>
      <c r="R686" s="1363"/>
      <c r="S686" s="1363"/>
      <c r="T686" s="1363"/>
      <c r="U686" s="1363"/>
      <c r="V686" s="117"/>
      <c r="W686" s="117"/>
      <c r="X686" s="1539" t="s">
        <v>3593</v>
      </c>
      <c r="Y686" s="1547" t="s">
        <v>3594</v>
      </c>
      <c r="Z686" s="1521">
        <v>1</v>
      </c>
      <c r="AA686" s="1548"/>
      <c r="AB686" s="1544">
        <v>14</v>
      </c>
      <c r="AC686" s="1544">
        <v>2</v>
      </c>
      <c r="AD686" s="1499"/>
      <c r="AE686" s="1526" t="s">
        <v>3579</v>
      </c>
      <c r="AF686" s="1539"/>
      <c r="AG686" s="1539"/>
      <c r="AH686" s="910"/>
      <c r="AI686" s="1539"/>
      <c r="AJ686" s="668"/>
      <c r="AK686" s="1526"/>
      <c r="AL686" s="364"/>
      <c r="AM686" s="1363"/>
      <c r="AN686" s="1363"/>
    </row>
    <row r="687" spans="1:40" ht="18" customHeight="1" outlineLevel="1">
      <c r="A687" s="1500"/>
      <c r="B687" s="1500"/>
      <c r="C687" s="1500"/>
      <c r="D687" s="1500"/>
      <c r="E687" s="1500"/>
      <c r="F687" s="1500"/>
      <c r="G687" s="1363"/>
      <c r="H687" s="1500"/>
      <c r="I687" s="1500"/>
      <c r="J687" s="646"/>
      <c r="K687" s="1389"/>
      <c r="L687" s="1389"/>
      <c r="M687" s="1500"/>
      <c r="N687" s="1500"/>
      <c r="O687" s="1500"/>
      <c r="P687" s="1500"/>
      <c r="Q687" s="1363"/>
      <c r="R687" s="1363"/>
      <c r="S687" s="1363"/>
      <c r="T687" s="1363"/>
      <c r="U687" s="1363"/>
      <c r="V687" s="117"/>
      <c r="W687" s="117"/>
      <c r="X687" s="1539" t="s">
        <v>3595</v>
      </c>
      <c r="Y687" s="1547" t="s">
        <v>3596</v>
      </c>
      <c r="Z687" s="1521">
        <v>2</v>
      </c>
      <c r="AA687" s="1548"/>
      <c r="AB687" s="1544">
        <v>16</v>
      </c>
      <c r="AC687" s="1544">
        <v>2</v>
      </c>
      <c r="AD687" s="1499"/>
      <c r="AE687" s="1526" t="s">
        <v>3579</v>
      </c>
      <c r="AF687" s="1539"/>
      <c r="AG687" s="1539"/>
      <c r="AH687" s="910"/>
      <c r="AI687" s="1539"/>
      <c r="AJ687" s="668"/>
      <c r="AK687" s="1526"/>
      <c r="AL687" s="364"/>
      <c r="AM687" s="1363"/>
      <c r="AN687" s="1363"/>
    </row>
    <row r="688" spans="1:40" ht="41.25" customHeight="1" outlineLevel="1">
      <c r="A688" s="1500"/>
      <c r="B688" s="1500"/>
      <c r="C688" s="1500"/>
      <c r="D688" s="1500"/>
      <c r="E688" s="1500"/>
      <c r="F688" s="1500"/>
      <c r="G688" s="1363"/>
      <c r="H688" s="1500"/>
      <c r="I688" s="1500"/>
      <c r="J688" s="646"/>
      <c r="K688" s="1389"/>
      <c r="L688" s="1389"/>
      <c r="M688" s="1500"/>
      <c r="N688" s="1500"/>
      <c r="O688" s="1500"/>
      <c r="P688" s="1500"/>
      <c r="Q688" s="1363"/>
      <c r="R688" s="1363"/>
      <c r="S688" s="1363"/>
      <c r="T688" s="1363"/>
      <c r="U688" s="1363"/>
      <c r="V688" s="117"/>
      <c r="W688" s="117"/>
      <c r="X688" s="1539" t="s">
        <v>3597</v>
      </c>
      <c r="Y688" s="1547" t="s">
        <v>3598</v>
      </c>
      <c r="Z688" s="1521">
        <v>2</v>
      </c>
      <c r="AA688" s="1548"/>
      <c r="AB688" s="1544">
        <v>18</v>
      </c>
      <c r="AC688" s="1544">
        <v>2</v>
      </c>
      <c r="AD688" s="1499"/>
      <c r="AE688" s="1526" t="s">
        <v>3579</v>
      </c>
      <c r="AF688" s="1539"/>
      <c r="AG688" s="1539"/>
      <c r="AH688" s="910"/>
      <c r="AI688" s="1539"/>
      <c r="AJ688" s="668"/>
      <c r="AK688" s="1506" t="s">
        <v>3599</v>
      </c>
      <c r="AL688" s="364"/>
      <c r="AM688" s="1363"/>
      <c r="AN688" s="1363"/>
    </row>
    <row r="689" spans="1:40" ht="41.25" customHeight="1" outlineLevel="1">
      <c r="A689" s="1500"/>
      <c r="B689" s="1500"/>
      <c r="C689" s="1500"/>
      <c r="D689" s="1500"/>
      <c r="E689" s="1500"/>
      <c r="F689" s="1500"/>
      <c r="G689" s="1363"/>
      <c r="H689" s="1500"/>
      <c r="I689" s="1500"/>
      <c r="J689" s="646"/>
      <c r="K689" s="1389"/>
      <c r="L689" s="1389"/>
      <c r="M689" s="1500"/>
      <c r="N689" s="1500"/>
      <c r="O689" s="1500"/>
      <c r="P689" s="1500"/>
      <c r="Q689" s="1363"/>
      <c r="R689" s="1363"/>
      <c r="S689" s="1363"/>
      <c r="T689" s="1363"/>
      <c r="U689" s="1363"/>
      <c r="V689" s="117"/>
      <c r="W689" s="117"/>
      <c r="X689" s="1539" t="s">
        <v>3600</v>
      </c>
      <c r="Y689" s="1547" t="s">
        <v>3601</v>
      </c>
      <c r="Z689" s="1521">
        <v>2</v>
      </c>
      <c r="AA689" s="1548"/>
      <c r="AB689" s="1544">
        <v>20</v>
      </c>
      <c r="AC689" s="1544">
        <v>2</v>
      </c>
      <c r="AD689" s="1499"/>
      <c r="AE689" s="1526" t="s">
        <v>3579</v>
      </c>
      <c r="AF689" s="1539"/>
      <c r="AG689" s="1539"/>
      <c r="AH689" s="910"/>
      <c r="AI689" s="1539"/>
      <c r="AJ689" s="668"/>
      <c r="AK689" s="1506" t="s">
        <v>3602</v>
      </c>
      <c r="AL689" s="364"/>
      <c r="AM689" s="1363"/>
      <c r="AN689" s="1363"/>
    </row>
    <row r="690" spans="1:40" ht="18" customHeight="1" outlineLevel="1">
      <c r="A690" s="1500"/>
      <c r="B690" s="1500"/>
      <c r="C690" s="1500"/>
      <c r="D690" s="1500"/>
      <c r="E690" s="1500"/>
      <c r="F690" s="1500"/>
      <c r="G690" s="1363"/>
      <c r="H690" s="1500"/>
      <c r="I690" s="1500"/>
      <c r="J690" s="646"/>
      <c r="K690" s="1389"/>
      <c r="L690" s="1389"/>
      <c r="M690" s="1500"/>
      <c r="N690" s="1500"/>
      <c r="O690" s="1500"/>
      <c r="P690" s="1500"/>
      <c r="Q690" s="1363"/>
      <c r="R690" s="1363"/>
      <c r="S690" s="1363"/>
      <c r="T690" s="1363"/>
      <c r="U690" s="1363"/>
      <c r="V690" s="117"/>
      <c r="W690" s="117"/>
      <c r="X690" s="1539" t="s">
        <v>3603</v>
      </c>
      <c r="Y690" s="1547" t="s">
        <v>3604</v>
      </c>
      <c r="Z690" s="1521">
        <v>2</v>
      </c>
      <c r="AA690" s="1548"/>
      <c r="AB690" s="1544">
        <v>22</v>
      </c>
      <c r="AC690" s="1544">
        <v>2</v>
      </c>
      <c r="AD690" s="1499"/>
      <c r="AE690" s="1526" t="s">
        <v>3579</v>
      </c>
      <c r="AF690" s="1539"/>
      <c r="AG690" s="1539"/>
      <c r="AH690" s="910"/>
      <c r="AI690" s="1539"/>
      <c r="AJ690" s="668"/>
      <c r="AK690" s="1526"/>
      <c r="AL690" s="364"/>
      <c r="AM690" s="1363"/>
      <c r="AN690" s="1363"/>
    </row>
    <row r="691" spans="1:40" ht="18" customHeight="1" outlineLevel="1">
      <c r="A691" s="1500"/>
      <c r="B691" s="1500"/>
      <c r="C691" s="1500"/>
      <c r="D691" s="1500"/>
      <c r="E691" s="1500"/>
      <c r="F691" s="1363"/>
      <c r="G691" s="1363"/>
      <c r="H691" s="1500"/>
      <c r="I691" s="1500"/>
      <c r="J691" s="646"/>
      <c r="K691" s="1389"/>
      <c r="L691" s="1389"/>
      <c r="M691" s="1500"/>
      <c r="N691" s="1500"/>
      <c r="O691" s="1500"/>
      <c r="P691" s="1500"/>
      <c r="Q691" s="1363"/>
      <c r="R691" s="1363"/>
      <c r="S691" s="1363"/>
      <c r="T691" s="1363"/>
      <c r="U691" s="1363"/>
      <c r="V691" s="117"/>
      <c r="W691" s="117"/>
      <c r="X691" s="1539" t="s">
        <v>3605</v>
      </c>
      <c r="Y691" s="1547" t="s">
        <v>3606</v>
      </c>
      <c r="Z691" s="1521">
        <v>3</v>
      </c>
      <c r="AA691" s="1548"/>
      <c r="AB691" s="1544">
        <v>24</v>
      </c>
      <c r="AC691" s="1544">
        <v>2</v>
      </c>
      <c r="AD691" s="1499"/>
      <c r="AE691" s="1526" t="s">
        <v>3579</v>
      </c>
      <c r="AF691" s="1539"/>
      <c r="AG691" s="1539"/>
      <c r="AH691" s="910"/>
      <c r="AI691" s="1539"/>
      <c r="AJ691" s="668"/>
      <c r="AK691" s="1526"/>
      <c r="AL691" s="364"/>
      <c r="AM691" s="1363"/>
      <c r="AN691" s="1363"/>
    </row>
    <row r="692" spans="1:40" ht="54.75" customHeight="1" outlineLevel="1">
      <c r="A692" s="1500"/>
      <c r="B692" s="1500"/>
      <c r="C692" s="1500"/>
      <c r="D692" s="1500"/>
      <c r="E692" s="1500"/>
      <c r="F692" s="1500"/>
      <c r="G692" s="1363"/>
      <c r="H692" s="1500"/>
      <c r="I692" s="1500"/>
      <c r="J692" s="646"/>
      <c r="K692" s="1389"/>
      <c r="L692" s="1389"/>
      <c r="M692" s="1500"/>
      <c r="N692" s="1500"/>
      <c r="O692" s="1500"/>
      <c r="P692" s="1500"/>
      <c r="Q692" s="1363"/>
      <c r="R692" s="1363"/>
      <c r="S692" s="1363"/>
      <c r="T692" s="1363"/>
      <c r="U692" s="1363"/>
      <c r="V692" s="117"/>
      <c r="W692" s="117"/>
      <c r="X692" s="1539" t="s">
        <v>3607</v>
      </c>
      <c r="Y692" s="1547" t="s">
        <v>3608</v>
      </c>
      <c r="Z692" s="1521">
        <v>3</v>
      </c>
      <c r="AA692" s="1548"/>
      <c r="AB692" s="1544">
        <v>26</v>
      </c>
      <c r="AC692" s="1544">
        <v>2</v>
      </c>
      <c r="AD692" s="1499"/>
      <c r="AE692" s="3049" t="s">
        <v>3609</v>
      </c>
      <c r="AF692" s="1539"/>
      <c r="AG692" s="1539"/>
      <c r="AH692" s="910"/>
      <c r="AI692" s="1539"/>
      <c r="AJ692" s="668"/>
      <c r="AK692" s="1506" t="s">
        <v>3610</v>
      </c>
      <c r="AL692" s="364"/>
      <c r="AM692" s="1363"/>
      <c r="AN692" s="1363"/>
    </row>
    <row r="693" spans="1:40" ht="27.75" customHeight="1" outlineLevel="1">
      <c r="A693" s="1500"/>
      <c r="B693" s="1500"/>
      <c r="C693" s="1500"/>
      <c r="D693" s="1500"/>
      <c r="E693" s="1500"/>
      <c r="F693" s="1500"/>
      <c r="G693" s="1363"/>
      <c r="H693" s="1500"/>
      <c r="I693" s="1500"/>
      <c r="J693" s="646"/>
      <c r="K693" s="1389"/>
      <c r="L693" s="1389"/>
      <c r="M693" s="1500"/>
      <c r="N693" s="1500"/>
      <c r="O693" s="1500"/>
      <c r="P693" s="1500"/>
      <c r="Q693" s="1363"/>
      <c r="R693" s="1363"/>
      <c r="S693" s="1363"/>
      <c r="T693" s="1363"/>
      <c r="U693" s="1363"/>
      <c r="V693" s="117"/>
      <c r="W693" s="117"/>
      <c r="X693" s="1539" t="s">
        <v>3611</v>
      </c>
      <c r="Y693" s="1547" t="s">
        <v>3612</v>
      </c>
      <c r="Z693" s="165">
        <v>3</v>
      </c>
      <c r="AA693" s="1548"/>
      <c r="AB693" s="1544">
        <v>28</v>
      </c>
      <c r="AC693" s="1544">
        <v>2</v>
      </c>
      <c r="AD693" s="670"/>
      <c r="AE693" s="1526" t="s">
        <v>3613</v>
      </c>
      <c r="AF693" s="1539"/>
      <c r="AG693" s="1539"/>
      <c r="AH693" s="910"/>
      <c r="AI693" s="1539"/>
      <c r="AJ693" s="668"/>
      <c r="AK693" s="1526"/>
      <c r="AL693" s="364"/>
      <c r="AM693" s="1363"/>
      <c r="AN693" s="1363"/>
    </row>
    <row r="694" spans="1:40" ht="18" customHeight="1" outlineLevel="1">
      <c r="A694" s="1500"/>
      <c r="B694" s="1500"/>
      <c r="C694" s="1500"/>
      <c r="D694" s="1500"/>
      <c r="E694" s="1500"/>
      <c r="F694" s="1500"/>
      <c r="G694" s="1363"/>
      <c r="H694" s="1500"/>
      <c r="I694" s="1500"/>
      <c r="J694" s="646"/>
      <c r="K694" s="1389"/>
      <c r="L694" s="1389"/>
      <c r="M694" s="1500"/>
      <c r="N694" s="1500"/>
      <c r="O694" s="1500"/>
      <c r="P694" s="1500"/>
      <c r="Q694" s="1363"/>
      <c r="R694" s="1363"/>
      <c r="S694" s="1363"/>
      <c r="T694" s="1363"/>
      <c r="U694" s="1363"/>
      <c r="V694" s="117"/>
      <c r="W694" s="117"/>
      <c r="X694" s="1539" t="s">
        <v>3614</v>
      </c>
      <c r="Y694" s="1547" t="s">
        <v>3615</v>
      </c>
      <c r="Z694" s="1521">
        <v>3</v>
      </c>
      <c r="AA694" s="1548"/>
      <c r="AB694" s="1544">
        <v>30</v>
      </c>
      <c r="AC694" s="1544">
        <v>2</v>
      </c>
      <c r="AD694" s="1499"/>
      <c r="AE694" s="1526" t="s">
        <v>3579</v>
      </c>
      <c r="AF694" s="1539"/>
      <c r="AG694" s="1539"/>
      <c r="AH694" s="910"/>
      <c r="AI694" s="1539"/>
      <c r="AJ694" s="668"/>
      <c r="AK694" s="1154" t="s">
        <v>398</v>
      </c>
      <c r="AL694" s="364"/>
      <c r="AM694" s="1363"/>
      <c r="AN694" s="1363"/>
    </row>
    <row r="695" spans="1:40" ht="18" customHeight="1" outlineLevel="1">
      <c r="A695" s="1500"/>
      <c r="B695" s="1500"/>
      <c r="C695" s="1500"/>
      <c r="D695" s="1500"/>
      <c r="E695" s="1500"/>
      <c r="F695" s="1500"/>
      <c r="G695" s="1363"/>
      <c r="H695" s="1500"/>
      <c r="I695" s="1500"/>
      <c r="J695" s="646"/>
      <c r="K695" s="1389"/>
      <c r="L695" s="1389"/>
      <c r="M695" s="1500"/>
      <c r="N695" s="1500"/>
      <c r="O695" s="1500"/>
      <c r="P695" s="1500"/>
      <c r="Q695" s="1363"/>
      <c r="R695" s="1363"/>
      <c r="S695" s="1363"/>
      <c r="T695" s="1363"/>
      <c r="U695" s="1363"/>
      <c r="V695" s="117"/>
      <c r="W695" s="117"/>
      <c r="X695" s="1539" t="s">
        <v>3616</v>
      </c>
      <c r="Y695" s="1547" t="s">
        <v>3617</v>
      </c>
      <c r="Z695" s="1521">
        <v>4</v>
      </c>
      <c r="AA695" s="1548"/>
      <c r="AB695" s="1544">
        <v>32</v>
      </c>
      <c r="AC695" s="1544">
        <v>1</v>
      </c>
      <c r="AD695" s="1499"/>
      <c r="AE695" s="1526" t="s">
        <v>3618</v>
      </c>
      <c r="AF695" s="1539"/>
      <c r="AG695" s="1539"/>
      <c r="AH695" s="910"/>
      <c r="AI695" s="1539"/>
      <c r="AJ695" s="668"/>
      <c r="AK695" s="1526"/>
      <c r="AL695" s="364"/>
      <c r="AM695" s="1363"/>
      <c r="AN695" s="1363"/>
    </row>
    <row r="696" spans="1:40" ht="18" customHeight="1" outlineLevel="1">
      <c r="A696" s="1500"/>
      <c r="B696" s="1500"/>
      <c r="C696" s="1500"/>
      <c r="D696" s="1500"/>
      <c r="E696" s="1500"/>
      <c r="F696" s="1500"/>
      <c r="G696" s="1363"/>
      <c r="H696" s="1500"/>
      <c r="I696" s="1500"/>
      <c r="J696" s="646"/>
      <c r="K696" s="1389"/>
      <c r="L696" s="1389"/>
      <c r="M696" s="1500"/>
      <c r="N696" s="1500"/>
      <c r="O696" s="1500"/>
      <c r="P696" s="1500"/>
      <c r="Q696" s="1363"/>
      <c r="R696" s="1363"/>
      <c r="S696" s="1363"/>
      <c r="T696" s="1363"/>
      <c r="U696" s="1363"/>
      <c r="V696" s="117"/>
      <c r="W696" s="117"/>
      <c r="X696" s="1539" t="s">
        <v>3619</v>
      </c>
      <c r="Y696" s="1547" t="s">
        <v>3620</v>
      </c>
      <c r="Z696" s="1521">
        <v>4</v>
      </c>
      <c r="AA696" s="1548"/>
      <c r="AB696" s="1544">
        <v>33</v>
      </c>
      <c r="AC696" s="1544">
        <v>1</v>
      </c>
      <c r="AD696" s="1499"/>
      <c r="AE696" s="1526" t="s">
        <v>3618</v>
      </c>
      <c r="AF696" s="1539"/>
      <c r="AG696" s="1539"/>
      <c r="AH696" s="910"/>
      <c r="AI696" s="1539"/>
      <c r="AJ696" s="668"/>
      <c r="AK696" s="1526"/>
      <c r="AL696" s="364"/>
      <c r="AM696" s="1363"/>
      <c r="AN696" s="1363"/>
    </row>
    <row r="697" spans="1:40" ht="18" customHeight="1" outlineLevel="1">
      <c r="A697" s="1500"/>
      <c r="B697" s="1500"/>
      <c r="C697" s="1500"/>
      <c r="D697" s="1500"/>
      <c r="E697" s="1500"/>
      <c r="F697" s="1500"/>
      <c r="G697" s="1363"/>
      <c r="H697" s="1500"/>
      <c r="I697" s="1500"/>
      <c r="J697" s="646"/>
      <c r="K697" s="1389"/>
      <c r="L697" s="1389"/>
      <c r="M697" s="1500"/>
      <c r="N697" s="1500"/>
      <c r="O697" s="1500"/>
      <c r="P697" s="1500"/>
      <c r="Q697" s="1363"/>
      <c r="R697" s="1363"/>
      <c r="S697" s="1363"/>
      <c r="T697" s="1363"/>
      <c r="U697" s="1363"/>
      <c r="V697" s="117"/>
      <c r="W697" s="117"/>
      <c r="X697" s="1539" t="s">
        <v>3621</v>
      </c>
      <c r="Y697" s="1547" t="s">
        <v>3622</v>
      </c>
      <c r="Z697" s="1521">
        <v>4</v>
      </c>
      <c r="AA697" s="1548"/>
      <c r="AB697" s="1544">
        <v>34</v>
      </c>
      <c r="AC697" s="1544">
        <v>1</v>
      </c>
      <c r="AD697" s="1499"/>
      <c r="AE697" s="1526" t="s">
        <v>3618</v>
      </c>
      <c r="AF697" s="1539"/>
      <c r="AG697" s="1539"/>
      <c r="AH697" s="910"/>
      <c r="AI697" s="1539"/>
      <c r="AJ697" s="668"/>
      <c r="AK697" s="1526"/>
      <c r="AL697" s="364"/>
      <c r="AM697" s="1363"/>
      <c r="AN697" s="1363"/>
    </row>
    <row r="698" spans="1:40" ht="18" customHeight="1" outlineLevel="1">
      <c r="A698" s="1500"/>
      <c r="B698" s="1500"/>
      <c r="C698" s="1500"/>
      <c r="D698" s="1500"/>
      <c r="E698" s="1500"/>
      <c r="F698" s="1500"/>
      <c r="G698" s="1363"/>
      <c r="H698" s="1500"/>
      <c r="I698" s="1500"/>
      <c r="J698" s="646"/>
      <c r="K698" s="1389"/>
      <c r="L698" s="1389"/>
      <c r="M698" s="1500"/>
      <c r="N698" s="1500"/>
      <c r="O698" s="1500"/>
      <c r="P698" s="1500"/>
      <c r="Q698" s="1363"/>
      <c r="R698" s="1363"/>
      <c r="S698" s="1363"/>
      <c r="T698" s="1363"/>
      <c r="U698" s="1363"/>
      <c r="V698" s="117"/>
      <c r="W698" s="117"/>
      <c r="X698" s="1539" t="s">
        <v>3623</v>
      </c>
      <c r="Y698" s="1547" t="s">
        <v>3624</v>
      </c>
      <c r="Z698" s="1521">
        <v>4</v>
      </c>
      <c r="AA698" s="1548"/>
      <c r="AB698" s="1544">
        <v>35</v>
      </c>
      <c r="AC698" s="1544">
        <v>1</v>
      </c>
      <c r="AD698" s="1499"/>
      <c r="AE698" s="1526" t="s">
        <v>3618</v>
      </c>
      <c r="AF698" s="1539"/>
      <c r="AG698" s="1539"/>
      <c r="AH698" s="910"/>
      <c r="AI698" s="1539"/>
      <c r="AJ698" s="668"/>
      <c r="AK698" s="1526"/>
      <c r="AL698" s="364"/>
      <c r="AM698" s="1363"/>
      <c r="AN698" s="1363"/>
    </row>
    <row r="699" spans="1:40" ht="18" customHeight="1" outlineLevel="1">
      <c r="A699" s="1500"/>
      <c r="B699" s="1500"/>
      <c r="C699" s="1500"/>
      <c r="D699" s="1500"/>
      <c r="E699" s="1500"/>
      <c r="F699" s="1500"/>
      <c r="G699" s="1363"/>
      <c r="H699" s="1500"/>
      <c r="I699" s="1500"/>
      <c r="J699" s="646"/>
      <c r="K699" s="1389"/>
      <c r="L699" s="1389"/>
      <c r="M699" s="1500"/>
      <c r="N699" s="1500"/>
      <c r="O699" s="1500"/>
      <c r="P699" s="1500"/>
      <c r="Q699" s="1363"/>
      <c r="R699" s="1363"/>
      <c r="S699" s="1363"/>
      <c r="T699" s="1363"/>
      <c r="U699" s="1363"/>
      <c r="V699" s="117"/>
      <c r="W699" s="117"/>
      <c r="X699" s="1539" t="s">
        <v>3625</v>
      </c>
      <c r="Y699" s="1547" t="s">
        <v>3626</v>
      </c>
      <c r="Z699" s="1521">
        <v>4</v>
      </c>
      <c r="AA699" s="1548"/>
      <c r="AB699" s="1544">
        <v>36</v>
      </c>
      <c r="AC699" s="1544">
        <v>1</v>
      </c>
      <c r="AD699" s="1499"/>
      <c r="AE699" s="1526" t="s">
        <v>3618</v>
      </c>
      <c r="AF699" s="1539"/>
      <c r="AG699" s="1539"/>
      <c r="AH699" s="910"/>
      <c r="AI699" s="1539"/>
      <c r="AJ699" s="668"/>
      <c r="AK699" s="1526"/>
      <c r="AL699" s="364"/>
      <c r="AM699" s="1363"/>
      <c r="AN699" s="1363"/>
    </row>
    <row r="700" spans="1:40" ht="18" customHeight="1" outlineLevel="1">
      <c r="A700" s="1500"/>
      <c r="B700" s="1500"/>
      <c r="C700" s="1500"/>
      <c r="D700" s="1500"/>
      <c r="E700" s="1500"/>
      <c r="F700" s="1500"/>
      <c r="G700" s="1363"/>
      <c r="H700" s="1500"/>
      <c r="I700" s="1500"/>
      <c r="J700" s="646"/>
      <c r="K700" s="1389"/>
      <c r="L700" s="1389"/>
      <c r="M700" s="1500"/>
      <c r="N700" s="1500"/>
      <c r="O700" s="1500"/>
      <c r="P700" s="1500"/>
      <c r="Q700" s="1363"/>
      <c r="R700" s="1363"/>
      <c r="S700" s="1363"/>
      <c r="T700" s="1363"/>
      <c r="U700" s="1363"/>
      <c r="V700" s="117"/>
      <c r="W700" s="117"/>
      <c r="X700" s="693" t="s">
        <v>3627</v>
      </c>
      <c r="Y700" s="1547" t="s">
        <v>3628</v>
      </c>
      <c r="Z700" s="1521">
        <v>4</v>
      </c>
      <c r="AA700" s="1548"/>
      <c r="AB700" s="1544">
        <v>37</v>
      </c>
      <c r="AC700" s="1544">
        <v>1</v>
      </c>
      <c r="AD700" s="1499"/>
      <c r="AE700" s="1526" t="s">
        <v>3618</v>
      </c>
      <c r="AF700" s="1539"/>
      <c r="AG700" s="1539"/>
      <c r="AH700" s="910"/>
      <c r="AI700" s="1539"/>
      <c r="AJ700" s="668"/>
      <c r="AK700" s="1526"/>
      <c r="AL700" s="364"/>
      <c r="AM700" s="1363"/>
      <c r="AN700" s="1363"/>
    </row>
    <row r="701" spans="1:40" ht="18" customHeight="1" outlineLevel="1">
      <c r="A701" s="1500"/>
      <c r="B701" s="1500"/>
      <c r="C701" s="1500"/>
      <c r="D701" s="1500"/>
      <c r="E701" s="1500"/>
      <c r="F701" s="1500"/>
      <c r="G701" s="1363"/>
      <c r="H701" s="1500"/>
      <c r="I701" s="1500"/>
      <c r="J701" s="646"/>
      <c r="K701" s="1389"/>
      <c r="L701" s="1389"/>
      <c r="M701" s="1500"/>
      <c r="N701" s="1500"/>
      <c r="O701" s="1500"/>
      <c r="P701" s="1500"/>
      <c r="Q701" s="1363"/>
      <c r="R701" s="1363"/>
      <c r="S701" s="1363"/>
      <c r="T701" s="1363"/>
      <c r="U701" s="1363"/>
      <c r="V701" s="117"/>
      <c r="W701" s="117"/>
      <c r="X701" s="1539" t="s">
        <v>3629</v>
      </c>
      <c r="Y701" s="1547" t="s">
        <v>3630</v>
      </c>
      <c r="Z701" s="1521">
        <v>4</v>
      </c>
      <c r="AA701" s="1548"/>
      <c r="AB701" s="1544">
        <v>38</v>
      </c>
      <c r="AC701" s="1544">
        <v>1</v>
      </c>
      <c r="AD701" s="1499"/>
      <c r="AE701" s="1526" t="s">
        <v>3618</v>
      </c>
      <c r="AF701" s="1539"/>
      <c r="AG701" s="1539"/>
      <c r="AH701" s="910"/>
      <c r="AI701" s="1539"/>
      <c r="AJ701" s="668"/>
      <c r="AK701" s="1526"/>
      <c r="AL701" s="364"/>
      <c r="AM701" s="1363"/>
      <c r="AN701" s="1363"/>
    </row>
    <row r="702" spans="1:40" ht="18" customHeight="1" outlineLevel="1">
      <c r="A702" s="1500"/>
      <c r="B702" s="1500"/>
      <c r="C702" s="1500"/>
      <c r="D702" s="1500"/>
      <c r="E702" s="1500"/>
      <c r="F702" s="1500"/>
      <c r="G702" s="1363"/>
      <c r="H702" s="1500"/>
      <c r="I702" s="1500"/>
      <c r="J702" s="646"/>
      <c r="K702" s="1389"/>
      <c r="L702" s="1389"/>
      <c r="M702" s="1500"/>
      <c r="N702" s="1500"/>
      <c r="O702" s="1500"/>
      <c r="P702" s="1500"/>
      <c r="Q702" s="1363"/>
      <c r="R702" s="1363"/>
      <c r="S702" s="1363"/>
      <c r="T702" s="1363"/>
      <c r="U702" s="1363"/>
      <c r="V702" s="117"/>
      <c r="W702" s="117"/>
      <c r="X702" s="1539" t="s">
        <v>3631</v>
      </c>
      <c r="Y702" s="1547" t="s">
        <v>3632</v>
      </c>
      <c r="Z702" s="1521">
        <v>4</v>
      </c>
      <c r="AA702" s="1548"/>
      <c r="AB702" s="1544">
        <v>39</v>
      </c>
      <c r="AC702" s="1544">
        <v>1</v>
      </c>
      <c r="AD702" s="1499"/>
      <c r="AE702" s="1526" t="s">
        <v>3618</v>
      </c>
      <c r="AF702" s="1539"/>
      <c r="AG702" s="1539"/>
      <c r="AH702" s="910"/>
      <c r="AI702" s="1539"/>
      <c r="AJ702" s="668"/>
      <c r="AK702" s="1526"/>
      <c r="AL702" s="364"/>
      <c r="AM702" s="1363"/>
      <c r="AN702" s="1363"/>
    </row>
    <row r="703" spans="1:40" ht="18" customHeight="1" outlineLevel="1">
      <c r="A703" s="1500"/>
      <c r="B703" s="1500"/>
      <c r="C703" s="1500"/>
      <c r="D703" s="1500"/>
      <c r="E703" s="1500"/>
      <c r="F703" s="1500"/>
      <c r="G703" s="1363"/>
      <c r="H703" s="1500"/>
      <c r="I703" s="1500"/>
      <c r="J703" s="646"/>
      <c r="K703" s="1389"/>
      <c r="L703" s="1389"/>
      <c r="M703" s="1500"/>
      <c r="N703" s="1500"/>
      <c r="O703" s="1500"/>
      <c r="P703" s="1500"/>
      <c r="Q703" s="1363"/>
      <c r="R703" s="1363"/>
      <c r="S703" s="1363"/>
      <c r="T703" s="1363"/>
      <c r="U703" s="1363"/>
      <c r="V703" s="117"/>
      <c r="W703" s="117"/>
      <c r="X703" s="1539" t="s">
        <v>3633</v>
      </c>
      <c r="Y703" s="1547" t="s">
        <v>3634</v>
      </c>
      <c r="Z703" s="1521">
        <v>5</v>
      </c>
      <c r="AA703" s="1548"/>
      <c r="AB703" s="1544">
        <v>40</v>
      </c>
      <c r="AC703" s="1544">
        <v>1</v>
      </c>
      <c r="AD703" s="1499"/>
      <c r="AE703" s="1526" t="s">
        <v>3618</v>
      </c>
      <c r="AF703" s="1539"/>
      <c r="AG703" s="1539"/>
      <c r="AH703" s="910"/>
      <c r="AI703" s="1539"/>
      <c r="AJ703" s="668"/>
      <c r="AK703" s="1526"/>
      <c r="AL703" s="364"/>
      <c r="AM703" s="1363"/>
      <c r="AN703" s="1363"/>
    </row>
    <row r="704" spans="1:40" ht="18" customHeight="1" outlineLevel="1">
      <c r="A704" s="1500"/>
      <c r="B704" s="1500"/>
      <c r="C704" s="1500"/>
      <c r="D704" s="1354"/>
      <c r="E704" s="1500"/>
      <c r="F704" s="1500"/>
      <c r="G704" s="1363"/>
      <c r="H704" s="1500"/>
      <c r="I704" s="1500"/>
      <c r="J704" s="646"/>
      <c r="K704" s="1389"/>
      <c r="L704" s="1389"/>
      <c r="M704" s="1500"/>
      <c r="N704" s="1500"/>
      <c r="O704" s="1500"/>
      <c r="P704" s="1500"/>
      <c r="Q704" s="1363"/>
      <c r="R704" s="1363"/>
      <c r="S704" s="1363"/>
      <c r="T704" s="1363"/>
      <c r="U704" s="1363"/>
      <c r="V704" s="117"/>
      <c r="W704" s="117"/>
      <c r="X704" s="1539" t="s">
        <v>3635</v>
      </c>
      <c r="Y704" s="1547" t="s">
        <v>3636</v>
      </c>
      <c r="Z704" s="1521">
        <v>5</v>
      </c>
      <c r="AA704" s="1548"/>
      <c r="AB704" s="1544">
        <v>41</v>
      </c>
      <c r="AC704" s="1544">
        <v>1</v>
      </c>
      <c r="AD704" s="1499"/>
      <c r="AE704" s="1526" t="s">
        <v>3618</v>
      </c>
      <c r="AF704" s="1539"/>
      <c r="AG704" s="1539"/>
      <c r="AH704" s="910"/>
      <c r="AI704" s="1539"/>
      <c r="AJ704" s="668"/>
      <c r="AK704" s="1526"/>
      <c r="AL704" s="364"/>
      <c r="AM704" s="1363"/>
      <c r="AN704" s="1363"/>
    </row>
    <row r="705" spans="1:40" ht="30.75" customHeight="1" outlineLevel="1">
      <c r="A705" s="1500"/>
      <c r="B705" s="1500"/>
      <c r="C705" s="1500"/>
      <c r="D705" s="1500"/>
      <c r="E705" s="1500"/>
      <c r="F705" s="1500"/>
      <c r="G705" s="1363"/>
      <c r="H705" s="1500"/>
      <c r="I705" s="1500"/>
      <c r="J705" s="646"/>
      <c r="K705" s="1389"/>
      <c r="L705" s="1389"/>
      <c r="M705" s="1500"/>
      <c r="N705" s="1500"/>
      <c r="O705" s="1500"/>
      <c r="P705" s="1500"/>
      <c r="Q705" s="1363"/>
      <c r="R705" s="1363"/>
      <c r="S705" s="1363"/>
      <c r="T705" s="1363"/>
      <c r="U705" s="1363"/>
      <c r="V705" s="117"/>
      <c r="W705" s="117"/>
      <c r="X705" s="1539" t="s">
        <v>3637</v>
      </c>
      <c r="Y705" s="1547" t="s">
        <v>3638</v>
      </c>
      <c r="Z705" s="1521">
        <v>5</v>
      </c>
      <c r="AA705" s="1548"/>
      <c r="AB705" s="1544">
        <v>42</v>
      </c>
      <c r="AC705" s="1544">
        <v>1</v>
      </c>
      <c r="AD705" s="1499"/>
      <c r="AE705" s="1526" t="s">
        <v>3618</v>
      </c>
      <c r="AF705" s="1539"/>
      <c r="AG705" s="1539"/>
      <c r="AH705" s="910"/>
      <c r="AI705" s="1539"/>
      <c r="AJ705" s="668"/>
      <c r="AK705" s="1526"/>
      <c r="AL705" s="364"/>
      <c r="AM705" s="1363"/>
      <c r="AN705" s="1363"/>
    </row>
    <row r="706" spans="1:40" ht="18" customHeight="1" outlineLevel="1">
      <c r="A706" s="1500"/>
      <c r="B706" s="1500"/>
      <c r="C706" s="1500"/>
      <c r="D706" s="1500"/>
      <c r="E706" s="1500"/>
      <c r="F706" s="1500"/>
      <c r="G706" s="1363"/>
      <c r="H706" s="1500"/>
      <c r="I706" s="1500"/>
      <c r="J706" s="646"/>
      <c r="K706" s="1389"/>
      <c r="L706" s="1389"/>
      <c r="M706" s="1500"/>
      <c r="N706" s="1500"/>
      <c r="O706" s="1500"/>
      <c r="P706" s="1500"/>
      <c r="Q706" s="1363"/>
      <c r="R706" s="1363"/>
      <c r="S706" s="1363"/>
      <c r="T706" s="1363"/>
      <c r="U706" s="1363"/>
      <c r="V706" s="117"/>
      <c r="W706" s="117"/>
      <c r="X706" s="1539" t="s">
        <v>3639</v>
      </c>
      <c r="Y706" s="1547" t="s">
        <v>3640</v>
      </c>
      <c r="Z706" s="1521">
        <v>5</v>
      </c>
      <c r="AA706" s="1548"/>
      <c r="AB706" s="1544">
        <v>43</v>
      </c>
      <c r="AC706" s="1544">
        <v>1</v>
      </c>
      <c r="AD706" s="1499"/>
      <c r="AE706" s="1526" t="s">
        <v>3618</v>
      </c>
      <c r="AF706" s="1539"/>
      <c r="AG706" s="1539"/>
      <c r="AH706" s="910"/>
      <c r="AI706" s="1539"/>
      <c r="AJ706" s="668"/>
      <c r="AK706" s="1526"/>
      <c r="AL706" s="364"/>
      <c r="AM706" s="1363"/>
      <c r="AN706" s="1363"/>
    </row>
    <row r="707" spans="1:40" ht="18" customHeight="1" outlineLevel="1">
      <c r="A707" s="1500"/>
      <c r="B707" s="1500"/>
      <c r="C707" s="1500"/>
      <c r="D707" s="1500"/>
      <c r="E707" s="1500"/>
      <c r="F707" s="1500"/>
      <c r="G707" s="1363"/>
      <c r="H707" s="1500"/>
      <c r="I707" s="1500"/>
      <c r="J707" s="646"/>
      <c r="K707" s="1389"/>
      <c r="L707" s="1389"/>
      <c r="M707" s="1500"/>
      <c r="N707" s="1500"/>
      <c r="O707" s="1500"/>
      <c r="P707" s="1500"/>
      <c r="Q707" s="1363"/>
      <c r="R707" s="1363"/>
      <c r="S707" s="1363"/>
      <c r="T707" s="1363"/>
      <c r="U707" s="1363"/>
      <c r="V707" s="117"/>
      <c r="W707" s="117"/>
      <c r="X707" s="1539" t="s">
        <v>3641</v>
      </c>
      <c r="Y707" s="1547" t="s">
        <v>3642</v>
      </c>
      <c r="Z707" s="1521">
        <v>5</v>
      </c>
      <c r="AA707" s="1548"/>
      <c r="AB707" s="1544">
        <v>44</v>
      </c>
      <c r="AC707" s="1544">
        <v>1</v>
      </c>
      <c r="AD707" s="1499"/>
      <c r="AE707" s="1526" t="s">
        <v>3618</v>
      </c>
      <c r="AF707" s="1539"/>
      <c r="AG707" s="1539"/>
      <c r="AH707" s="910"/>
      <c r="AI707" s="1539"/>
      <c r="AJ707" s="668"/>
      <c r="AK707" s="1526"/>
      <c r="AL707" s="364"/>
      <c r="AM707" s="1363"/>
      <c r="AN707" s="1363"/>
    </row>
    <row r="708" spans="1:40" ht="30.75" customHeight="1" outlineLevel="1">
      <c r="A708" s="1500"/>
      <c r="B708" s="1500"/>
      <c r="C708" s="1500"/>
      <c r="D708" s="1500"/>
      <c r="E708" s="1500"/>
      <c r="F708" s="1500"/>
      <c r="G708" s="1363"/>
      <c r="H708" s="1500"/>
      <c r="I708" s="1500"/>
      <c r="J708" s="646"/>
      <c r="K708" s="1389"/>
      <c r="L708" s="1389"/>
      <c r="M708" s="1500"/>
      <c r="N708" s="1500"/>
      <c r="O708" s="1500"/>
      <c r="P708" s="1500"/>
      <c r="Q708" s="1363"/>
      <c r="R708" s="1363"/>
      <c r="S708" s="1363"/>
      <c r="T708" s="1363"/>
      <c r="U708" s="1363"/>
      <c r="V708" s="117"/>
      <c r="W708" s="117"/>
      <c r="X708" s="1539" t="s">
        <v>3643</v>
      </c>
      <c r="Y708" s="1547" t="s">
        <v>3644</v>
      </c>
      <c r="Z708" s="1521">
        <v>5</v>
      </c>
      <c r="AA708" s="1548"/>
      <c r="AB708" s="1544">
        <v>45</v>
      </c>
      <c r="AC708" s="1544">
        <v>1</v>
      </c>
      <c r="AD708" s="1499"/>
      <c r="AE708" s="1526" t="s">
        <v>3618</v>
      </c>
      <c r="AF708" s="1539"/>
      <c r="AG708" s="1539"/>
      <c r="AH708" s="910"/>
      <c r="AI708" s="1539"/>
      <c r="AJ708" s="668"/>
      <c r="AK708" s="1526"/>
      <c r="AL708" s="364"/>
      <c r="AM708" s="1363"/>
      <c r="AN708" s="1363"/>
    </row>
    <row r="709" spans="1:40" ht="27.75" customHeight="1" outlineLevel="1">
      <c r="A709" s="1500"/>
      <c r="B709" s="1500"/>
      <c r="C709" s="1500"/>
      <c r="D709" s="1500"/>
      <c r="E709" s="1500"/>
      <c r="F709" s="1500"/>
      <c r="G709" s="1363"/>
      <c r="H709" s="1500"/>
      <c r="I709" s="1500"/>
      <c r="J709" s="646"/>
      <c r="K709" s="1389"/>
      <c r="L709" s="1389"/>
      <c r="M709" s="1500"/>
      <c r="N709" s="1500"/>
      <c r="O709" s="1500"/>
      <c r="P709" s="1500"/>
      <c r="Q709" s="1363"/>
      <c r="R709" s="1363"/>
      <c r="S709" s="1363"/>
      <c r="T709" s="1363"/>
      <c r="U709" s="1363"/>
      <c r="V709" s="117"/>
      <c r="W709" s="117"/>
      <c r="X709" s="1539" t="s">
        <v>3645</v>
      </c>
      <c r="Y709" s="1547" t="s">
        <v>3646</v>
      </c>
      <c r="Z709" s="1521">
        <v>5</v>
      </c>
      <c r="AA709" s="1548"/>
      <c r="AB709" s="1544">
        <v>46</v>
      </c>
      <c r="AC709" s="1544">
        <v>1</v>
      </c>
      <c r="AD709" s="1499"/>
      <c r="AE709" s="1526" t="s">
        <v>3618</v>
      </c>
      <c r="AF709" s="1539"/>
      <c r="AG709" s="1539"/>
      <c r="AH709" s="910"/>
      <c r="AI709" s="1539"/>
      <c r="AJ709" s="668"/>
      <c r="AK709" s="1506" t="s">
        <v>3647</v>
      </c>
      <c r="AL709" s="364"/>
      <c r="AM709" s="1363"/>
      <c r="AN709" s="1363"/>
    </row>
    <row r="710" spans="1:40" ht="18" customHeight="1" outlineLevel="1">
      <c r="A710" s="1500"/>
      <c r="B710" s="1500"/>
      <c r="C710" s="1500"/>
      <c r="D710" s="1500"/>
      <c r="E710" s="1500"/>
      <c r="F710" s="1500"/>
      <c r="G710" s="1363"/>
      <c r="H710" s="1500"/>
      <c r="I710" s="1500"/>
      <c r="J710" s="646"/>
      <c r="K710" s="1389"/>
      <c r="L710" s="1389"/>
      <c r="M710" s="1500"/>
      <c r="N710" s="1500"/>
      <c r="O710" s="1500"/>
      <c r="P710" s="1500"/>
      <c r="Q710" s="1363"/>
      <c r="R710" s="1363"/>
      <c r="S710" s="1363"/>
      <c r="T710" s="1363"/>
      <c r="U710" s="1363"/>
      <c r="V710" s="117"/>
      <c r="W710" s="117"/>
      <c r="X710" s="1539" t="s">
        <v>3648</v>
      </c>
      <c r="Y710" s="1547" t="s">
        <v>3649</v>
      </c>
      <c r="Z710" s="1521">
        <v>5</v>
      </c>
      <c r="AA710" s="1548"/>
      <c r="AB710" s="1544">
        <v>47</v>
      </c>
      <c r="AC710" s="1544">
        <v>1</v>
      </c>
      <c r="AD710" s="1499"/>
      <c r="AE710" s="1526" t="s">
        <v>3618</v>
      </c>
      <c r="AF710" s="1539"/>
      <c r="AG710" s="1539"/>
      <c r="AH710" s="910"/>
      <c r="AI710" s="1539"/>
      <c r="AJ710" s="668"/>
      <c r="AK710" s="1526" t="s">
        <v>3650</v>
      </c>
      <c r="AL710" s="364"/>
      <c r="AM710" s="1363"/>
      <c r="AN710" s="1363"/>
    </row>
    <row r="711" spans="1:40" ht="18" customHeight="1" outlineLevel="1">
      <c r="A711" s="1500"/>
      <c r="B711" s="1500"/>
      <c r="C711" s="1500"/>
      <c r="D711" s="1500"/>
      <c r="E711" s="1500"/>
      <c r="F711" s="1500"/>
      <c r="G711" s="1363"/>
      <c r="H711" s="1500"/>
      <c r="I711" s="1500"/>
      <c r="J711" s="646"/>
      <c r="K711" s="1389"/>
      <c r="L711" s="1389"/>
      <c r="M711" s="1500"/>
      <c r="N711" s="1500"/>
      <c r="O711" s="1500"/>
      <c r="P711" s="1500"/>
      <c r="Q711" s="1363"/>
      <c r="R711" s="1363"/>
      <c r="S711" s="1363"/>
      <c r="T711" s="1363"/>
      <c r="U711" s="1363"/>
      <c r="V711" s="117"/>
      <c r="W711" s="117"/>
      <c r="X711" s="1533" t="s">
        <v>3651</v>
      </c>
      <c r="Y711" s="539" t="s">
        <v>3652</v>
      </c>
      <c r="Z711" s="350">
        <v>6</v>
      </c>
      <c r="AA711" s="564"/>
      <c r="AB711" s="617">
        <v>48</v>
      </c>
      <c r="AC711" s="617">
        <v>1</v>
      </c>
      <c r="AD711" s="542"/>
      <c r="AE711" s="1526" t="s">
        <v>3618</v>
      </c>
      <c r="AF711" s="1533"/>
      <c r="AG711" s="1533"/>
      <c r="AH711" s="910"/>
      <c r="AI711" s="1539"/>
      <c r="AJ711" s="668"/>
      <c r="AK711" s="1526"/>
      <c r="AL711" s="364"/>
      <c r="AM711" s="1363"/>
      <c r="AN711" s="1363"/>
    </row>
    <row r="712" spans="1:40" ht="27.75" customHeight="1" outlineLevel="1">
      <c r="A712" s="1500"/>
      <c r="B712" s="1500"/>
      <c r="C712" s="1500"/>
      <c r="D712" s="1500"/>
      <c r="E712" s="1500"/>
      <c r="F712" s="1500"/>
      <c r="G712" s="1363"/>
      <c r="H712" s="1500"/>
      <c r="I712" s="1500"/>
      <c r="J712" s="646"/>
      <c r="K712" s="1389"/>
      <c r="L712" s="1389"/>
      <c r="M712" s="1500"/>
      <c r="N712" s="1500"/>
      <c r="O712" s="1500"/>
      <c r="P712" s="1500"/>
      <c r="Q712" s="1363"/>
      <c r="R712" s="1363"/>
      <c r="S712" s="1363"/>
      <c r="T712" s="1363"/>
      <c r="U712" s="1363"/>
      <c r="V712" s="117"/>
      <c r="W712" s="117"/>
      <c r="X712" s="1539" t="s">
        <v>3653</v>
      </c>
      <c r="Y712" s="1545" t="s">
        <v>3654</v>
      </c>
      <c r="Z712" s="1541">
        <v>6</v>
      </c>
      <c r="AA712" s="1330"/>
      <c r="AB712" s="1191">
        <v>49</v>
      </c>
      <c r="AC712" s="1191">
        <v>1</v>
      </c>
      <c r="AD712" s="1330"/>
      <c r="AE712" s="1545" t="s">
        <v>3618</v>
      </c>
      <c r="AF712" s="1539"/>
      <c r="AG712" s="1539"/>
      <c r="AH712" s="694"/>
      <c r="AI712" s="1539"/>
      <c r="AJ712" s="668"/>
      <c r="AK712" s="347" t="s">
        <v>3655</v>
      </c>
      <c r="AL712" s="364"/>
      <c r="AM712" s="1363"/>
      <c r="AN712" s="1363"/>
    </row>
    <row r="713" spans="1:40" ht="54.75" customHeight="1" outlineLevel="1">
      <c r="A713" s="1500"/>
      <c r="B713" s="1500"/>
      <c r="C713" s="1500"/>
      <c r="D713" s="1500"/>
      <c r="E713" s="1500"/>
      <c r="F713" s="1500"/>
      <c r="G713" s="1363"/>
      <c r="H713" s="1500"/>
      <c r="I713" s="1500"/>
      <c r="J713" s="646"/>
      <c r="K713" s="1389"/>
      <c r="L713" s="1389"/>
      <c r="M713" s="1500"/>
      <c r="N713" s="1500"/>
      <c r="O713" s="1500"/>
      <c r="P713" s="1500"/>
      <c r="Q713" s="1363"/>
      <c r="R713" s="1363"/>
      <c r="S713" s="1363"/>
      <c r="T713" s="1363"/>
      <c r="U713" s="1363"/>
      <c r="V713" s="117"/>
      <c r="W713" s="117"/>
      <c r="X713" s="1539" t="s">
        <v>3656</v>
      </c>
      <c r="Y713" s="1547" t="s">
        <v>3657</v>
      </c>
      <c r="Z713" s="1542">
        <v>6</v>
      </c>
      <c r="AA713" s="1548"/>
      <c r="AB713" s="1544">
        <v>50</v>
      </c>
      <c r="AC713" s="1544">
        <v>2</v>
      </c>
      <c r="AD713" s="1548"/>
      <c r="AE713" s="3050" t="s">
        <v>3658</v>
      </c>
      <c r="AF713" s="1539"/>
      <c r="AG713" s="1539"/>
      <c r="AH713" s="694"/>
      <c r="AI713" s="1539"/>
      <c r="AJ713" s="668"/>
      <c r="AK713" s="1506" t="s">
        <v>3659</v>
      </c>
      <c r="AL713" s="364"/>
      <c r="AM713" s="1363"/>
      <c r="AN713" s="1363"/>
    </row>
    <row r="714" spans="1:40" ht="41.25" customHeight="1" outlineLevel="1">
      <c r="A714" s="1500"/>
      <c r="B714" s="1500"/>
      <c r="C714" s="1500"/>
      <c r="D714" s="1500"/>
      <c r="E714" s="1500"/>
      <c r="F714" s="1500"/>
      <c r="G714" s="1363"/>
      <c r="H714" s="1500"/>
      <c r="I714" s="1500"/>
      <c r="J714" s="646"/>
      <c r="K714" s="1389"/>
      <c r="L714" s="1389"/>
      <c r="M714" s="1500"/>
      <c r="N714" s="1500"/>
      <c r="O714" s="1500"/>
      <c r="P714" s="1500"/>
      <c r="Q714" s="1363"/>
      <c r="R714" s="1363"/>
      <c r="S714" s="1363"/>
      <c r="T714" s="1363"/>
      <c r="U714" s="1363"/>
      <c r="V714" s="117"/>
      <c r="W714" s="117"/>
      <c r="X714" s="1539" t="s">
        <v>3660</v>
      </c>
      <c r="Y714" s="784" t="s">
        <v>3661</v>
      </c>
      <c r="Z714" s="1542">
        <v>6</v>
      </c>
      <c r="AA714" s="1548"/>
      <c r="AB714" s="1544">
        <v>52</v>
      </c>
      <c r="AC714" s="1544">
        <v>1</v>
      </c>
      <c r="AD714" s="1548"/>
      <c r="AE714" s="1547" t="s">
        <v>3618</v>
      </c>
      <c r="AF714" s="1539"/>
      <c r="AG714" s="1539"/>
      <c r="AH714" s="694"/>
      <c r="AI714" s="1539"/>
      <c r="AJ714" s="668"/>
      <c r="AK714" s="1506" t="s">
        <v>3662</v>
      </c>
      <c r="AL714" s="364"/>
      <c r="AM714" s="1363"/>
      <c r="AN714" s="1363"/>
    </row>
    <row r="715" spans="1:40" s="364" customFormat="1" ht="18" customHeight="1" outlineLevel="1">
      <c r="A715" s="1500"/>
      <c r="B715" s="1500"/>
      <c r="C715" s="1500"/>
      <c r="D715" s="1500"/>
      <c r="E715" s="1500"/>
      <c r="F715" s="1500"/>
      <c r="G715" s="1363"/>
      <c r="H715" s="1500"/>
      <c r="I715" s="1500"/>
      <c r="J715" s="646"/>
      <c r="K715" s="1389"/>
      <c r="L715" s="1389"/>
      <c r="M715" s="1500"/>
      <c r="N715" s="1500"/>
      <c r="O715" s="1500"/>
      <c r="P715" s="1500"/>
      <c r="Q715" s="1363"/>
      <c r="R715" s="1363"/>
      <c r="S715" s="1363"/>
      <c r="T715" s="1363"/>
      <c r="U715" s="1363"/>
      <c r="V715" s="117"/>
      <c r="W715" s="117"/>
      <c r="X715" s="1194" t="s">
        <v>3663</v>
      </c>
      <c r="Y715" s="1546" t="s">
        <v>3664</v>
      </c>
      <c r="Z715" s="1542">
        <v>6</v>
      </c>
      <c r="AA715" s="1548"/>
      <c r="AB715" s="1544">
        <v>53</v>
      </c>
      <c r="AC715" s="1544">
        <v>1</v>
      </c>
      <c r="AD715" s="1548"/>
      <c r="AE715" s="1547" t="s">
        <v>3665</v>
      </c>
      <c r="AF715" s="1539"/>
      <c r="AG715" s="1539"/>
      <c r="AH715" s="694"/>
      <c r="AI715" s="1539"/>
      <c r="AJ715" s="668"/>
      <c r="AK715" s="3354" t="s">
        <v>3666</v>
      </c>
      <c r="AM715" s="1363"/>
      <c r="AN715" s="1363"/>
    </row>
    <row r="716" spans="1:40" s="364" customFormat="1" ht="15.75" customHeight="1" outlineLevel="1">
      <c r="A716" s="162"/>
      <c r="B716" s="162"/>
      <c r="C716" s="162"/>
      <c r="D716" s="162"/>
      <c r="E716" s="162"/>
      <c r="F716" s="162"/>
      <c r="H716" s="162"/>
      <c r="I716" s="162"/>
      <c r="J716" s="695"/>
      <c r="K716" s="175"/>
      <c r="L716" s="175"/>
      <c r="M716" s="162"/>
      <c r="N716" s="162"/>
      <c r="O716" s="162"/>
      <c r="P716" s="162"/>
      <c r="V716" s="163"/>
      <c r="W716" s="163"/>
      <c r="X716" s="1194" t="s">
        <v>3663</v>
      </c>
      <c r="Y716" s="1545" t="s">
        <v>3667</v>
      </c>
      <c r="Z716" s="1542">
        <v>6</v>
      </c>
      <c r="AA716" s="168"/>
      <c r="AB716" s="1544">
        <v>54</v>
      </c>
      <c r="AC716" s="1544">
        <v>1</v>
      </c>
      <c r="AD716" s="96"/>
      <c r="AE716" s="1547" t="s">
        <v>3668</v>
      </c>
      <c r="AF716" s="1177"/>
      <c r="AG716" s="1518"/>
      <c r="AH716" s="696"/>
      <c r="AI716" s="1516"/>
      <c r="AJ716" s="687"/>
      <c r="AK716" s="3355"/>
    </row>
    <row r="717" spans="1:40" s="364" customFormat="1" ht="15.75" customHeight="1" outlineLevel="1">
      <c r="A717" s="162"/>
      <c r="B717" s="162"/>
      <c r="C717" s="162"/>
      <c r="D717" s="162"/>
      <c r="E717" s="162"/>
      <c r="F717" s="162"/>
      <c r="H717" s="162"/>
      <c r="I717" s="162"/>
      <c r="J717" s="695"/>
      <c r="K717" s="175"/>
      <c r="L717" s="175"/>
      <c r="M717" s="162"/>
      <c r="N717" s="162"/>
      <c r="O717" s="162"/>
      <c r="P717" s="162"/>
      <c r="V717" s="163"/>
      <c r="W717" s="163"/>
      <c r="X717" s="1539"/>
      <c r="Y717" s="1193"/>
      <c r="Z717" s="1542"/>
      <c r="AA717" s="168"/>
      <c r="AB717" s="1544"/>
      <c r="AC717" s="1544"/>
      <c r="AD717" s="96"/>
      <c r="AE717" s="1547"/>
      <c r="AF717" s="1177"/>
      <c r="AG717" s="1518"/>
      <c r="AH717" s="696"/>
      <c r="AI717" s="1516"/>
      <c r="AJ717" s="687"/>
      <c r="AK717" s="162"/>
    </row>
    <row r="718" spans="1:40" s="1237" customFormat="1" ht="35.25" customHeight="1">
      <c r="A718" s="1233">
        <v>73</v>
      </c>
      <c r="B718" s="1233" t="s">
        <v>3669</v>
      </c>
      <c r="C718" s="1233" t="s">
        <v>3670</v>
      </c>
      <c r="D718" s="1233" t="s">
        <v>401</v>
      </c>
      <c r="E718" s="1233">
        <v>8</v>
      </c>
      <c r="F718" s="1233" t="s">
        <v>260</v>
      </c>
      <c r="G718" s="1234"/>
      <c r="H718" s="1233"/>
      <c r="I718" s="1233"/>
      <c r="J718" s="1233"/>
      <c r="K718" s="1233"/>
      <c r="L718" s="1233" t="s">
        <v>325</v>
      </c>
      <c r="M718" s="1233"/>
      <c r="N718" s="1233" t="s">
        <v>261</v>
      </c>
      <c r="O718" s="1233"/>
      <c r="P718" s="1233" t="s">
        <v>325</v>
      </c>
      <c r="Q718" s="1233"/>
      <c r="R718" s="1233"/>
      <c r="S718" s="1233"/>
      <c r="T718" s="1233"/>
      <c r="U718" s="1233"/>
      <c r="V718" s="1235"/>
      <c r="W718" s="1235"/>
      <c r="X718" s="1235" t="s">
        <v>3671</v>
      </c>
      <c r="Y718" s="1235"/>
      <c r="Z718" s="1233"/>
      <c r="AA718" s="1233"/>
      <c r="AB718" s="1238"/>
      <c r="AC718" s="1233"/>
      <c r="AD718" s="1233"/>
      <c r="AE718" s="1244"/>
      <c r="AF718" s="1233"/>
      <c r="AG718" s="1233"/>
      <c r="AH718" s="1233"/>
      <c r="AI718" s="1233"/>
      <c r="AJ718" s="1233"/>
      <c r="AK718" s="1236"/>
    </row>
    <row r="719" spans="1:40" s="364" customFormat="1" ht="30.75" customHeight="1" outlineLevel="1">
      <c r="A719" s="162"/>
      <c r="B719" s="162"/>
      <c r="C719" s="162"/>
      <c r="D719" s="162"/>
      <c r="E719" s="162"/>
      <c r="F719" s="162"/>
      <c r="H719" s="162"/>
      <c r="I719" s="162"/>
      <c r="J719" s="162"/>
      <c r="K719" s="162"/>
      <c r="L719" s="162"/>
      <c r="M719" s="162"/>
      <c r="N719" s="162"/>
      <c r="O719" s="162"/>
      <c r="P719" s="162"/>
      <c r="V719" s="163"/>
      <c r="W719" s="163"/>
      <c r="X719" s="1518" t="s">
        <v>3672</v>
      </c>
      <c r="Y719" s="484" t="s">
        <v>3673</v>
      </c>
      <c r="Z719" s="167">
        <v>0</v>
      </c>
      <c r="AA719" s="168">
        <v>0</v>
      </c>
      <c r="AB719" s="1330">
        <f t="shared" ref="AB719:AB733" si="7">Z719*8+AA719</f>
        <v>0</v>
      </c>
      <c r="AC719" s="168">
        <v>16</v>
      </c>
      <c r="AD719" s="1519"/>
      <c r="AE719" s="1519"/>
      <c r="AF719" s="1518">
        <v>100</v>
      </c>
      <c r="AG719" s="1518">
        <v>0</v>
      </c>
      <c r="AH719" s="1518"/>
      <c r="AI719" s="1518"/>
      <c r="AJ719" s="176" t="s">
        <v>3674</v>
      </c>
      <c r="AK719" s="162"/>
    </row>
    <row r="720" spans="1:40" s="364" customFormat="1" ht="45.75" customHeight="1" outlineLevel="1">
      <c r="A720" s="162"/>
      <c r="B720" s="162"/>
      <c r="C720" s="162"/>
      <c r="D720" s="162"/>
      <c r="E720" s="162"/>
      <c r="F720" s="162"/>
      <c r="H720" s="162"/>
      <c r="I720" s="162"/>
      <c r="J720" s="162"/>
      <c r="K720" s="162"/>
      <c r="L720" s="162"/>
      <c r="M720" s="162"/>
      <c r="N720" s="162"/>
      <c r="O720" s="162"/>
      <c r="P720" s="162"/>
      <c r="V720" s="163"/>
      <c r="W720" s="163"/>
      <c r="X720" s="1516" t="s">
        <v>3675</v>
      </c>
      <c r="Y720" s="688" t="s">
        <v>3676</v>
      </c>
      <c r="Z720" s="630">
        <v>2</v>
      </c>
      <c r="AA720" s="1330">
        <v>0</v>
      </c>
      <c r="AB720" s="1330">
        <f t="shared" si="7"/>
        <v>16</v>
      </c>
      <c r="AC720" s="1330">
        <v>16</v>
      </c>
      <c r="AD720" s="1517"/>
      <c r="AE720" s="1517"/>
      <c r="AF720" s="1516">
        <v>100</v>
      </c>
      <c r="AG720" s="1516">
        <v>0</v>
      </c>
      <c r="AH720" s="1516"/>
      <c r="AI720" s="1516"/>
      <c r="AJ720" s="687" t="s">
        <v>3674</v>
      </c>
      <c r="AK720" s="162"/>
    </row>
    <row r="721" spans="1:40" ht="14.25" customHeight="1" outlineLevel="1">
      <c r="A721" s="162"/>
      <c r="B721" s="162"/>
      <c r="C721" s="162"/>
      <c r="D721" s="162"/>
      <c r="E721" s="162"/>
      <c r="F721" s="162"/>
      <c r="G721" s="364"/>
      <c r="H721" s="162"/>
      <c r="I721" s="162"/>
      <c r="J721" s="162"/>
      <c r="K721" s="162"/>
      <c r="L721" s="162"/>
      <c r="M721" s="162"/>
      <c r="N721" s="162"/>
      <c r="O721" s="162"/>
      <c r="P721" s="162"/>
      <c r="Q721" s="364"/>
      <c r="R721" s="364"/>
      <c r="S721" s="364"/>
      <c r="T721" s="364"/>
      <c r="U721" s="364"/>
      <c r="V721" s="163"/>
      <c r="W721" s="163"/>
      <c r="X721" s="3051" t="s">
        <v>3677</v>
      </c>
      <c r="Y721" s="688" t="s">
        <v>3678</v>
      </c>
      <c r="Z721" s="630">
        <v>4</v>
      </c>
      <c r="AA721" s="1330">
        <v>0</v>
      </c>
      <c r="AB721" s="1330">
        <f t="shared" si="7"/>
        <v>32</v>
      </c>
      <c r="AC721" s="1330">
        <v>16</v>
      </c>
      <c r="AD721" s="696"/>
      <c r="AE721" s="1515"/>
      <c r="AF721" s="1514"/>
      <c r="AG721" s="1514"/>
      <c r="AH721" s="1514"/>
      <c r="AI721" s="1514"/>
      <c r="AJ721" s="543"/>
      <c r="AK721" s="162"/>
      <c r="AL721" s="364"/>
      <c r="AM721" s="364"/>
      <c r="AN721" s="364"/>
    </row>
    <row r="722" spans="1:40" s="1232" customFormat="1" ht="35.25" customHeight="1">
      <c r="A722" s="1233">
        <v>74</v>
      </c>
      <c r="B722" s="1233" t="s">
        <v>3679</v>
      </c>
      <c r="C722" s="1233" t="s">
        <v>3680</v>
      </c>
      <c r="D722" s="1233" t="s">
        <v>259</v>
      </c>
      <c r="E722" s="1233">
        <v>8</v>
      </c>
      <c r="F722" s="1233" t="s">
        <v>260</v>
      </c>
      <c r="G722" s="1234"/>
      <c r="H722" s="1233"/>
      <c r="I722" s="1233"/>
      <c r="J722" s="1233"/>
      <c r="K722" s="1233"/>
      <c r="L722" s="1233" t="s">
        <v>325</v>
      </c>
      <c r="M722" s="1233"/>
      <c r="N722" s="1233" t="s">
        <v>261</v>
      </c>
      <c r="O722" s="1233"/>
      <c r="P722" s="1233"/>
      <c r="Q722" s="1233"/>
      <c r="R722" s="1233"/>
      <c r="S722" s="1233"/>
      <c r="T722" s="1233"/>
      <c r="U722" s="1233"/>
      <c r="V722" s="1235"/>
      <c r="W722" s="1235"/>
      <c r="X722" s="1235" t="s">
        <v>3681</v>
      </c>
      <c r="Y722" s="1235"/>
      <c r="Z722" s="1233"/>
      <c r="AA722" s="1233"/>
      <c r="AB722" s="1238">
        <f t="shared" si="7"/>
        <v>0</v>
      </c>
      <c r="AC722" s="1233"/>
      <c r="AD722" s="1233"/>
      <c r="AE722" s="1244"/>
      <c r="AF722" s="1233"/>
      <c r="AG722" s="1233"/>
      <c r="AH722" s="1233"/>
      <c r="AI722" s="1233"/>
      <c r="AJ722" s="1233"/>
      <c r="AK722" s="1236"/>
      <c r="AL722" s="1237"/>
      <c r="AM722" s="1237"/>
      <c r="AN722" s="1237"/>
    </row>
    <row r="723" spans="1:40" ht="30.75" customHeight="1" outlineLevel="1">
      <c r="A723" s="1500"/>
      <c r="B723" s="1500"/>
      <c r="C723" s="3352"/>
      <c r="D723" s="1500"/>
      <c r="E723" s="1500"/>
      <c r="F723" s="1500"/>
      <c r="G723" s="1363"/>
      <c r="H723" s="1500"/>
      <c r="I723" s="1500"/>
      <c r="J723" s="1500"/>
      <c r="K723" s="1500"/>
      <c r="L723" s="1500"/>
      <c r="M723" s="1500"/>
      <c r="N723" s="1500"/>
      <c r="O723" s="1500"/>
      <c r="P723" s="1500"/>
      <c r="Q723" s="1363"/>
      <c r="R723" s="1363"/>
      <c r="S723" s="1363"/>
      <c r="T723" s="1363"/>
      <c r="U723" s="1363"/>
      <c r="V723" s="117"/>
      <c r="W723" s="117"/>
      <c r="X723" s="3052" t="s">
        <v>3682</v>
      </c>
      <c r="Y723" s="484" t="s">
        <v>3683</v>
      </c>
      <c r="Z723" s="454">
        <v>0</v>
      </c>
      <c r="AA723" s="1512">
        <v>0</v>
      </c>
      <c r="AB723" s="1548">
        <f t="shared" si="7"/>
        <v>0</v>
      </c>
      <c r="AC723" s="1512">
        <v>8</v>
      </c>
      <c r="AD723" s="1527" t="s">
        <v>286</v>
      </c>
      <c r="AE723" s="1527"/>
      <c r="AF723" s="1538">
        <v>1</v>
      </c>
      <c r="AG723" s="1538"/>
      <c r="AH723" s="1538"/>
      <c r="AI723" s="1538"/>
      <c r="AJ723" s="156"/>
      <c r="AK723" s="1500"/>
      <c r="AL723" s="364"/>
      <c r="AM723" s="1363"/>
      <c r="AN723" s="1363"/>
    </row>
    <row r="724" spans="1:40" ht="30.75" customHeight="1" outlineLevel="1">
      <c r="A724" s="1500"/>
      <c r="B724" s="1500"/>
      <c r="C724" s="3352"/>
      <c r="D724" s="1500"/>
      <c r="E724" s="1500"/>
      <c r="F724" s="1500"/>
      <c r="G724" s="1363"/>
      <c r="H724" s="1500"/>
      <c r="I724" s="1500"/>
      <c r="J724" s="1500"/>
      <c r="K724" s="1500"/>
      <c r="L724" s="1500"/>
      <c r="M724" s="1500"/>
      <c r="N724" s="1500"/>
      <c r="O724" s="1500"/>
      <c r="P724" s="1500"/>
      <c r="Q724" s="1363"/>
      <c r="R724" s="1363"/>
      <c r="S724" s="1363"/>
      <c r="T724" s="1363"/>
      <c r="U724" s="1363"/>
      <c r="V724" s="117"/>
      <c r="W724" s="117"/>
      <c r="X724" s="3053" t="s">
        <v>3684</v>
      </c>
      <c r="Y724" s="684" t="s">
        <v>3685</v>
      </c>
      <c r="Z724" s="670">
        <v>1</v>
      </c>
      <c r="AA724" s="1548">
        <v>0</v>
      </c>
      <c r="AB724" s="1548">
        <f t="shared" si="7"/>
        <v>8</v>
      </c>
      <c r="AC724" s="1548">
        <v>16</v>
      </c>
      <c r="AD724" s="1528" t="s">
        <v>286</v>
      </c>
      <c r="AE724" s="1528"/>
      <c r="AF724" s="1539">
        <v>1</v>
      </c>
      <c r="AG724" s="1539">
        <v>0</v>
      </c>
      <c r="AH724" s="1539"/>
      <c r="AI724" s="1539"/>
      <c r="AJ724" s="668" t="s">
        <v>3686</v>
      </c>
      <c r="AK724" s="1500"/>
      <c r="AL724" s="364"/>
      <c r="AM724" s="1363"/>
      <c r="AN724" s="1363"/>
    </row>
    <row r="725" spans="1:40" ht="45.75" customHeight="1" outlineLevel="1">
      <c r="A725" s="1500"/>
      <c r="B725" s="1500"/>
      <c r="C725" s="3352"/>
      <c r="D725" s="1500"/>
      <c r="E725" s="1500"/>
      <c r="F725" s="1500"/>
      <c r="G725" s="1363"/>
      <c r="H725" s="1500"/>
      <c r="I725" s="1500"/>
      <c r="J725" s="1500"/>
      <c r="K725" s="1500"/>
      <c r="L725" s="1500"/>
      <c r="M725" s="1500"/>
      <c r="N725" s="1500"/>
      <c r="O725" s="1500"/>
      <c r="P725" s="1500"/>
      <c r="Q725" s="1363"/>
      <c r="R725" s="1363"/>
      <c r="S725" s="1363"/>
      <c r="T725" s="1363"/>
      <c r="U725" s="1363"/>
      <c r="V725" s="117"/>
      <c r="W725" s="117"/>
      <c r="X725" s="3054" t="s">
        <v>3687</v>
      </c>
      <c r="Y725" s="684" t="s">
        <v>3688</v>
      </c>
      <c r="Z725" s="670">
        <v>3</v>
      </c>
      <c r="AA725" s="1548">
        <v>0</v>
      </c>
      <c r="AB725" s="1548">
        <f t="shared" si="7"/>
        <v>24</v>
      </c>
      <c r="AC725" s="1548">
        <v>8</v>
      </c>
      <c r="AD725" s="1528" t="s">
        <v>286</v>
      </c>
      <c r="AE725" s="1528"/>
      <c r="AF725" s="1539">
        <v>1</v>
      </c>
      <c r="AG725" s="1539"/>
      <c r="AH725" s="1539"/>
      <c r="AI725" s="1539"/>
      <c r="AJ725" s="668"/>
      <c r="AK725" s="1500"/>
      <c r="AL725" s="364"/>
      <c r="AM725" s="1363"/>
      <c r="AN725" s="1363"/>
    </row>
    <row r="726" spans="1:40" ht="45.75" customHeight="1" outlineLevel="1">
      <c r="A726" s="1500"/>
      <c r="B726" s="1500"/>
      <c r="C726" s="3352"/>
      <c r="D726" s="1500"/>
      <c r="E726" s="1500"/>
      <c r="F726" s="1500"/>
      <c r="G726" s="1363"/>
      <c r="H726" s="1500"/>
      <c r="I726" s="1500"/>
      <c r="J726" s="1500"/>
      <c r="K726" s="1500"/>
      <c r="L726" s="1500"/>
      <c r="M726" s="1500"/>
      <c r="N726" s="1500"/>
      <c r="O726" s="1500"/>
      <c r="P726" s="1500"/>
      <c r="Q726" s="1363"/>
      <c r="R726" s="1363"/>
      <c r="S726" s="1363"/>
      <c r="T726" s="1363"/>
      <c r="U726" s="1363"/>
      <c r="V726" s="117"/>
      <c r="W726" s="117"/>
      <c r="X726" s="3055" t="s">
        <v>3689</v>
      </c>
      <c r="Y726" s="684" t="s">
        <v>3690</v>
      </c>
      <c r="Z726" s="670">
        <v>4</v>
      </c>
      <c r="AA726" s="1548">
        <v>0</v>
      </c>
      <c r="AB726" s="1548">
        <f t="shared" si="7"/>
        <v>32</v>
      </c>
      <c r="AC726" s="1548">
        <v>8</v>
      </c>
      <c r="AD726" s="1528" t="s">
        <v>286</v>
      </c>
      <c r="AE726" s="1528"/>
      <c r="AF726" s="1539">
        <v>1</v>
      </c>
      <c r="AG726" s="1539">
        <v>-40</v>
      </c>
      <c r="AH726" s="1539"/>
      <c r="AI726" s="1539"/>
      <c r="AJ726" s="668" t="s">
        <v>508</v>
      </c>
      <c r="AK726" s="1500"/>
      <c r="AL726" s="364"/>
      <c r="AM726" s="1363"/>
      <c r="AN726" s="1363"/>
    </row>
    <row r="727" spans="1:40" s="1232" customFormat="1" ht="35.25" customHeight="1">
      <c r="A727" s="1233">
        <v>75</v>
      </c>
      <c r="B727" s="1233" t="s">
        <v>3669</v>
      </c>
      <c r="C727" s="1233" t="s">
        <v>3691</v>
      </c>
      <c r="D727" s="1233" t="s">
        <v>401</v>
      </c>
      <c r="E727" s="1233">
        <v>8</v>
      </c>
      <c r="F727" s="1233" t="s">
        <v>260</v>
      </c>
      <c r="G727" s="1234"/>
      <c r="H727" s="1233"/>
      <c r="I727" s="1233"/>
      <c r="J727" s="1233"/>
      <c r="K727" s="1233"/>
      <c r="L727" s="1233" t="s">
        <v>325</v>
      </c>
      <c r="M727" s="1233"/>
      <c r="N727" s="1233" t="s">
        <v>261</v>
      </c>
      <c r="O727" s="1233"/>
      <c r="P727" s="1233"/>
      <c r="Q727" s="1233"/>
      <c r="R727" s="1233"/>
      <c r="S727" s="1233"/>
      <c r="T727" s="1233"/>
      <c r="U727" s="1233"/>
      <c r="V727" s="1235"/>
      <c r="W727" s="1235"/>
      <c r="X727" s="1235" t="s">
        <v>498</v>
      </c>
      <c r="Y727" s="1235"/>
      <c r="Z727" s="1233"/>
      <c r="AA727" s="1233"/>
      <c r="AB727" s="1238">
        <f t="shared" si="7"/>
        <v>0</v>
      </c>
      <c r="AC727" s="1233"/>
      <c r="AD727" s="1233"/>
      <c r="AE727" s="1244"/>
      <c r="AF727" s="1233"/>
      <c r="AG727" s="1233"/>
      <c r="AH727" s="1233"/>
      <c r="AI727" s="1233"/>
      <c r="AJ727" s="1233"/>
      <c r="AK727" s="1236"/>
      <c r="AL727" s="1237"/>
      <c r="AM727" s="1237"/>
      <c r="AN727" s="1237"/>
    </row>
    <row r="728" spans="1:40" ht="45.75" customHeight="1" outlineLevel="1">
      <c r="A728" s="1500"/>
      <c r="B728" s="1500"/>
      <c r="C728" s="3352"/>
      <c r="D728" s="1500"/>
      <c r="E728" s="1500"/>
      <c r="F728" s="1500"/>
      <c r="G728" s="1363"/>
      <c r="H728" s="1500"/>
      <c r="I728" s="1500"/>
      <c r="J728" s="1500"/>
      <c r="K728" s="1500"/>
      <c r="L728" s="1500"/>
      <c r="M728" s="1500"/>
      <c r="N728" s="1500"/>
      <c r="O728" s="1500"/>
      <c r="P728" s="1363"/>
      <c r="Q728" s="1363"/>
      <c r="R728" s="1363"/>
      <c r="S728" s="1363"/>
      <c r="T728" s="1363"/>
      <c r="U728" s="1363"/>
      <c r="V728" s="117"/>
      <c r="W728" s="117"/>
      <c r="X728" s="3056" t="s">
        <v>499</v>
      </c>
      <c r="Y728" s="1547" t="s">
        <v>3692</v>
      </c>
      <c r="Z728" s="454">
        <v>0</v>
      </c>
      <c r="AA728" s="1512">
        <v>0</v>
      </c>
      <c r="AB728" s="1548">
        <f t="shared" si="7"/>
        <v>0</v>
      </c>
      <c r="AC728" s="1512">
        <v>1</v>
      </c>
      <c r="AD728" s="1527"/>
      <c r="AE728" s="1527" t="s">
        <v>501</v>
      </c>
      <c r="AF728" s="1538"/>
      <c r="AG728" s="1538"/>
      <c r="AH728" s="1538"/>
      <c r="AI728" s="1538"/>
      <c r="AJ728" s="156"/>
      <c r="AK728" s="1500"/>
      <c r="AL728" s="364"/>
      <c r="AM728" s="1363"/>
      <c r="AN728" s="1363"/>
    </row>
    <row r="729" spans="1:40" ht="45.75" customHeight="1" outlineLevel="1">
      <c r="A729" s="1500"/>
      <c r="B729" s="1500"/>
      <c r="C729" s="3352"/>
      <c r="D729" s="1500"/>
      <c r="E729" s="1500"/>
      <c r="F729" s="1500"/>
      <c r="G729" s="1363"/>
      <c r="H729" s="1500"/>
      <c r="I729" s="1500"/>
      <c r="J729" s="1500"/>
      <c r="K729" s="1500"/>
      <c r="L729" s="1500"/>
      <c r="M729" s="1500"/>
      <c r="N729" s="1500"/>
      <c r="O729" s="1500"/>
      <c r="P729" s="1363"/>
      <c r="Q729" s="1363"/>
      <c r="R729" s="1363"/>
      <c r="S729" s="1363"/>
      <c r="T729" s="1363"/>
      <c r="U729" s="1363"/>
      <c r="V729" s="117"/>
      <c r="W729" s="117"/>
      <c r="X729" s="3057" t="s">
        <v>502</v>
      </c>
      <c r="Y729" s="1547" t="s">
        <v>3693</v>
      </c>
      <c r="Z729" s="670">
        <v>0</v>
      </c>
      <c r="AA729" s="1548">
        <v>1</v>
      </c>
      <c r="AB729" s="1548">
        <f t="shared" si="7"/>
        <v>1</v>
      </c>
      <c r="AC729" s="1548">
        <v>1</v>
      </c>
      <c r="AD729" s="1528"/>
      <c r="AE729" s="1528" t="s">
        <v>501</v>
      </c>
      <c r="AF729" s="1539"/>
      <c r="AG729" s="1539"/>
      <c r="AH729" s="1539"/>
      <c r="AI729" s="1539"/>
      <c r="AJ729" s="668"/>
      <c r="AK729" s="1500"/>
      <c r="AL729" s="364"/>
      <c r="AM729" s="1363"/>
      <c r="AN729" s="1363"/>
    </row>
    <row r="730" spans="1:40" ht="45.75" customHeight="1" outlineLevel="1">
      <c r="A730" s="1500"/>
      <c r="B730" s="1500"/>
      <c r="C730" s="3352"/>
      <c r="D730" s="1500"/>
      <c r="E730" s="1500"/>
      <c r="F730" s="1500"/>
      <c r="G730" s="1363"/>
      <c r="H730" s="1500"/>
      <c r="I730" s="1500"/>
      <c r="J730" s="1500"/>
      <c r="K730" s="1500"/>
      <c r="L730" s="1500"/>
      <c r="M730" s="1500"/>
      <c r="N730" s="1500"/>
      <c r="O730" s="1500"/>
      <c r="P730" s="1363"/>
      <c r="Q730" s="1363"/>
      <c r="R730" s="1363"/>
      <c r="S730" s="1363"/>
      <c r="T730" s="1363"/>
      <c r="U730" s="1363"/>
      <c r="V730" s="117"/>
      <c r="W730" s="117"/>
      <c r="X730" s="3058" t="s">
        <v>504</v>
      </c>
      <c r="Y730" s="1547" t="s">
        <v>3694</v>
      </c>
      <c r="Z730" s="670">
        <v>1</v>
      </c>
      <c r="AA730" s="1548">
        <v>0</v>
      </c>
      <c r="AB730" s="1548">
        <f t="shared" si="7"/>
        <v>8</v>
      </c>
      <c r="AC730" s="1548">
        <v>8</v>
      </c>
      <c r="AD730" s="1528"/>
      <c r="AE730" s="1528"/>
      <c r="AF730" s="1539">
        <v>1</v>
      </c>
      <c r="AG730" s="1539">
        <v>-40</v>
      </c>
      <c r="AH730" s="1539"/>
      <c r="AI730" s="1539"/>
      <c r="AJ730" s="668" t="s">
        <v>508</v>
      </c>
      <c r="AK730" s="1500"/>
      <c r="AL730" s="364"/>
      <c r="AM730" s="1363"/>
      <c r="AN730" s="1363"/>
    </row>
    <row r="731" spans="1:40" ht="45.75" customHeight="1" outlineLevel="1">
      <c r="A731" s="1500"/>
      <c r="B731" s="1500"/>
      <c r="C731" s="3352"/>
      <c r="D731" s="1500"/>
      <c r="E731" s="1500"/>
      <c r="F731" s="1500"/>
      <c r="G731" s="1363"/>
      <c r="H731" s="1500"/>
      <c r="I731" s="1500"/>
      <c r="J731" s="1500"/>
      <c r="K731" s="1500"/>
      <c r="L731" s="1500"/>
      <c r="M731" s="1500"/>
      <c r="N731" s="1500"/>
      <c r="O731" s="1500"/>
      <c r="P731" s="1363"/>
      <c r="Q731" s="1363"/>
      <c r="R731" s="1363"/>
      <c r="S731" s="1363"/>
      <c r="T731" s="1363"/>
      <c r="U731" s="1363"/>
      <c r="V731" s="117"/>
      <c r="W731" s="117"/>
      <c r="X731" s="3059" t="s">
        <v>509</v>
      </c>
      <c r="Y731" s="1547" t="s">
        <v>3695</v>
      </c>
      <c r="Z731" s="670">
        <v>2</v>
      </c>
      <c r="AA731" s="1548">
        <v>0</v>
      </c>
      <c r="AB731" s="1548">
        <f t="shared" si="7"/>
        <v>16</v>
      </c>
      <c r="AC731" s="1548">
        <v>8</v>
      </c>
      <c r="AD731" s="1528"/>
      <c r="AE731" s="1528"/>
      <c r="AF731" s="1539">
        <v>1</v>
      </c>
      <c r="AG731" s="1539">
        <v>-40</v>
      </c>
      <c r="AH731" s="1539"/>
      <c r="AI731" s="1539"/>
      <c r="AJ731" s="668" t="s">
        <v>508</v>
      </c>
      <c r="AK731" s="1500"/>
      <c r="AL731" s="364"/>
      <c r="AM731" s="1363"/>
      <c r="AN731" s="1363"/>
    </row>
    <row r="732" spans="1:40" ht="45.75" customHeight="1" outlineLevel="1">
      <c r="A732" s="1500"/>
      <c r="B732" s="1500"/>
      <c r="C732" s="3352"/>
      <c r="D732" s="1500"/>
      <c r="E732" s="1500"/>
      <c r="F732" s="1500"/>
      <c r="G732" s="1363"/>
      <c r="H732" s="1500"/>
      <c r="I732" s="1500"/>
      <c r="J732" s="1500"/>
      <c r="K732" s="1500"/>
      <c r="L732" s="1500"/>
      <c r="M732" s="1500"/>
      <c r="N732" s="1500"/>
      <c r="O732" s="1500"/>
      <c r="P732" s="1363"/>
      <c r="Q732" s="1363"/>
      <c r="R732" s="1363"/>
      <c r="S732" s="1363"/>
      <c r="T732" s="1363"/>
      <c r="U732" s="1363"/>
      <c r="V732" s="117"/>
      <c r="W732" s="117"/>
      <c r="X732" s="3060" t="s">
        <v>511</v>
      </c>
      <c r="Y732" s="1547" t="s">
        <v>3696</v>
      </c>
      <c r="Z732" s="670">
        <v>3</v>
      </c>
      <c r="AA732" s="1548">
        <v>0</v>
      </c>
      <c r="AB732" s="1548">
        <f t="shared" si="7"/>
        <v>24</v>
      </c>
      <c r="AC732" s="1548">
        <v>8</v>
      </c>
      <c r="AD732" s="1528"/>
      <c r="AE732" s="1528"/>
      <c r="AF732" s="1539">
        <v>1</v>
      </c>
      <c r="AG732" s="1539">
        <v>0</v>
      </c>
      <c r="AH732" s="1539"/>
      <c r="AI732" s="1539"/>
      <c r="AJ732" s="668" t="s">
        <v>514</v>
      </c>
      <c r="AK732" s="1500"/>
      <c r="AL732" s="364"/>
      <c r="AM732" s="1363"/>
      <c r="AN732" s="1363"/>
    </row>
    <row r="733" spans="1:40" ht="45.75" customHeight="1" outlineLevel="1">
      <c r="A733" s="1500"/>
      <c r="B733" s="1500"/>
      <c r="C733" s="3352"/>
      <c r="D733" s="1500"/>
      <c r="E733" s="1500"/>
      <c r="F733" s="1500"/>
      <c r="G733" s="1363"/>
      <c r="H733" s="1500"/>
      <c r="I733" s="1500"/>
      <c r="J733" s="1500"/>
      <c r="K733" s="1500"/>
      <c r="L733" s="1500"/>
      <c r="M733" s="1500"/>
      <c r="N733" s="1500"/>
      <c r="O733" s="1500"/>
      <c r="P733" s="1363"/>
      <c r="Q733" s="1363"/>
      <c r="R733" s="1363"/>
      <c r="S733" s="1363"/>
      <c r="T733" s="1363"/>
      <c r="U733" s="1363"/>
      <c r="V733" s="117"/>
      <c r="W733" s="117"/>
      <c r="X733" s="3061" t="s">
        <v>3697</v>
      </c>
      <c r="Y733" s="1547" t="s">
        <v>3698</v>
      </c>
      <c r="Z733" s="670">
        <v>4</v>
      </c>
      <c r="AA733" s="1548">
        <v>0</v>
      </c>
      <c r="AB733" s="1548">
        <f t="shared" si="7"/>
        <v>32</v>
      </c>
      <c r="AC733" s="1548">
        <v>8</v>
      </c>
      <c r="AD733" s="1528"/>
      <c r="AE733" s="1528"/>
      <c r="AF733" s="1539">
        <v>0.01</v>
      </c>
      <c r="AG733" s="1539">
        <v>0</v>
      </c>
      <c r="AH733" s="1539"/>
      <c r="AI733" s="1539"/>
      <c r="AJ733" s="668" t="s">
        <v>3699</v>
      </c>
      <c r="AK733" s="1500"/>
      <c r="AL733" s="364"/>
      <c r="AM733" s="1363"/>
      <c r="AN733" s="1363"/>
    </row>
    <row r="734" spans="1:40" ht="27.75" customHeight="1" outlineLevel="1">
      <c r="A734" s="1500"/>
      <c r="B734" s="1500"/>
      <c r="C734" s="3352"/>
      <c r="D734" s="1500"/>
      <c r="E734" s="1500"/>
      <c r="F734" s="1500"/>
      <c r="G734" s="1363"/>
      <c r="H734" s="1500"/>
      <c r="I734" s="1500"/>
      <c r="J734" s="1500"/>
      <c r="K734" s="1500"/>
      <c r="L734" s="1500"/>
      <c r="M734" s="1500"/>
      <c r="N734" s="1500"/>
      <c r="O734" s="1500"/>
      <c r="P734" s="1363"/>
      <c r="Q734" s="1363"/>
      <c r="R734" s="1363"/>
      <c r="S734" s="1363"/>
      <c r="T734" s="1363"/>
      <c r="U734" s="1363"/>
      <c r="V734" s="117"/>
      <c r="W734" s="117"/>
      <c r="X734" s="1542" t="s">
        <v>517</v>
      </c>
      <c r="Y734" s="1528" t="s">
        <v>3700</v>
      </c>
      <c r="Z734" s="1542">
        <v>5</v>
      </c>
      <c r="AA734" s="1542">
        <v>0</v>
      </c>
      <c r="AB734" s="1542">
        <v>40</v>
      </c>
      <c r="AC734" s="1528">
        <v>8</v>
      </c>
      <c r="AD734" s="1528"/>
      <c r="AE734" s="1528"/>
      <c r="AF734" s="1528">
        <v>1</v>
      </c>
      <c r="AG734" s="1528">
        <v>-40</v>
      </c>
      <c r="AH734" s="1528"/>
      <c r="AI734" s="1528"/>
      <c r="AJ734" s="1528" t="s">
        <v>508</v>
      </c>
      <c r="AK734" s="1101" t="s">
        <v>3219</v>
      </c>
      <c r="AL734" s="364"/>
      <c r="AM734" s="1363"/>
      <c r="AN734" s="1363"/>
    </row>
    <row r="735" spans="1:40" ht="14.25" customHeight="1" outlineLevel="1">
      <c r="A735" s="1500"/>
      <c r="B735" s="1500"/>
      <c r="C735" s="3352"/>
      <c r="D735" s="1500"/>
      <c r="E735" s="1500"/>
      <c r="F735" s="1500"/>
      <c r="G735" s="1363"/>
      <c r="H735" s="1500"/>
      <c r="I735" s="1500"/>
      <c r="J735" s="1500"/>
      <c r="K735" s="1500"/>
      <c r="L735" s="1500"/>
      <c r="M735" s="1500"/>
      <c r="N735" s="1500"/>
      <c r="O735" s="1500"/>
      <c r="P735" s="1363"/>
      <c r="Q735" s="1363"/>
      <c r="R735" s="1363"/>
      <c r="S735" s="1363"/>
      <c r="T735" s="1363"/>
      <c r="U735" s="1363"/>
      <c r="V735" s="117"/>
      <c r="W735" s="117"/>
      <c r="X735" s="1542" t="s">
        <v>519</v>
      </c>
      <c r="Y735" s="1528" t="s">
        <v>3701</v>
      </c>
      <c r="Z735" s="1542">
        <v>6</v>
      </c>
      <c r="AA735" s="1542">
        <v>0</v>
      </c>
      <c r="AB735" s="1542">
        <v>48</v>
      </c>
      <c r="AC735" s="1528">
        <v>8</v>
      </c>
      <c r="AD735" s="1528"/>
      <c r="AE735" s="1528"/>
      <c r="AF735" s="1528">
        <v>1</v>
      </c>
      <c r="AG735" s="1528">
        <v>-40</v>
      </c>
      <c r="AH735" s="1528"/>
      <c r="AI735" s="1528"/>
      <c r="AJ735" s="1528" t="s">
        <v>508</v>
      </c>
      <c r="AK735" s="1101" t="s">
        <v>3702</v>
      </c>
      <c r="AL735" s="364"/>
      <c r="AM735" s="1363"/>
      <c r="AN735" s="1363"/>
    </row>
    <row r="736" spans="1:40" s="1232" customFormat="1" ht="35.25" customHeight="1">
      <c r="A736" s="1233">
        <v>76</v>
      </c>
      <c r="B736" s="1233" t="s">
        <v>3669</v>
      </c>
      <c r="C736" s="1233" t="s">
        <v>3703</v>
      </c>
      <c r="D736" s="1233" t="s">
        <v>922</v>
      </c>
      <c r="E736" s="1233">
        <v>8</v>
      </c>
      <c r="F736" s="1233" t="s">
        <v>260</v>
      </c>
      <c r="G736" s="1234"/>
      <c r="H736" s="1233"/>
      <c r="I736" s="1233"/>
      <c r="J736" s="1233"/>
      <c r="K736" s="1233"/>
      <c r="L736" s="1233" t="s">
        <v>325</v>
      </c>
      <c r="M736" s="1233"/>
      <c r="N736" s="1233" t="s">
        <v>261</v>
      </c>
      <c r="O736" s="1233"/>
      <c r="P736" s="1233" t="s">
        <v>325</v>
      </c>
      <c r="Q736" s="1233" t="s">
        <v>325</v>
      </c>
      <c r="R736" s="1233"/>
      <c r="S736" s="1233"/>
      <c r="T736" s="1233"/>
      <c r="U736" s="1233"/>
      <c r="V736" s="1235"/>
      <c r="W736" s="1235"/>
      <c r="X736" s="1235" t="s">
        <v>3704</v>
      </c>
      <c r="Y736" s="1235"/>
      <c r="Z736" s="1233"/>
      <c r="AA736" s="1233"/>
      <c r="AB736" s="1238">
        <f t="shared" ref="AB736:AB758" si="8">Z736*8+AA736</f>
        <v>0</v>
      </c>
      <c r="AC736" s="1233"/>
      <c r="AD736" s="1233"/>
      <c r="AE736" s="1244"/>
      <c r="AF736" s="1233"/>
      <c r="AG736" s="1233"/>
      <c r="AH736" s="1233"/>
      <c r="AI736" s="1233"/>
      <c r="AJ736" s="1233"/>
      <c r="AK736" s="1236"/>
      <c r="AL736" s="1237" t="s">
        <v>3705</v>
      </c>
      <c r="AM736" s="1237"/>
      <c r="AN736" s="1237"/>
    </row>
    <row r="737" spans="1:40" ht="30.75" customHeight="1" outlineLevel="1">
      <c r="A737" s="1500"/>
      <c r="B737" s="1500"/>
      <c r="C737" s="3352"/>
      <c r="D737" s="1500"/>
      <c r="E737" s="1500"/>
      <c r="F737" s="1500"/>
      <c r="G737" s="1363"/>
      <c r="H737" s="1500"/>
      <c r="I737" s="1500"/>
      <c r="J737" s="1500"/>
      <c r="K737" s="1500"/>
      <c r="L737" s="1500"/>
      <c r="M737" s="1500"/>
      <c r="N737" s="1500"/>
      <c r="O737" s="1500"/>
      <c r="P737" s="1500"/>
      <c r="Q737" s="1500"/>
      <c r="R737" s="1500"/>
      <c r="S737" s="1500"/>
      <c r="T737" s="1363"/>
      <c r="U737" s="1363"/>
      <c r="V737" s="117"/>
      <c r="W737" s="117"/>
      <c r="X737" s="3062" t="s">
        <v>3706</v>
      </c>
      <c r="Y737" s="484" t="s">
        <v>3707</v>
      </c>
      <c r="Z737" s="454">
        <v>0</v>
      </c>
      <c r="AA737" s="1512">
        <v>0</v>
      </c>
      <c r="AB737" s="1548">
        <f t="shared" si="8"/>
        <v>0</v>
      </c>
      <c r="AC737" s="1512">
        <v>2</v>
      </c>
      <c r="AD737" s="1527"/>
      <c r="AE737" s="1527" t="s">
        <v>3708</v>
      </c>
      <c r="AF737" s="1538"/>
      <c r="AG737" s="1538"/>
      <c r="AH737" s="1538"/>
      <c r="AI737" s="1538"/>
      <c r="AJ737" s="156"/>
      <c r="AK737" s="1500"/>
      <c r="AL737" s="364"/>
      <c r="AM737" s="1363"/>
      <c r="AN737" s="1363"/>
    </row>
    <row r="738" spans="1:40" ht="45.75" customHeight="1" outlineLevel="1">
      <c r="A738" s="1500"/>
      <c r="B738" s="1500"/>
      <c r="C738" s="3352"/>
      <c r="D738" s="1500"/>
      <c r="E738" s="1500"/>
      <c r="F738" s="1500"/>
      <c r="G738" s="1363"/>
      <c r="H738" s="1500"/>
      <c r="I738" s="1500"/>
      <c r="J738" s="1500"/>
      <c r="K738" s="1500"/>
      <c r="L738" s="1500"/>
      <c r="M738" s="1500"/>
      <c r="N738" s="1500"/>
      <c r="O738" s="1500"/>
      <c r="P738" s="1500"/>
      <c r="Q738" s="1500"/>
      <c r="R738" s="1500"/>
      <c r="S738" s="1500"/>
      <c r="T738" s="1363"/>
      <c r="U738" s="1363"/>
      <c r="V738" s="117"/>
      <c r="W738" s="117"/>
      <c r="X738" s="3063" t="s">
        <v>3709</v>
      </c>
      <c r="Y738" s="684" t="s">
        <v>3710</v>
      </c>
      <c r="Z738" s="670">
        <v>1</v>
      </c>
      <c r="AA738" s="1548">
        <v>0</v>
      </c>
      <c r="AB738" s="1548">
        <f t="shared" si="8"/>
        <v>8</v>
      </c>
      <c r="AC738" s="1548">
        <v>8</v>
      </c>
      <c r="AD738" s="1528"/>
      <c r="AE738" s="1548"/>
      <c r="AF738" s="1539">
        <v>1</v>
      </c>
      <c r="AG738" s="1539">
        <v>-40</v>
      </c>
      <c r="AH738" s="1539"/>
      <c r="AI738" s="1539"/>
      <c r="AJ738" s="668" t="s">
        <v>508</v>
      </c>
      <c r="AK738" s="1500"/>
      <c r="AL738" s="364"/>
      <c r="AM738" s="1363"/>
      <c r="AN738" s="1363"/>
    </row>
    <row r="739" spans="1:40" ht="45.75" customHeight="1" outlineLevel="1">
      <c r="A739" s="1500"/>
      <c r="B739" s="1500"/>
      <c r="C739" s="3352"/>
      <c r="D739" s="1500"/>
      <c r="E739" s="1500"/>
      <c r="F739" s="1500"/>
      <c r="G739" s="1363"/>
      <c r="H739" s="1500"/>
      <c r="I739" s="1500"/>
      <c r="J739" s="1500"/>
      <c r="K739" s="1500"/>
      <c r="L739" s="1500"/>
      <c r="M739" s="1500"/>
      <c r="N739" s="1500"/>
      <c r="O739" s="1500"/>
      <c r="P739" s="1500"/>
      <c r="Q739" s="1500"/>
      <c r="R739" s="1500"/>
      <c r="S739" s="1500"/>
      <c r="T739" s="1363"/>
      <c r="U739" s="1363"/>
      <c r="V739" s="117"/>
      <c r="W739" s="117"/>
      <c r="X739" s="3064" t="s">
        <v>3711</v>
      </c>
      <c r="Y739" s="684" t="s">
        <v>3712</v>
      </c>
      <c r="Z739" s="670">
        <v>2</v>
      </c>
      <c r="AA739" s="1548">
        <v>0</v>
      </c>
      <c r="AB739" s="1548">
        <f t="shared" si="8"/>
        <v>16</v>
      </c>
      <c r="AC739" s="1548">
        <v>8</v>
      </c>
      <c r="AD739" s="1528"/>
      <c r="AE739" s="1548"/>
      <c r="AF739" s="1539">
        <v>1</v>
      </c>
      <c r="AG739" s="1539">
        <v>-40</v>
      </c>
      <c r="AH739" s="1539"/>
      <c r="AI739" s="1539"/>
      <c r="AJ739" s="668" t="s">
        <v>508</v>
      </c>
      <c r="AK739" s="1500"/>
      <c r="AL739" s="364"/>
      <c r="AM739" s="1363"/>
      <c r="AN739" s="1363"/>
    </row>
    <row r="740" spans="1:40" ht="45.75" customHeight="1" outlineLevel="1">
      <c r="A740" s="1500"/>
      <c r="B740" s="1500"/>
      <c r="C740" s="3352"/>
      <c r="D740" s="1500"/>
      <c r="E740" s="1500"/>
      <c r="F740" s="1500"/>
      <c r="G740" s="1363"/>
      <c r="H740" s="1500"/>
      <c r="I740" s="1500"/>
      <c r="J740" s="1500"/>
      <c r="K740" s="1500"/>
      <c r="L740" s="1500"/>
      <c r="M740" s="1500"/>
      <c r="N740" s="1500"/>
      <c r="O740" s="1500"/>
      <c r="P740" s="1500"/>
      <c r="Q740" s="1500"/>
      <c r="R740" s="1500"/>
      <c r="S740" s="1500"/>
      <c r="T740" s="1363"/>
      <c r="U740" s="1363"/>
      <c r="V740" s="117"/>
      <c r="W740" s="117"/>
      <c r="X740" s="3065" t="s">
        <v>3713</v>
      </c>
      <c r="Y740" s="684" t="s">
        <v>3714</v>
      </c>
      <c r="Z740" s="670">
        <v>3</v>
      </c>
      <c r="AA740" s="1548">
        <v>0</v>
      </c>
      <c r="AB740" s="1548">
        <f t="shared" si="8"/>
        <v>24</v>
      </c>
      <c r="AC740" s="1548">
        <v>8</v>
      </c>
      <c r="AD740" s="1528"/>
      <c r="AE740" s="1528" t="s">
        <v>3715</v>
      </c>
      <c r="AF740" s="1539">
        <v>1</v>
      </c>
      <c r="AG740" s="1539">
        <v>0</v>
      </c>
      <c r="AH740" s="1539"/>
      <c r="AI740" s="1539"/>
      <c r="AJ740" s="668" t="s">
        <v>409</v>
      </c>
      <c r="AK740" s="1500"/>
      <c r="AL740" s="364"/>
      <c r="AM740" s="1363"/>
      <c r="AN740" s="1363"/>
    </row>
    <row r="741" spans="1:40" ht="45.75" customHeight="1" outlineLevel="1">
      <c r="A741" s="1500"/>
      <c r="B741" s="1500"/>
      <c r="C741" s="3352"/>
      <c r="D741" s="1500"/>
      <c r="E741" s="1500"/>
      <c r="F741" s="1500"/>
      <c r="G741" s="1363"/>
      <c r="H741" s="1500"/>
      <c r="I741" s="1500"/>
      <c r="J741" s="1500"/>
      <c r="K741" s="1500"/>
      <c r="L741" s="1500"/>
      <c r="M741" s="1500"/>
      <c r="N741" s="1500"/>
      <c r="O741" s="1500"/>
      <c r="P741" s="1500"/>
      <c r="Q741" s="1500"/>
      <c r="R741" s="1500"/>
      <c r="S741" s="1500"/>
      <c r="T741" s="1363"/>
      <c r="U741" s="1363"/>
      <c r="V741" s="117"/>
      <c r="W741" s="117"/>
      <c r="X741" s="3066" t="s">
        <v>3716</v>
      </c>
      <c r="Y741" s="684" t="s">
        <v>3717</v>
      </c>
      <c r="Z741" s="670">
        <v>4</v>
      </c>
      <c r="AA741" s="1548">
        <v>0</v>
      </c>
      <c r="AB741" s="1548">
        <f t="shared" si="8"/>
        <v>32</v>
      </c>
      <c r="AC741" s="1548">
        <v>8</v>
      </c>
      <c r="AD741" s="1528"/>
      <c r="AE741" s="1528" t="s">
        <v>3715</v>
      </c>
      <c r="AF741" s="1539">
        <v>1</v>
      </c>
      <c r="AG741" s="1539">
        <v>0</v>
      </c>
      <c r="AH741" s="1539"/>
      <c r="AI741" s="1539"/>
      <c r="AJ741" s="668" t="s">
        <v>3718</v>
      </c>
      <c r="AK741" s="1500"/>
      <c r="AL741" s="364"/>
      <c r="AM741" s="1363"/>
      <c r="AN741" s="1363"/>
    </row>
    <row r="742" spans="1:40" ht="30.75" customHeight="1" outlineLevel="1">
      <c r="A742" s="1500"/>
      <c r="B742" s="1500"/>
      <c r="C742" s="3352"/>
      <c r="D742" s="1500"/>
      <c r="E742" s="1500"/>
      <c r="F742" s="1500"/>
      <c r="G742" s="1363"/>
      <c r="H742" s="1500"/>
      <c r="I742" s="1500"/>
      <c r="J742" s="1500"/>
      <c r="K742" s="1500"/>
      <c r="L742" s="1500"/>
      <c r="M742" s="1500"/>
      <c r="N742" s="1500"/>
      <c r="O742" s="1500"/>
      <c r="P742" s="1500"/>
      <c r="Q742" s="1500"/>
      <c r="R742" s="1500"/>
      <c r="S742" s="1500"/>
      <c r="T742" s="1363"/>
      <c r="U742" s="1363"/>
      <c r="V742" s="130"/>
      <c r="W742" s="130"/>
      <c r="X742" s="3067" t="s">
        <v>3719</v>
      </c>
      <c r="Y742" s="651" t="s">
        <v>3720</v>
      </c>
      <c r="Z742" s="697">
        <v>5</v>
      </c>
      <c r="AA742" s="877">
        <v>0</v>
      </c>
      <c r="AB742" s="1548">
        <f t="shared" si="8"/>
        <v>40</v>
      </c>
      <c r="AC742" s="877">
        <v>8</v>
      </c>
      <c r="AD742" s="1531"/>
      <c r="AE742" s="1531" t="s">
        <v>3715</v>
      </c>
      <c r="AF742" s="1534">
        <v>1</v>
      </c>
      <c r="AG742" s="1534">
        <v>0</v>
      </c>
      <c r="AH742" s="1534"/>
      <c r="AI742" s="1534"/>
      <c r="AJ742" s="699" t="s">
        <v>409</v>
      </c>
      <c r="AK742" s="616"/>
      <c r="AL742" s="364" t="s">
        <v>3705</v>
      </c>
      <c r="AM742" s="1363"/>
      <c r="AN742" s="1363"/>
    </row>
    <row r="743" spans="1:40" ht="14.25" customHeight="1" outlineLevel="1">
      <c r="A743" s="1500"/>
      <c r="B743" s="1500"/>
      <c r="C743" s="3352"/>
      <c r="D743" s="1500"/>
      <c r="E743" s="1500"/>
      <c r="F743" s="1500"/>
      <c r="G743" s="1363"/>
      <c r="H743" s="1500"/>
      <c r="I743" s="1500"/>
      <c r="J743" s="1500"/>
      <c r="K743" s="1500"/>
      <c r="L743" s="1500"/>
      <c r="M743" s="1500"/>
      <c r="N743" s="1500"/>
      <c r="O743" s="1500"/>
      <c r="P743" s="1500"/>
      <c r="Q743" s="1500"/>
      <c r="R743" s="1500"/>
      <c r="S743" s="1500"/>
      <c r="T743" s="1363"/>
      <c r="U743" s="1363"/>
      <c r="V743" s="130"/>
      <c r="W743" s="130"/>
      <c r="X743" s="3068" t="s">
        <v>3721</v>
      </c>
      <c r="Y743" s="651" t="s">
        <v>3722</v>
      </c>
      <c r="Z743" s="697">
        <v>6</v>
      </c>
      <c r="AA743" s="877">
        <v>0</v>
      </c>
      <c r="AB743" s="1548">
        <f t="shared" si="8"/>
        <v>48</v>
      </c>
      <c r="AC743" s="877">
        <v>8</v>
      </c>
      <c r="AD743" s="1531"/>
      <c r="AE743" s="1531" t="s">
        <v>3715</v>
      </c>
      <c r="AF743" s="1534">
        <v>1</v>
      </c>
      <c r="AG743" s="1534">
        <v>0</v>
      </c>
      <c r="AH743" s="1534"/>
      <c r="AI743" s="1534"/>
      <c r="AJ743" s="699" t="s">
        <v>3718</v>
      </c>
      <c r="AK743" s="616"/>
      <c r="AL743" s="364" t="s">
        <v>3705</v>
      </c>
      <c r="AM743" s="1363"/>
      <c r="AN743" s="1363"/>
    </row>
    <row r="744" spans="1:40" s="1232" customFormat="1" ht="35.25" customHeight="1">
      <c r="A744" s="1233">
        <v>77</v>
      </c>
      <c r="B744" s="1233" t="s">
        <v>3669</v>
      </c>
      <c r="C744" s="1233" t="s">
        <v>3723</v>
      </c>
      <c r="D744" s="1233" t="s">
        <v>922</v>
      </c>
      <c r="E744" s="1233">
        <v>8</v>
      </c>
      <c r="F744" s="1233" t="s">
        <v>260</v>
      </c>
      <c r="G744" s="1234"/>
      <c r="H744" s="1233"/>
      <c r="I744" s="1233"/>
      <c r="J744" s="1233"/>
      <c r="K744" s="1233"/>
      <c r="L744" s="1233" t="s">
        <v>325</v>
      </c>
      <c r="M744" s="1233"/>
      <c r="N744" s="1233" t="s">
        <v>261</v>
      </c>
      <c r="O744" s="1233"/>
      <c r="P744" s="1233"/>
      <c r="Q744" s="1233" t="s">
        <v>325</v>
      </c>
      <c r="R744" s="1233"/>
      <c r="S744" s="1233"/>
      <c r="T744" s="1233"/>
      <c r="U744" s="1233"/>
      <c r="V744" s="1235"/>
      <c r="W744" s="1235"/>
      <c r="X744" s="1235" t="s">
        <v>3724</v>
      </c>
      <c r="Y744" s="1235"/>
      <c r="Z744" s="1233"/>
      <c r="AA744" s="1233"/>
      <c r="AB744" s="1238">
        <f t="shared" si="8"/>
        <v>0</v>
      </c>
      <c r="AC744" s="1233"/>
      <c r="AD744" s="1233"/>
      <c r="AE744" s="1244"/>
      <c r="AF744" s="1233"/>
      <c r="AG744" s="1233"/>
      <c r="AH744" s="1233"/>
      <c r="AI744" s="1233"/>
      <c r="AJ744" s="1233"/>
      <c r="AK744" s="1236"/>
      <c r="AL744" s="1237"/>
      <c r="AM744" s="1237"/>
      <c r="AN744" s="1237"/>
    </row>
    <row r="745" spans="1:40" ht="30.75" customHeight="1" outlineLevel="1">
      <c r="A745" s="1500"/>
      <c r="B745" s="1500"/>
      <c r="C745" s="1500"/>
      <c r="D745" s="1500"/>
      <c r="E745" s="1500"/>
      <c r="F745" s="1500"/>
      <c r="G745" s="1363"/>
      <c r="H745" s="1500"/>
      <c r="I745" s="1500"/>
      <c r="J745" s="1500"/>
      <c r="K745" s="1500"/>
      <c r="L745" s="1500"/>
      <c r="M745" s="1500"/>
      <c r="N745" s="1500"/>
      <c r="O745" s="1500"/>
      <c r="P745" s="1500"/>
      <c r="Q745" s="1500"/>
      <c r="R745" s="1500"/>
      <c r="S745" s="1500"/>
      <c r="T745" s="1363"/>
      <c r="U745" s="1363"/>
      <c r="V745" s="117"/>
      <c r="W745" s="117"/>
      <c r="X745" s="3069" t="s">
        <v>3725</v>
      </c>
      <c r="Y745" s="484" t="s">
        <v>3726</v>
      </c>
      <c r="Z745" s="454">
        <v>0</v>
      </c>
      <c r="AA745" s="1512">
        <v>0</v>
      </c>
      <c r="AB745" s="1548">
        <f t="shared" si="8"/>
        <v>0</v>
      </c>
      <c r="AC745" s="1512">
        <v>8</v>
      </c>
      <c r="AD745" s="1512" t="s">
        <v>286</v>
      </c>
      <c r="AE745" s="1527"/>
      <c r="AF745" s="1512">
        <v>0.2</v>
      </c>
      <c r="AG745" s="1512">
        <v>0</v>
      </c>
      <c r="AH745" s="1538"/>
      <c r="AI745" s="1538"/>
      <c r="AJ745" s="156" t="s">
        <v>1007</v>
      </c>
      <c r="AK745" s="162"/>
      <c r="AL745" s="364"/>
      <c r="AM745" s="1363"/>
      <c r="AN745" s="1363"/>
    </row>
    <row r="746" spans="1:40" ht="30.75" customHeight="1" outlineLevel="1">
      <c r="A746" s="1500"/>
      <c r="B746" s="1500"/>
      <c r="C746" s="1500"/>
      <c r="D746" s="1500"/>
      <c r="E746" s="1500"/>
      <c r="F746" s="1500"/>
      <c r="G746" s="1363"/>
      <c r="H746" s="1500"/>
      <c r="I746" s="1500"/>
      <c r="J746" s="1500"/>
      <c r="K746" s="1500"/>
      <c r="L746" s="1500"/>
      <c r="M746" s="1500"/>
      <c r="N746" s="1500"/>
      <c r="O746" s="1500"/>
      <c r="P746" s="1500"/>
      <c r="Q746" s="1500"/>
      <c r="R746" s="1500"/>
      <c r="S746" s="1500"/>
      <c r="T746" s="1363"/>
      <c r="U746" s="1363"/>
      <c r="V746" s="117"/>
      <c r="W746" s="117"/>
      <c r="X746" s="3070" t="s">
        <v>3727</v>
      </c>
      <c r="Y746" s="684" t="s">
        <v>3728</v>
      </c>
      <c r="Z746" s="670">
        <v>1</v>
      </c>
      <c r="AA746" s="1548">
        <v>0</v>
      </c>
      <c r="AB746" s="1548">
        <f t="shared" si="8"/>
        <v>8</v>
      </c>
      <c r="AC746" s="1548">
        <v>8</v>
      </c>
      <c r="AD746" s="1548" t="s">
        <v>286</v>
      </c>
      <c r="AE746" s="1528"/>
      <c r="AF746" s="1548">
        <v>5</v>
      </c>
      <c r="AG746" s="1548">
        <v>0</v>
      </c>
      <c r="AH746" s="1548"/>
      <c r="AI746" s="1548"/>
      <c r="AJ746" s="668" t="s">
        <v>904</v>
      </c>
      <c r="AK746" s="162"/>
      <c r="AL746" s="364"/>
      <c r="AM746" s="1363"/>
      <c r="AN746" s="1363"/>
    </row>
    <row r="747" spans="1:40" ht="45.75" customHeight="1" outlineLevel="1">
      <c r="A747" s="1500"/>
      <c r="B747" s="1500"/>
      <c r="C747" s="1500"/>
      <c r="D747" s="1500"/>
      <c r="E747" s="1500"/>
      <c r="F747" s="1500"/>
      <c r="G747" s="1363"/>
      <c r="H747" s="1500"/>
      <c r="I747" s="1500"/>
      <c r="J747" s="1500"/>
      <c r="K747" s="1500"/>
      <c r="L747" s="1500"/>
      <c r="M747" s="1500"/>
      <c r="N747" s="1500"/>
      <c r="O747" s="1500"/>
      <c r="P747" s="1500"/>
      <c r="Q747" s="1500"/>
      <c r="R747" s="1500"/>
      <c r="S747" s="1500"/>
      <c r="T747" s="1363"/>
      <c r="U747" s="1363"/>
      <c r="V747" s="117"/>
      <c r="W747" s="117"/>
      <c r="X747" s="3071" t="s">
        <v>3729</v>
      </c>
      <c r="Y747" s="684" t="s">
        <v>3730</v>
      </c>
      <c r="Z747" s="670">
        <v>2</v>
      </c>
      <c r="AA747" s="1548">
        <v>0</v>
      </c>
      <c r="AB747" s="1548">
        <f t="shared" si="8"/>
        <v>16</v>
      </c>
      <c r="AC747" s="1548">
        <v>8</v>
      </c>
      <c r="AD747" s="1548" t="s">
        <v>286</v>
      </c>
      <c r="AE747" s="1528"/>
      <c r="AF747" s="1548">
        <v>10</v>
      </c>
      <c r="AG747" s="1548">
        <v>0</v>
      </c>
      <c r="AH747" s="1539"/>
      <c r="AI747" s="1539"/>
      <c r="AJ747" s="668" t="s">
        <v>3731</v>
      </c>
      <c r="AK747" s="162"/>
      <c r="AL747" s="364"/>
      <c r="AM747" s="1363"/>
      <c r="AN747" s="1363"/>
    </row>
    <row r="748" spans="1:40" ht="45.75" customHeight="1" outlineLevel="1">
      <c r="A748" s="1500"/>
      <c r="B748" s="1500"/>
      <c r="C748" s="1500"/>
      <c r="D748" s="1500"/>
      <c r="E748" s="1500"/>
      <c r="F748" s="1500"/>
      <c r="G748" s="1363"/>
      <c r="H748" s="1500"/>
      <c r="I748" s="1500"/>
      <c r="J748" s="1500"/>
      <c r="K748" s="1500"/>
      <c r="L748" s="1500"/>
      <c r="M748" s="1500"/>
      <c r="N748" s="1500"/>
      <c r="O748" s="1500"/>
      <c r="P748" s="1500"/>
      <c r="Q748" s="1500"/>
      <c r="R748" s="1500"/>
      <c r="S748" s="1500"/>
      <c r="T748" s="1363"/>
      <c r="U748" s="1363"/>
      <c r="V748" s="117"/>
      <c r="W748" s="117"/>
      <c r="X748" s="3072" t="s">
        <v>3732</v>
      </c>
      <c r="Y748" s="684" t="s">
        <v>3733</v>
      </c>
      <c r="Z748" s="670">
        <v>3</v>
      </c>
      <c r="AA748" s="1548">
        <v>0</v>
      </c>
      <c r="AB748" s="1548">
        <f t="shared" si="8"/>
        <v>24</v>
      </c>
      <c r="AC748" s="1548">
        <v>8</v>
      </c>
      <c r="AD748" s="1548" t="s">
        <v>286</v>
      </c>
      <c r="AE748" s="1528"/>
      <c r="AF748" s="1548">
        <v>10</v>
      </c>
      <c r="AG748" s="1548">
        <v>0</v>
      </c>
      <c r="AH748" s="1539"/>
      <c r="AI748" s="1539"/>
      <c r="AJ748" s="668" t="s">
        <v>3731</v>
      </c>
      <c r="AK748" s="162"/>
      <c r="AL748" s="364"/>
      <c r="AM748" s="1363"/>
      <c r="AN748" s="1363"/>
    </row>
    <row r="749" spans="1:40" ht="45.75" customHeight="1" outlineLevel="1">
      <c r="A749" s="1500"/>
      <c r="B749" s="1500"/>
      <c r="C749" s="1500"/>
      <c r="D749" s="1500"/>
      <c r="E749" s="1500"/>
      <c r="F749" s="1500"/>
      <c r="G749" s="1363"/>
      <c r="H749" s="1500"/>
      <c r="I749" s="1500"/>
      <c r="J749" s="1500"/>
      <c r="K749" s="1500"/>
      <c r="L749" s="1500"/>
      <c r="M749" s="1500"/>
      <c r="N749" s="1500"/>
      <c r="O749" s="1500"/>
      <c r="P749" s="1500"/>
      <c r="Q749" s="1500"/>
      <c r="R749" s="1500"/>
      <c r="S749" s="1500"/>
      <c r="T749" s="1363"/>
      <c r="U749" s="1363"/>
      <c r="V749" s="117"/>
      <c r="W749" s="117"/>
      <c r="X749" s="1539" t="s">
        <v>3734</v>
      </c>
      <c r="Y749" s="684" t="s">
        <v>3735</v>
      </c>
      <c r="Z749" s="670">
        <v>4</v>
      </c>
      <c r="AA749" s="1548">
        <v>0</v>
      </c>
      <c r="AB749" s="1548">
        <f t="shared" si="8"/>
        <v>32</v>
      </c>
      <c r="AC749" s="1548">
        <v>8</v>
      </c>
      <c r="AD749" s="1548" t="s">
        <v>286</v>
      </c>
      <c r="AE749" s="1528"/>
      <c r="AF749" s="1548">
        <v>0.5</v>
      </c>
      <c r="AG749" s="1548">
        <v>0</v>
      </c>
      <c r="AH749" s="1539"/>
      <c r="AI749" s="1539"/>
      <c r="AJ749" s="668" t="s">
        <v>904</v>
      </c>
      <c r="AK749" s="162"/>
      <c r="AL749" s="364"/>
      <c r="AM749" s="1363"/>
      <c r="AN749" s="1363"/>
    </row>
    <row r="750" spans="1:40" s="1232" customFormat="1" ht="45.75" customHeight="1">
      <c r="A750" s="1233">
        <v>78</v>
      </c>
      <c r="B750" s="1233" t="s">
        <v>3736</v>
      </c>
      <c r="C750" s="1233" t="s">
        <v>3737</v>
      </c>
      <c r="D750" s="1233" t="s">
        <v>3258</v>
      </c>
      <c r="E750" s="1233">
        <v>8</v>
      </c>
      <c r="F750" s="1233" t="s">
        <v>260</v>
      </c>
      <c r="G750" s="1234"/>
      <c r="H750" s="1233"/>
      <c r="I750" s="1233"/>
      <c r="J750" s="1233"/>
      <c r="K750" s="1233"/>
      <c r="L750" s="1233"/>
      <c r="M750" s="1233"/>
      <c r="N750" s="1233" t="s">
        <v>261</v>
      </c>
      <c r="O750" s="1233"/>
      <c r="P750" s="1233"/>
      <c r="Q750" s="1233"/>
      <c r="R750" s="1233"/>
      <c r="S750" s="1233"/>
      <c r="T750" s="1233"/>
      <c r="U750" s="1233"/>
      <c r="V750" s="1235"/>
      <c r="W750" s="1235"/>
      <c r="X750" s="1235" t="s">
        <v>3736</v>
      </c>
      <c r="Y750" s="1235"/>
      <c r="Z750" s="1233"/>
      <c r="AA750" s="1233"/>
      <c r="AB750" s="1238">
        <f t="shared" si="8"/>
        <v>0</v>
      </c>
      <c r="AC750" s="1233"/>
      <c r="AD750" s="1233"/>
      <c r="AE750" s="1244"/>
      <c r="AF750" s="1233"/>
      <c r="AG750" s="1233"/>
      <c r="AH750" s="1233"/>
      <c r="AI750" s="1233"/>
      <c r="AJ750" s="1233"/>
      <c r="AK750" s="1236" t="s">
        <v>3738</v>
      </c>
      <c r="AL750" s="1237" t="s">
        <v>3739</v>
      </c>
      <c r="AM750" s="1237"/>
      <c r="AN750" s="1237"/>
    </row>
    <row r="751" spans="1:40" ht="14.25" customHeight="1" outlineLevel="1">
      <c r="A751" s="1500"/>
      <c r="B751" s="1500"/>
      <c r="C751" s="3356"/>
      <c r="D751" s="1500"/>
      <c r="E751" s="1500"/>
      <c r="F751" s="1500"/>
      <c r="G751" s="1363"/>
      <c r="H751" s="1363"/>
      <c r="I751" s="1363"/>
      <c r="J751" s="1363"/>
      <c r="K751" s="1363"/>
      <c r="L751" s="1363"/>
      <c r="M751" s="1363"/>
      <c r="N751" s="1363"/>
      <c r="O751" s="1363"/>
      <c r="P751" s="1363"/>
      <c r="Q751" s="1363"/>
      <c r="R751" s="1363"/>
      <c r="S751" s="1363"/>
      <c r="T751" s="1363"/>
      <c r="U751" s="1363"/>
      <c r="V751" s="117"/>
      <c r="W751" s="117"/>
      <c r="X751" s="1538" t="s">
        <v>3740</v>
      </c>
      <c r="Y751" s="117" t="s">
        <v>3741</v>
      </c>
      <c r="Z751" s="129">
        <v>0</v>
      </c>
      <c r="AA751" s="101">
        <v>0</v>
      </c>
      <c r="AB751" s="1548">
        <f t="shared" si="8"/>
        <v>0</v>
      </c>
      <c r="AC751" s="101">
        <v>1</v>
      </c>
      <c r="AD751" s="101"/>
      <c r="AE751" s="1536" t="s">
        <v>3742</v>
      </c>
      <c r="AF751" s="1536">
        <v>1</v>
      </c>
      <c r="AG751" s="1536">
        <v>0</v>
      </c>
      <c r="AH751" s="1536" t="s">
        <v>3743</v>
      </c>
      <c r="AI751" s="1536"/>
      <c r="AJ751" s="140"/>
      <c r="AK751" s="162"/>
      <c r="AL751" s="364"/>
      <c r="AM751" s="1363"/>
      <c r="AN751" s="1363"/>
    </row>
    <row r="752" spans="1:40" ht="14.25" customHeight="1" outlineLevel="1">
      <c r="A752" s="1500"/>
      <c r="B752" s="1500"/>
      <c r="C752" s="3356"/>
      <c r="D752" s="1500"/>
      <c r="E752" s="1500"/>
      <c r="F752" s="1500"/>
      <c r="G752" s="1363"/>
      <c r="H752" s="1363"/>
      <c r="I752" s="1363"/>
      <c r="J752" s="1363"/>
      <c r="K752" s="1363"/>
      <c r="L752" s="1363"/>
      <c r="M752" s="1363"/>
      <c r="N752" s="1363"/>
      <c r="O752" s="1363"/>
      <c r="P752" s="1363"/>
      <c r="Q752" s="1363"/>
      <c r="R752" s="1363"/>
      <c r="S752" s="1363"/>
      <c r="T752" s="1363"/>
      <c r="U752" s="1363"/>
      <c r="V752" s="117"/>
      <c r="W752" s="117"/>
      <c r="X752" s="1539" t="s">
        <v>3744</v>
      </c>
      <c r="Y752" s="117" t="s">
        <v>3745</v>
      </c>
      <c r="Z752" s="169">
        <v>0</v>
      </c>
      <c r="AA752" s="103">
        <v>1</v>
      </c>
      <c r="AB752" s="1548">
        <f t="shared" si="8"/>
        <v>1</v>
      </c>
      <c r="AC752" s="103">
        <v>1</v>
      </c>
      <c r="AD752" s="103"/>
      <c r="AE752" s="1537" t="s">
        <v>3746</v>
      </c>
      <c r="AF752" s="1537">
        <v>1</v>
      </c>
      <c r="AG752" s="1537">
        <v>0</v>
      </c>
      <c r="AH752" s="1537" t="s">
        <v>3743</v>
      </c>
      <c r="AI752" s="1537"/>
      <c r="AJ752" s="141"/>
      <c r="AK752" s="1500"/>
      <c r="AL752" s="364"/>
      <c r="AM752" s="1363"/>
      <c r="AN752" s="1363"/>
    </row>
    <row r="753" spans="1:40" ht="15.75" customHeight="1" outlineLevel="1">
      <c r="A753" s="1500"/>
      <c r="B753" s="1500"/>
      <c r="C753" s="3356"/>
      <c r="D753" s="1500"/>
      <c r="E753" s="1500"/>
      <c r="F753" s="1500"/>
      <c r="G753" s="1363"/>
      <c r="H753" s="1363"/>
      <c r="I753" s="1363"/>
      <c r="J753" s="1363"/>
      <c r="K753" s="1363"/>
      <c r="L753" s="1363"/>
      <c r="M753" s="1363"/>
      <c r="N753" s="1363"/>
      <c r="O753" s="1363"/>
      <c r="P753" s="1363"/>
      <c r="Q753" s="1363"/>
      <c r="R753" s="1363"/>
      <c r="S753" s="1363"/>
      <c r="T753" s="1363"/>
      <c r="U753" s="1363"/>
      <c r="V753" s="117"/>
      <c r="W753" s="117"/>
      <c r="X753" s="1539" t="s">
        <v>3747</v>
      </c>
      <c r="Y753" s="117" t="s">
        <v>3748</v>
      </c>
      <c r="Z753" s="169">
        <v>0</v>
      </c>
      <c r="AA753" s="103">
        <v>2</v>
      </c>
      <c r="AB753" s="1548">
        <f t="shared" si="8"/>
        <v>2</v>
      </c>
      <c r="AC753" s="103">
        <v>1</v>
      </c>
      <c r="AD753" s="103"/>
      <c r="AE753" s="1537" t="s">
        <v>3749</v>
      </c>
      <c r="AF753" s="1537">
        <v>1</v>
      </c>
      <c r="AG753" s="1537">
        <v>0</v>
      </c>
      <c r="AH753" s="1537" t="s">
        <v>3743</v>
      </c>
      <c r="AI753" s="1537"/>
      <c r="AJ753" s="141"/>
      <c r="AK753" s="1500"/>
      <c r="AL753" s="364"/>
      <c r="AM753" s="1363"/>
      <c r="AN753" s="1363"/>
    </row>
    <row r="754" spans="1:40" ht="30.75" customHeight="1" outlineLevel="1">
      <c r="A754" s="1500"/>
      <c r="B754" s="1500"/>
      <c r="C754" s="3356"/>
      <c r="D754" s="1500"/>
      <c r="E754" s="1500"/>
      <c r="F754" s="1500"/>
      <c r="G754" s="1363"/>
      <c r="H754" s="1363"/>
      <c r="I754" s="1363"/>
      <c r="J754" s="1363"/>
      <c r="K754" s="1363"/>
      <c r="L754" s="1363"/>
      <c r="M754" s="1363"/>
      <c r="N754" s="1363"/>
      <c r="O754" s="1363"/>
      <c r="P754" s="1363"/>
      <c r="Q754" s="1363"/>
      <c r="R754" s="1363"/>
      <c r="S754" s="1363"/>
      <c r="T754" s="1363"/>
      <c r="U754" s="1363"/>
      <c r="V754" s="117"/>
      <c r="W754" s="117"/>
      <c r="X754" s="1539" t="s">
        <v>3750</v>
      </c>
      <c r="Y754" s="117" t="s">
        <v>3751</v>
      </c>
      <c r="Z754" s="169">
        <v>0</v>
      </c>
      <c r="AA754" s="103">
        <v>4</v>
      </c>
      <c r="AB754" s="1548">
        <f t="shared" si="8"/>
        <v>4</v>
      </c>
      <c r="AC754" s="103">
        <v>4</v>
      </c>
      <c r="AD754" s="103"/>
      <c r="AE754" s="1537" t="s">
        <v>3752</v>
      </c>
      <c r="AF754" s="1537">
        <v>1</v>
      </c>
      <c r="AG754" s="1537">
        <v>0</v>
      </c>
      <c r="AH754" s="1537" t="s">
        <v>3753</v>
      </c>
      <c r="AI754" s="1537"/>
      <c r="AJ754" s="141"/>
      <c r="AK754" s="1500"/>
      <c r="AL754" s="364"/>
      <c r="AM754" s="1363"/>
      <c r="AN754" s="1363"/>
    </row>
    <row r="755" spans="1:40" ht="14.25" customHeight="1" outlineLevel="1">
      <c r="A755" s="1500"/>
      <c r="B755" s="1500"/>
      <c r="C755" s="3356"/>
      <c r="D755" s="1500"/>
      <c r="E755" s="1500"/>
      <c r="F755" s="1500"/>
      <c r="G755" s="1363"/>
      <c r="H755" s="1363"/>
      <c r="I755" s="1363"/>
      <c r="J755" s="1363"/>
      <c r="K755" s="1363"/>
      <c r="L755" s="1363"/>
      <c r="M755" s="1363"/>
      <c r="N755" s="1363"/>
      <c r="O755" s="1363"/>
      <c r="P755" s="1363"/>
      <c r="Q755" s="1363"/>
      <c r="R755" s="1363"/>
      <c r="S755" s="1363"/>
      <c r="T755" s="1363"/>
      <c r="U755" s="1363"/>
      <c r="V755" s="117"/>
      <c r="W755" s="117"/>
      <c r="X755" s="1539" t="s">
        <v>3754</v>
      </c>
      <c r="Y755" s="117" t="s">
        <v>3755</v>
      </c>
      <c r="Z755" s="169">
        <v>1</v>
      </c>
      <c r="AA755" s="103">
        <v>0</v>
      </c>
      <c r="AB755" s="1548">
        <f t="shared" si="8"/>
        <v>8</v>
      </c>
      <c r="AC755" s="103">
        <v>2</v>
      </c>
      <c r="AD755" s="103"/>
      <c r="AE755" s="1537" t="s">
        <v>3756</v>
      </c>
      <c r="AF755" s="1537">
        <v>1</v>
      </c>
      <c r="AG755" s="1537">
        <v>0</v>
      </c>
      <c r="AH755" s="1537" t="s">
        <v>3757</v>
      </c>
      <c r="AI755" s="1537"/>
      <c r="AJ755" s="141"/>
      <c r="AK755" s="1500"/>
      <c r="AL755" s="364"/>
      <c r="AM755" s="1363"/>
      <c r="AN755" s="1363"/>
    </row>
    <row r="756" spans="1:40" ht="14.25" customHeight="1" outlineLevel="1">
      <c r="A756" s="1500"/>
      <c r="B756" s="1500"/>
      <c r="C756" s="3356"/>
      <c r="D756" s="1500"/>
      <c r="E756" s="1500"/>
      <c r="F756" s="1500"/>
      <c r="G756" s="1363"/>
      <c r="H756" s="1363"/>
      <c r="I756" s="1363"/>
      <c r="J756" s="1363"/>
      <c r="K756" s="1363"/>
      <c r="L756" s="1363"/>
      <c r="M756" s="1363"/>
      <c r="N756" s="1363"/>
      <c r="O756" s="1363"/>
      <c r="P756" s="1363"/>
      <c r="Q756" s="1363"/>
      <c r="R756" s="1363"/>
      <c r="S756" s="1363"/>
      <c r="T756" s="1363"/>
      <c r="U756" s="1363"/>
      <c r="V756" s="117"/>
      <c r="W756" s="117"/>
      <c r="X756" s="1539" t="s">
        <v>3758</v>
      </c>
      <c r="Y756" s="117" t="s">
        <v>3759</v>
      </c>
      <c r="Z756" s="169">
        <v>1</v>
      </c>
      <c r="AA756" s="103">
        <v>2</v>
      </c>
      <c r="AB756" s="1548">
        <f t="shared" si="8"/>
        <v>10</v>
      </c>
      <c r="AC756" s="103">
        <v>2</v>
      </c>
      <c r="AD756" s="103"/>
      <c r="AE756" s="1537" t="s">
        <v>3760</v>
      </c>
      <c r="AF756" s="1537">
        <v>1</v>
      </c>
      <c r="AG756" s="1537">
        <v>0</v>
      </c>
      <c r="AH756" s="1537" t="s">
        <v>3757</v>
      </c>
      <c r="AI756" s="1537"/>
      <c r="AJ756" s="141"/>
      <c r="AK756" s="1500"/>
      <c r="AL756" s="364"/>
      <c r="AM756" s="1363"/>
      <c r="AN756" s="1363"/>
    </row>
    <row r="757" spans="1:40" s="434" customFormat="1" ht="15.75" customHeight="1" outlineLevel="1">
      <c r="A757" s="1500"/>
      <c r="B757" s="1500"/>
      <c r="C757" s="3356"/>
      <c r="D757" s="1500"/>
      <c r="E757" s="1500"/>
      <c r="F757" s="1500"/>
      <c r="G757" s="1363"/>
      <c r="H757" s="1363"/>
      <c r="I757" s="1363"/>
      <c r="J757" s="1363"/>
      <c r="K757" s="1363"/>
      <c r="L757" s="1363"/>
      <c r="M757" s="1363"/>
      <c r="N757" s="1363"/>
      <c r="O757" s="1363"/>
      <c r="P757" s="1363"/>
      <c r="Q757" s="1363"/>
      <c r="R757" s="1363"/>
      <c r="S757" s="1363"/>
      <c r="T757" s="1363"/>
      <c r="U757" s="1363"/>
      <c r="V757" s="117"/>
      <c r="W757" s="117"/>
      <c r="X757" s="1539" t="s">
        <v>3761</v>
      </c>
      <c r="Y757" s="117" t="s">
        <v>3762</v>
      </c>
      <c r="Z757" s="169">
        <v>1</v>
      </c>
      <c r="AA757" s="103">
        <v>5</v>
      </c>
      <c r="AB757" s="1548">
        <f t="shared" si="8"/>
        <v>13</v>
      </c>
      <c r="AC757" s="103">
        <v>3</v>
      </c>
      <c r="AD757" s="103"/>
      <c r="AE757" s="1537" t="s">
        <v>3763</v>
      </c>
      <c r="AF757" s="1537">
        <v>1</v>
      </c>
      <c r="AG757" s="1537">
        <v>0</v>
      </c>
      <c r="AH757" s="1537" t="s">
        <v>3764</v>
      </c>
      <c r="AI757" s="1537"/>
      <c r="AJ757" s="141"/>
      <c r="AK757" s="1500"/>
      <c r="AL757" s="364"/>
      <c r="AM757" s="1363"/>
      <c r="AN757" s="1363"/>
    </row>
    <row r="758" spans="1:40" s="434" customFormat="1" ht="30.75" customHeight="1" outlineLevel="1">
      <c r="A758" s="616"/>
      <c r="B758" s="616"/>
      <c r="C758" s="3356"/>
      <c r="D758" s="616"/>
      <c r="E758" s="616"/>
      <c r="F758" s="616"/>
      <c r="V758" s="130"/>
      <c r="W758" s="130"/>
      <c r="X758" s="1531" t="s">
        <v>3765</v>
      </c>
      <c r="Y758" s="117" t="s">
        <v>3766</v>
      </c>
      <c r="Z758" s="170">
        <v>2</v>
      </c>
      <c r="AA758" s="171">
        <v>0</v>
      </c>
      <c r="AB758" s="877">
        <f t="shared" si="8"/>
        <v>16</v>
      </c>
      <c r="AC758" s="171">
        <v>6</v>
      </c>
      <c r="AD758" s="1548" t="s">
        <v>286</v>
      </c>
      <c r="AE758" s="172" t="s">
        <v>3767</v>
      </c>
      <c r="AF758" s="172">
        <v>1</v>
      </c>
      <c r="AG758" s="172">
        <v>0</v>
      </c>
      <c r="AH758" s="172" t="s">
        <v>3768</v>
      </c>
      <c r="AI758" s="172"/>
      <c r="AJ758" s="178" t="s">
        <v>98</v>
      </c>
      <c r="AK758" s="616" t="s">
        <v>3769</v>
      </c>
      <c r="AL758" s="364"/>
    </row>
    <row r="759" spans="1:40" ht="30.75" customHeight="1" outlineLevel="1">
      <c r="A759" s="616"/>
      <c r="B759" s="616"/>
      <c r="C759" s="3356"/>
      <c r="D759" s="616"/>
      <c r="E759" s="616"/>
      <c r="F759" s="616"/>
      <c r="G759" s="434"/>
      <c r="H759" s="434"/>
      <c r="I759" s="434"/>
      <c r="J759" s="434"/>
      <c r="K759" s="434"/>
      <c r="L759" s="434"/>
      <c r="M759" s="434"/>
      <c r="N759" s="434"/>
      <c r="O759" s="434"/>
      <c r="P759" s="434"/>
      <c r="Q759" s="434"/>
      <c r="R759" s="434"/>
      <c r="S759" s="434"/>
      <c r="T759" s="434"/>
      <c r="U759" s="434"/>
      <c r="V759" s="130"/>
      <c r="W759" s="130"/>
      <c r="X759" s="1531" t="s">
        <v>3770</v>
      </c>
      <c r="Y759" s="117" t="s">
        <v>3771</v>
      </c>
      <c r="Z759" s="173"/>
      <c r="AA759" s="174"/>
      <c r="AB759" s="877">
        <v>22</v>
      </c>
      <c r="AC759" s="174">
        <v>2</v>
      </c>
      <c r="AD759" s="1548" t="s">
        <v>286</v>
      </c>
      <c r="AE759" s="172" t="s">
        <v>3772</v>
      </c>
      <c r="AF759" s="172">
        <v>1</v>
      </c>
      <c r="AG759" s="172">
        <v>0</v>
      </c>
      <c r="AH759" s="172" t="s">
        <v>3768</v>
      </c>
      <c r="AI759" s="172"/>
      <c r="AJ759" s="178"/>
      <c r="AK759" s="616"/>
      <c r="AL759" s="364"/>
      <c r="AM759" s="434"/>
      <c r="AN759" s="434"/>
    </row>
    <row r="760" spans="1:40" ht="30.75" customHeight="1" outlineLevel="1">
      <c r="A760" s="1500"/>
      <c r="B760" s="1500"/>
      <c r="C760" s="3356"/>
      <c r="D760" s="1500"/>
      <c r="E760" s="1500"/>
      <c r="F760" s="1500"/>
      <c r="G760" s="1363"/>
      <c r="H760" s="1363"/>
      <c r="I760" s="1363"/>
      <c r="J760" s="1363"/>
      <c r="K760" s="1363"/>
      <c r="L760" s="1363"/>
      <c r="M760" s="1363"/>
      <c r="N760" s="1363"/>
      <c r="O760" s="1363"/>
      <c r="P760" s="1363"/>
      <c r="Q760" s="1363"/>
      <c r="R760" s="1363"/>
      <c r="S760" s="1363"/>
      <c r="T760" s="1363"/>
      <c r="U760" s="1363"/>
      <c r="V760" s="117"/>
      <c r="W760" s="117"/>
      <c r="X760" s="1539" t="s">
        <v>3773</v>
      </c>
      <c r="Y760" s="117" t="s">
        <v>3774</v>
      </c>
      <c r="Z760" s="169">
        <v>3</v>
      </c>
      <c r="AA760" s="103">
        <v>0</v>
      </c>
      <c r="AB760" s="1548">
        <f t="shared" ref="AB760:AB791" si="9">Z760*8+AA760</f>
        <v>24</v>
      </c>
      <c r="AC760" s="103">
        <v>2</v>
      </c>
      <c r="AD760" s="103"/>
      <c r="AE760" s="1537" t="s">
        <v>3775</v>
      </c>
      <c r="AF760" s="1537">
        <v>1</v>
      </c>
      <c r="AG760" s="1537">
        <v>0</v>
      </c>
      <c r="AH760" s="1537" t="s">
        <v>3757</v>
      </c>
      <c r="AI760" s="1537"/>
      <c r="AJ760" s="141"/>
      <c r="AK760" s="1500"/>
      <c r="AL760" s="364"/>
      <c r="AM760" s="1363"/>
      <c r="AN760" s="1363"/>
    </row>
    <row r="761" spans="1:40" ht="75.75" customHeight="1" outlineLevel="1">
      <c r="A761" s="1500"/>
      <c r="B761" s="1500"/>
      <c r="C761" s="3356"/>
      <c r="D761" s="1500"/>
      <c r="E761" s="1500"/>
      <c r="F761" s="1500"/>
      <c r="G761" s="1363"/>
      <c r="H761" s="1363"/>
      <c r="I761" s="1363"/>
      <c r="J761" s="1363"/>
      <c r="K761" s="1363"/>
      <c r="L761" s="1363"/>
      <c r="M761" s="1363"/>
      <c r="N761" s="1363"/>
      <c r="O761" s="1363"/>
      <c r="P761" s="1363"/>
      <c r="Q761" s="1363"/>
      <c r="R761" s="1363"/>
      <c r="S761" s="1363"/>
      <c r="T761" s="1363"/>
      <c r="U761" s="1363"/>
      <c r="V761" s="117"/>
      <c r="W761" s="117"/>
      <c r="X761" s="1539" t="s">
        <v>3776</v>
      </c>
      <c r="Y761" s="117" t="s">
        <v>3777</v>
      </c>
      <c r="Z761" s="169">
        <v>3</v>
      </c>
      <c r="AA761" s="103">
        <v>4</v>
      </c>
      <c r="AB761" s="1548">
        <f t="shared" si="9"/>
        <v>28</v>
      </c>
      <c r="AC761" s="103">
        <v>4</v>
      </c>
      <c r="AD761" s="103"/>
      <c r="AE761" s="3073" t="s">
        <v>3778</v>
      </c>
      <c r="AF761" s="1537">
        <v>1</v>
      </c>
      <c r="AG761" s="1537">
        <v>0</v>
      </c>
      <c r="AH761" s="1537" t="s">
        <v>3779</v>
      </c>
      <c r="AI761" s="1537"/>
      <c r="AJ761" s="141"/>
      <c r="AK761" s="1500"/>
      <c r="AL761" s="364"/>
      <c r="AM761" s="1363"/>
      <c r="AN761" s="1363"/>
    </row>
    <row r="762" spans="1:40" ht="30.75" customHeight="1" outlineLevel="1">
      <c r="A762" s="1500"/>
      <c r="B762" s="1500"/>
      <c r="C762" s="3356"/>
      <c r="D762" s="1500"/>
      <c r="E762" s="1500"/>
      <c r="F762" s="1500"/>
      <c r="G762" s="1363"/>
      <c r="H762" s="1363"/>
      <c r="I762" s="1363"/>
      <c r="J762" s="1363"/>
      <c r="K762" s="1363"/>
      <c r="L762" s="1363"/>
      <c r="M762" s="1363"/>
      <c r="N762" s="1363"/>
      <c r="O762" s="1363"/>
      <c r="P762" s="1363"/>
      <c r="Q762" s="1363"/>
      <c r="R762" s="1363"/>
      <c r="S762" s="1363"/>
      <c r="T762" s="1363"/>
      <c r="U762" s="1363"/>
      <c r="V762" s="117"/>
      <c r="W762" s="117"/>
      <c r="X762" s="1539" t="s">
        <v>3780</v>
      </c>
      <c r="Y762" s="117" t="s">
        <v>3781</v>
      </c>
      <c r="Z762" s="169">
        <v>4</v>
      </c>
      <c r="AA762" s="103">
        <v>0</v>
      </c>
      <c r="AB762" s="1548">
        <f t="shared" si="9"/>
        <v>32</v>
      </c>
      <c r="AC762" s="103">
        <v>16</v>
      </c>
      <c r="AD762" s="103"/>
      <c r="AE762" s="1537" t="s">
        <v>3782</v>
      </c>
      <c r="AF762" s="1537">
        <v>0.1</v>
      </c>
      <c r="AG762" s="1537">
        <v>0</v>
      </c>
      <c r="AH762" s="1537" t="s">
        <v>3783</v>
      </c>
      <c r="AI762" s="1537"/>
      <c r="AJ762" s="141" t="s">
        <v>1007</v>
      </c>
      <c r="AK762" s="1500"/>
      <c r="AL762" s="364"/>
      <c r="AM762" s="1363"/>
      <c r="AN762" s="1363"/>
    </row>
    <row r="763" spans="1:40" ht="14.25" customHeight="1" outlineLevel="1">
      <c r="A763" s="1500"/>
      <c r="B763" s="1500"/>
      <c r="C763" s="3356"/>
      <c r="D763" s="1500"/>
      <c r="E763" s="1500"/>
      <c r="F763" s="1500"/>
      <c r="G763" s="1363"/>
      <c r="H763" s="1363"/>
      <c r="I763" s="1363"/>
      <c r="J763" s="1363"/>
      <c r="K763" s="1363"/>
      <c r="L763" s="1363"/>
      <c r="M763" s="1363"/>
      <c r="N763" s="1363"/>
      <c r="O763" s="1363"/>
      <c r="P763" s="1363"/>
      <c r="Q763" s="1363"/>
      <c r="R763" s="1363"/>
      <c r="S763" s="1363"/>
      <c r="T763" s="1363"/>
      <c r="U763" s="1363"/>
      <c r="V763" s="117"/>
      <c r="W763" s="117"/>
      <c r="X763" s="1539" t="s">
        <v>3784</v>
      </c>
      <c r="Y763" s="117" t="s">
        <v>3785</v>
      </c>
      <c r="Z763" s="169">
        <v>6</v>
      </c>
      <c r="AA763" s="103">
        <v>0</v>
      </c>
      <c r="AB763" s="1548">
        <f t="shared" si="9"/>
        <v>48</v>
      </c>
      <c r="AC763" s="103">
        <v>16</v>
      </c>
      <c r="AD763" s="103"/>
      <c r="AE763" s="1537" t="s">
        <v>3786</v>
      </c>
      <c r="AF763" s="1537">
        <v>10</v>
      </c>
      <c r="AG763" s="1537">
        <v>0</v>
      </c>
      <c r="AH763" s="1537" t="s">
        <v>3787</v>
      </c>
      <c r="AI763" s="1537"/>
      <c r="AJ763" s="141" t="s">
        <v>1021</v>
      </c>
      <c r="AK763" s="1500"/>
      <c r="AL763" s="364"/>
      <c r="AM763" s="1363"/>
      <c r="AN763" s="1363"/>
    </row>
    <row r="764" spans="1:40" s="1232" customFormat="1" ht="18" customHeight="1">
      <c r="A764" s="1233">
        <v>79</v>
      </c>
      <c r="B764" s="1233" t="s">
        <v>3788</v>
      </c>
      <c r="C764" s="1233" t="s">
        <v>3789</v>
      </c>
      <c r="D764" s="1233" t="s">
        <v>844</v>
      </c>
      <c r="E764" s="1233">
        <v>8</v>
      </c>
      <c r="F764" s="1233" t="s">
        <v>260</v>
      </c>
      <c r="G764" s="1234"/>
      <c r="H764" s="1233"/>
      <c r="I764" s="1233"/>
      <c r="J764" s="1233"/>
      <c r="K764" s="1233"/>
      <c r="L764" s="1233" t="s">
        <v>325</v>
      </c>
      <c r="M764" s="1233"/>
      <c r="N764" s="1233" t="s">
        <v>261</v>
      </c>
      <c r="O764" s="1233"/>
      <c r="P764" s="1233"/>
      <c r="Q764" s="1233"/>
      <c r="R764" s="1233"/>
      <c r="S764" s="1233"/>
      <c r="T764" s="1233"/>
      <c r="U764" s="1233"/>
      <c r="V764" s="1235"/>
      <c r="W764" s="1235"/>
      <c r="X764" s="1235" t="s">
        <v>3790</v>
      </c>
      <c r="Y764" s="1235"/>
      <c r="Z764" s="1233"/>
      <c r="AA764" s="1233"/>
      <c r="AB764" s="1238">
        <f t="shared" si="9"/>
        <v>0</v>
      </c>
      <c r="AC764" s="1233"/>
      <c r="AD764" s="1233"/>
      <c r="AE764" s="1244"/>
      <c r="AF764" s="1233"/>
      <c r="AG764" s="1233"/>
      <c r="AH764" s="1233"/>
      <c r="AI764" s="1233"/>
      <c r="AJ764" s="1233"/>
      <c r="AK764" s="1236" t="s">
        <v>3791</v>
      </c>
      <c r="AL764" s="1237"/>
      <c r="AM764" s="1237"/>
      <c r="AN764" s="1237"/>
    </row>
    <row r="765" spans="1:40" ht="30.75" customHeight="1" outlineLevel="1">
      <c r="A765" s="1500"/>
      <c r="B765" s="1500"/>
      <c r="C765" s="1500"/>
      <c r="D765" s="1500"/>
      <c r="E765" s="1500"/>
      <c r="F765" s="1500"/>
      <c r="G765" s="1363"/>
      <c r="H765" s="1500"/>
      <c r="I765" s="1500"/>
      <c r="J765" s="1500"/>
      <c r="K765" s="1500"/>
      <c r="L765" s="1500"/>
      <c r="M765" s="1500"/>
      <c r="N765" s="1500"/>
      <c r="O765" s="1500"/>
      <c r="P765" s="1500"/>
      <c r="Q765" s="1500"/>
      <c r="R765" s="1500"/>
      <c r="S765" s="1500"/>
      <c r="T765" s="1363"/>
      <c r="U765" s="1363"/>
      <c r="V765" s="117"/>
      <c r="W765" s="117"/>
      <c r="X765" s="3074" t="s">
        <v>532</v>
      </c>
      <c r="Y765" s="484" t="s">
        <v>3792</v>
      </c>
      <c r="Z765" s="454">
        <v>0</v>
      </c>
      <c r="AA765" s="1512">
        <v>0</v>
      </c>
      <c r="AB765" s="1548">
        <f t="shared" si="9"/>
        <v>0</v>
      </c>
      <c r="AC765" s="1512">
        <v>16</v>
      </c>
      <c r="AD765" s="1512"/>
      <c r="AE765" s="1527"/>
      <c r="AF765" s="1538"/>
      <c r="AG765" s="1538"/>
      <c r="AH765" s="1538"/>
      <c r="AI765" s="1538"/>
      <c r="AJ765" s="156"/>
      <c r="AK765" s="1500"/>
      <c r="AL765" s="364"/>
      <c r="AM765" s="1363"/>
      <c r="AN765" s="1363"/>
    </row>
    <row r="766" spans="1:40" ht="30.75" customHeight="1" outlineLevel="1">
      <c r="A766" s="1500"/>
      <c r="B766" s="1500"/>
      <c r="C766" s="1500"/>
      <c r="D766" s="1500"/>
      <c r="E766" s="1500"/>
      <c r="F766" s="1500"/>
      <c r="G766" s="1363"/>
      <c r="H766" s="1500"/>
      <c r="I766" s="1500"/>
      <c r="J766" s="1500"/>
      <c r="K766" s="1500"/>
      <c r="L766" s="1500"/>
      <c r="M766" s="1500"/>
      <c r="N766" s="1500"/>
      <c r="O766" s="1500"/>
      <c r="P766" s="1500"/>
      <c r="Q766" s="1500"/>
      <c r="R766" s="1500"/>
      <c r="S766" s="1500"/>
      <c r="T766" s="1363"/>
      <c r="U766" s="1363"/>
      <c r="V766" s="117"/>
      <c r="W766" s="117"/>
      <c r="X766" s="3075" t="s">
        <v>534</v>
      </c>
      <c r="Y766" s="684" t="s">
        <v>3793</v>
      </c>
      <c r="Z766" s="670">
        <v>2</v>
      </c>
      <c r="AA766" s="1548">
        <v>0</v>
      </c>
      <c r="AB766" s="1548">
        <f t="shared" si="9"/>
        <v>16</v>
      </c>
      <c r="AC766" s="1548">
        <v>8</v>
      </c>
      <c r="AD766" s="1548"/>
      <c r="AE766" s="1528"/>
      <c r="AF766" s="1539"/>
      <c r="AG766" s="1539"/>
      <c r="AH766" s="1539"/>
      <c r="AI766" s="1539"/>
      <c r="AJ766" s="668" t="s">
        <v>536</v>
      </c>
      <c r="AK766" s="1500"/>
      <c r="AL766" s="364"/>
      <c r="AM766" s="1363"/>
      <c r="AN766" s="1363"/>
    </row>
    <row r="767" spans="1:40" ht="45.75" customHeight="1" outlineLevel="1">
      <c r="A767" s="1500"/>
      <c r="B767" s="1500"/>
      <c r="C767" s="1500"/>
      <c r="D767" s="1500"/>
      <c r="E767" s="1500"/>
      <c r="F767" s="1500"/>
      <c r="G767" s="1363"/>
      <c r="H767" s="1500"/>
      <c r="I767" s="1500"/>
      <c r="J767" s="1500"/>
      <c r="K767" s="1500"/>
      <c r="L767" s="1500"/>
      <c r="M767" s="1500"/>
      <c r="N767" s="1500"/>
      <c r="O767" s="1500"/>
      <c r="P767" s="1500"/>
      <c r="Q767" s="1500"/>
      <c r="R767" s="1500"/>
      <c r="S767" s="1500"/>
      <c r="T767" s="1363"/>
      <c r="U767" s="1363"/>
      <c r="V767" s="117"/>
      <c r="W767" s="117"/>
      <c r="X767" s="3076" t="s">
        <v>537</v>
      </c>
      <c r="Y767" s="684" t="s">
        <v>3794</v>
      </c>
      <c r="Z767" s="670">
        <v>3</v>
      </c>
      <c r="AA767" s="1548">
        <v>0</v>
      </c>
      <c r="AB767" s="1548">
        <f t="shared" si="9"/>
        <v>24</v>
      </c>
      <c r="AC767" s="1548">
        <v>8</v>
      </c>
      <c r="AD767" s="1548"/>
      <c r="AE767" s="1528"/>
      <c r="AF767" s="1539"/>
      <c r="AG767" s="1539"/>
      <c r="AH767" s="1539"/>
      <c r="AI767" s="1539"/>
      <c r="AJ767" s="668" t="s">
        <v>539</v>
      </c>
      <c r="AK767" s="1500"/>
      <c r="AL767" s="364"/>
      <c r="AM767" s="1363"/>
      <c r="AN767" s="1363"/>
    </row>
    <row r="768" spans="1:40" ht="30.75" customHeight="1" outlineLevel="1">
      <c r="A768" s="1500"/>
      <c r="B768" s="1500"/>
      <c r="C768" s="1500"/>
      <c r="D768" s="1500"/>
      <c r="E768" s="1500"/>
      <c r="F768" s="1500"/>
      <c r="G768" s="1363"/>
      <c r="H768" s="1500"/>
      <c r="I768" s="1500"/>
      <c r="J768" s="1500"/>
      <c r="K768" s="1500"/>
      <c r="L768" s="1500"/>
      <c r="M768" s="1500"/>
      <c r="N768" s="1500"/>
      <c r="O768" s="1500"/>
      <c r="P768" s="1500"/>
      <c r="Q768" s="1500"/>
      <c r="R768" s="1500"/>
      <c r="S768" s="1500"/>
      <c r="T768" s="1363"/>
      <c r="U768" s="1363"/>
      <c r="V768" s="117"/>
      <c r="W768" s="117"/>
      <c r="X768" s="3077" t="s">
        <v>540</v>
      </c>
      <c r="Y768" s="684" t="s">
        <v>3795</v>
      </c>
      <c r="Z768" s="670">
        <v>4</v>
      </c>
      <c r="AA768" s="1548">
        <v>0</v>
      </c>
      <c r="AB768" s="1548">
        <f t="shared" si="9"/>
        <v>32</v>
      </c>
      <c r="AC768" s="1548">
        <v>8</v>
      </c>
      <c r="AD768" s="1548"/>
      <c r="AE768" s="1528"/>
      <c r="AF768" s="1539"/>
      <c r="AG768" s="1539"/>
      <c r="AH768" s="1539"/>
      <c r="AI768" s="1539"/>
      <c r="AJ768" s="668" t="s">
        <v>542</v>
      </c>
      <c r="AK768" s="1500"/>
      <c r="AL768" s="364"/>
      <c r="AM768" s="1363"/>
      <c r="AN768" s="1363"/>
    </row>
    <row r="769" spans="1:50" ht="14.25" customHeight="1" outlineLevel="1">
      <c r="A769" s="1500"/>
      <c r="B769" s="1500"/>
      <c r="C769" s="1500"/>
      <c r="D769" s="1500"/>
      <c r="E769" s="1500"/>
      <c r="F769" s="1500"/>
      <c r="G769" s="1363"/>
      <c r="H769" s="1500"/>
      <c r="I769" s="1500"/>
      <c r="J769" s="1500"/>
      <c r="K769" s="1500"/>
      <c r="L769" s="1500"/>
      <c r="M769" s="1500"/>
      <c r="N769" s="1500"/>
      <c r="O769" s="1500"/>
      <c r="P769" s="1500"/>
      <c r="Q769" s="1500"/>
      <c r="R769" s="1500"/>
      <c r="S769" s="1500"/>
      <c r="T769" s="1363"/>
      <c r="U769" s="1363"/>
      <c r="V769" s="117"/>
      <c r="W769" s="117"/>
      <c r="X769" s="3078" t="s">
        <v>543</v>
      </c>
      <c r="Y769" s="684" t="s">
        <v>3796</v>
      </c>
      <c r="Z769" s="670">
        <v>5</v>
      </c>
      <c r="AA769" s="1548">
        <v>0</v>
      </c>
      <c r="AB769" s="1548">
        <f t="shared" si="9"/>
        <v>40</v>
      </c>
      <c r="AC769" s="1548">
        <v>24</v>
      </c>
      <c r="AD769" s="1548"/>
      <c r="AE769" s="1528"/>
      <c r="AF769" s="1539"/>
      <c r="AG769" s="1539"/>
      <c r="AH769" s="1539"/>
      <c r="AI769" s="1539"/>
      <c r="AJ769" s="668" t="s">
        <v>545</v>
      </c>
      <c r="AK769" s="1500"/>
      <c r="AL769" s="364"/>
      <c r="AM769" s="1363"/>
      <c r="AN769" s="1363"/>
    </row>
    <row r="770" spans="1:50" s="1232" customFormat="1" ht="18" customHeight="1">
      <c r="A770" s="1233">
        <v>80</v>
      </c>
      <c r="B770" s="1233" t="s">
        <v>3788</v>
      </c>
      <c r="C770" s="1233" t="s">
        <v>3797</v>
      </c>
      <c r="D770" s="1233" t="s">
        <v>844</v>
      </c>
      <c r="E770" s="1233">
        <v>8</v>
      </c>
      <c r="F770" s="1233" t="s">
        <v>260</v>
      </c>
      <c r="G770" s="1234"/>
      <c r="H770" s="1233"/>
      <c r="I770" s="1233"/>
      <c r="J770" s="1233"/>
      <c r="K770" s="1233"/>
      <c r="L770" s="1233" t="s">
        <v>325</v>
      </c>
      <c r="M770" s="1233"/>
      <c r="N770" s="1233" t="s">
        <v>261</v>
      </c>
      <c r="O770" s="1233"/>
      <c r="P770" s="1233"/>
      <c r="Q770" s="1233"/>
      <c r="R770" s="1233"/>
      <c r="S770" s="1233"/>
      <c r="T770" s="1233"/>
      <c r="U770" s="1233"/>
      <c r="V770" s="1235"/>
      <c r="W770" s="1235"/>
      <c r="X770" s="1235" t="s">
        <v>3798</v>
      </c>
      <c r="Y770" s="1235"/>
      <c r="Z770" s="1233"/>
      <c r="AA770" s="1233"/>
      <c r="AB770" s="1238">
        <f t="shared" si="9"/>
        <v>0</v>
      </c>
      <c r="AC770" s="1233"/>
      <c r="AD770" s="1233"/>
      <c r="AE770" s="1244"/>
      <c r="AF770" s="1233"/>
      <c r="AG770" s="1233"/>
      <c r="AH770" s="1233"/>
      <c r="AI770" s="1233"/>
      <c r="AJ770" s="1233"/>
      <c r="AK770" s="1236"/>
      <c r="AL770" s="1237"/>
      <c r="AM770" s="1237"/>
      <c r="AN770" s="1237"/>
    </row>
    <row r="771" spans="1:50" ht="45.75" customHeight="1" outlineLevel="1">
      <c r="A771" s="1500"/>
      <c r="B771" s="1500"/>
      <c r="C771" s="1500"/>
      <c r="D771" s="1500"/>
      <c r="E771" s="1500"/>
      <c r="F771" s="1500"/>
      <c r="G771" s="1363"/>
      <c r="H771" s="1500"/>
      <c r="I771" s="1500"/>
      <c r="J771" s="1500"/>
      <c r="K771" s="1500"/>
      <c r="L771" s="1500"/>
      <c r="M771" s="1500"/>
      <c r="N771" s="1500"/>
      <c r="O771" s="1500"/>
      <c r="P771" s="1500"/>
      <c r="Q771" s="1500"/>
      <c r="R771" s="1500"/>
      <c r="S771" s="1500"/>
      <c r="T771" s="1363"/>
      <c r="U771" s="1363"/>
      <c r="V771" s="117"/>
      <c r="W771" s="117"/>
      <c r="X771" s="3079" t="s">
        <v>549</v>
      </c>
      <c r="Y771" s="484" t="s">
        <v>3799</v>
      </c>
      <c r="Z771" s="454">
        <v>0</v>
      </c>
      <c r="AA771" s="1512">
        <v>0</v>
      </c>
      <c r="AB771" s="1548">
        <f t="shared" si="9"/>
        <v>0</v>
      </c>
      <c r="AC771" s="1512">
        <v>8</v>
      </c>
      <c r="AD771" s="1527"/>
      <c r="AE771" s="1527" t="s">
        <v>551</v>
      </c>
      <c r="AF771" s="134"/>
      <c r="AG771" s="134"/>
      <c r="AH771" s="134"/>
      <c r="AI771" s="134"/>
      <c r="AJ771" s="179"/>
      <c r="AK771" s="1389"/>
      <c r="AL771" s="364"/>
      <c r="AM771" s="1363"/>
      <c r="AN771" s="1363"/>
    </row>
    <row r="772" spans="1:50" ht="75.75" customHeight="1" outlineLevel="1">
      <c r="A772" s="1500"/>
      <c r="B772" s="1500"/>
      <c r="C772" s="1500"/>
      <c r="D772" s="1500"/>
      <c r="E772" s="1500"/>
      <c r="F772" s="1500"/>
      <c r="G772" s="1363"/>
      <c r="H772" s="1500"/>
      <c r="I772" s="1500"/>
      <c r="J772" s="1500"/>
      <c r="K772" s="1500"/>
      <c r="L772" s="1500"/>
      <c r="M772" s="1500"/>
      <c r="N772" s="1500"/>
      <c r="O772" s="1500"/>
      <c r="P772" s="1500"/>
      <c r="Q772" s="1500"/>
      <c r="R772" s="1500"/>
      <c r="S772" s="1500"/>
      <c r="T772" s="1363"/>
      <c r="U772" s="1363"/>
      <c r="V772" s="117"/>
      <c r="W772" s="117"/>
      <c r="X772" s="3080" t="s">
        <v>552</v>
      </c>
      <c r="Y772" s="684" t="s">
        <v>3800</v>
      </c>
      <c r="Z772" s="670">
        <v>1</v>
      </c>
      <c r="AA772" s="1548">
        <v>0</v>
      </c>
      <c r="AB772" s="1548">
        <f t="shared" si="9"/>
        <v>8</v>
      </c>
      <c r="AC772" s="1548">
        <v>8</v>
      </c>
      <c r="AD772" s="1528"/>
      <c r="AE772" s="1528" t="s">
        <v>554</v>
      </c>
      <c r="AF772" s="646"/>
      <c r="AG772" s="646"/>
      <c r="AH772" s="646"/>
      <c r="AI772" s="646"/>
      <c r="AJ772" s="700"/>
      <c r="AK772" s="1389"/>
      <c r="AL772" s="364"/>
      <c r="AM772" s="1363"/>
      <c r="AN772" s="1363"/>
    </row>
    <row r="773" spans="1:50" ht="75.75" customHeight="1" outlineLevel="1">
      <c r="A773" s="1500"/>
      <c r="B773" s="1500"/>
      <c r="C773" s="1500"/>
      <c r="D773" s="1500"/>
      <c r="E773" s="1500"/>
      <c r="F773" s="1500"/>
      <c r="G773" s="1363"/>
      <c r="H773" s="1500"/>
      <c r="I773" s="1500"/>
      <c r="J773" s="1500"/>
      <c r="K773" s="1500"/>
      <c r="L773" s="1500"/>
      <c r="M773" s="1500"/>
      <c r="N773" s="1500"/>
      <c r="O773" s="1500"/>
      <c r="P773" s="1500"/>
      <c r="Q773" s="1500"/>
      <c r="R773" s="1500"/>
      <c r="S773" s="1500"/>
      <c r="T773" s="1363"/>
      <c r="U773" s="1363"/>
      <c r="V773" s="117"/>
      <c r="W773" s="117"/>
      <c r="X773" s="3081" t="s">
        <v>555</v>
      </c>
      <c r="Y773" s="684" t="s">
        <v>3801</v>
      </c>
      <c r="Z773" s="670">
        <v>2</v>
      </c>
      <c r="AA773" s="1548">
        <v>0</v>
      </c>
      <c r="AB773" s="1548">
        <f t="shared" si="9"/>
        <v>16</v>
      </c>
      <c r="AC773" s="1548">
        <v>8</v>
      </c>
      <c r="AD773" s="1528"/>
      <c r="AE773" s="1528" t="s">
        <v>557</v>
      </c>
      <c r="AF773" s="646"/>
      <c r="AG773" s="646"/>
      <c r="AH773" s="646"/>
      <c r="AI773" s="646"/>
      <c r="AJ773" s="700"/>
      <c r="AK773" s="1389"/>
      <c r="AL773" s="364"/>
      <c r="AM773" s="1363"/>
      <c r="AN773" s="1363"/>
    </row>
    <row r="774" spans="1:50" ht="75.75" customHeight="1" outlineLevel="1">
      <c r="A774" s="1500"/>
      <c r="B774" s="1500"/>
      <c r="C774" s="1500"/>
      <c r="D774" s="1500"/>
      <c r="E774" s="1500"/>
      <c r="F774" s="1500"/>
      <c r="G774" s="1363"/>
      <c r="H774" s="1500"/>
      <c r="I774" s="1500"/>
      <c r="J774" s="1500"/>
      <c r="K774" s="1500"/>
      <c r="L774" s="1500"/>
      <c r="M774" s="1500"/>
      <c r="N774" s="1500"/>
      <c r="O774" s="1500"/>
      <c r="P774" s="1500"/>
      <c r="Q774" s="1500"/>
      <c r="R774" s="1500"/>
      <c r="S774" s="1500"/>
      <c r="T774" s="1363"/>
      <c r="U774" s="1363"/>
      <c r="V774" s="117"/>
      <c r="W774" s="117"/>
      <c r="X774" s="3082" t="s">
        <v>558</v>
      </c>
      <c r="Y774" s="684" t="s">
        <v>3802</v>
      </c>
      <c r="Z774" s="670">
        <v>3</v>
      </c>
      <c r="AA774" s="1548">
        <v>0</v>
      </c>
      <c r="AB774" s="1548">
        <f t="shared" si="9"/>
        <v>24</v>
      </c>
      <c r="AC774" s="1548">
        <v>8</v>
      </c>
      <c r="AD774" s="1528"/>
      <c r="AE774" s="1528" t="s">
        <v>560</v>
      </c>
      <c r="AF774" s="646"/>
      <c r="AG774" s="646"/>
      <c r="AH774" s="646"/>
      <c r="AI774" s="646"/>
      <c r="AJ774" s="700"/>
      <c r="AK774" s="1389"/>
      <c r="AL774" s="364"/>
      <c r="AM774" s="1363"/>
      <c r="AN774" s="1363"/>
    </row>
    <row r="775" spans="1:50" ht="45.75" customHeight="1" outlineLevel="1">
      <c r="A775" s="1500"/>
      <c r="B775" s="1500"/>
      <c r="C775" s="1500"/>
      <c r="D775" s="1500"/>
      <c r="E775" s="1500"/>
      <c r="F775" s="1500"/>
      <c r="G775" s="1363"/>
      <c r="H775" s="1500"/>
      <c r="I775" s="1500"/>
      <c r="J775" s="1500"/>
      <c r="K775" s="1500"/>
      <c r="L775" s="1500"/>
      <c r="M775" s="1500"/>
      <c r="N775" s="1500"/>
      <c r="O775" s="1500"/>
      <c r="P775" s="1500"/>
      <c r="Q775" s="1500"/>
      <c r="R775" s="1500"/>
      <c r="S775" s="1500"/>
      <c r="T775" s="1363"/>
      <c r="U775" s="1363"/>
      <c r="V775" s="117"/>
      <c r="W775" s="117"/>
      <c r="X775" s="3083" t="s">
        <v>561</v>
      </c>
      <c r="Y775" s="684" t="s">
        <v>3803</v>
      </c>
      <c r="Z775" s="670">
        <v>4</v>
      </c>
      <c r="AA775" s="1548">
        <v>0</v>
      </c>
      <c r="AB775" s="1548">
        <f t="shared" si="9"/>
        <v>32</v>
      </c>
      <c r="AC775" s="1548">
        <v>8</v>
      </c>
      <c r="AD775" s="1528"/>
      <c r="AE775" s="1528" t="s">
        <v>563</v>
      </c>
      <c r="AF775" s="646"/>
      <c r="AG775" s="646"/>
      <c r="AH775" s="646"/>
      <c r="AI775" s="646"/>
      <c r="AJ775" s="700"/>
      <c r="AK775" s="1389"/>
      <c r="AL775" s="364"/>
      <c r="AM775" s="1363"/>
      <c r="AN775" s="1363"/>
    </row>
    <row r="776" spans="1:50" ht="75.75" customHeight="1" outlineLevel="1">
      <c r="A776" s="1500"/>
      <c r="B776" s="1500"/>
      <c r="C776" s="1500"/>
      <c r="D776" s="1500"/>
      <c r="E776" s="1500"/>
      <c r="F776" s="1500"/>
      <c r="G776" s="1363"/>
      <c r="H776" s="1500"/>
      <c r="I776" s="1500"/>
      <c r="J776" s="1500"/>
      <c r="K776" s="1500"/>
      <c r="L776" s="1500"/>
      <c r="M776" s="1500"/>
      <c r="N776" s="1500"/>
      <c r="O776" s="1500"/>
      <c r="P776" s="1500"/>
      <c r="Q776" s="1500"/>
      <c r="R776" s="1500"/>
      <c r="S776" s="1500"/>
      <c r="T776" s="1363"/>
      <c r="U776" s="1363"/>
      <c r="V776" s="117"/>
      <c r="W776" s="117"/>
      <c r="X776" s="3084" t="s">
        <v>564</v>
      </c>
      <c r="Y776" s="684" t="s">
        <v>3804</v>
      </c>
      <c r="Z776" s="670">
        <v>5</v>
      </c>
      <c r="AA776" s="1548">
        <v>0</v>
      </c>
      <c r="AB776" s="1548">
        <f t="shared" si="9"/>
        <v>40</v>
      </c>
      <c r="AC776" s="1548">
        <v>8</v>
      </c>
      <c r="AD776" s="1528"/>
      <c r="AE776" s="1528" t="s">
        <v>566</v>
      </c>
      <c r="AF776" s="646"/>
      <c r="AG776" s="646"/>
      <c r="AH776" s="646"/>
      <c r="AI776" s="646"/>
      <c r="AJ776" s="700"/>
      <c r="AK776" s="1389"/>
      <c r="AL776" s="364"/>
      <c r="AM776" s="1363"/>
      <c r="AN776" s="1363"/>
    </row>
    <row r="777" spans="1:50" ht="75.75" customHeight="1" outlineLevel="1">
      <c r="A777" s="1500"/>
      <c r="B777" s="1500"/>
      <c r="C777" s="1500"/>
      <c r="D777" s="1500"/>
      <c r="E777" s="1500"/>
      <c r="F777" s="1500"/>
      <c r="G777" s="1363"/>
      <c r="H777" s="1500"/>
      <c r="I777" s="1500"/>
      <c r="J777" s="1500"/>
      <c r="K777" s="1500"/>
      <c r="L777" s="1500"/>
      <c r="M777" s="1500"/>
      <c r="N777" s="1500"/>
      <c r="O777" s="1500"/>
      <c r="P777" s="1500"/>
      <c r="Q777" s="1500"/>
      <c r="R777" s="1500"/>
      <c r="S777" s="1500"/>
      <c r="T777" s="1363"/>
      <c r="U777" s="1363"/>
      <c r="V777" s="117"/>
      <c r="W777" s="117"/>
      <c r="X777" s="3085" t="s">
        <v>567</v>
      </c>
      <c r="Y777" s="684" t="s">
        <v>3805</v>
      </c>
      <c r="Z777" s="670">
        <v>6</v>
      </c>
      <c r="AA777" s="1548">
        <v>0</v>
      </c>
      <c r="AB777" s="1548">
        <f t="shared" si="9"/>
        <v>48</v>
      </c>
      <c r="AC777" s="1548">
        <v>8</v>
      </c>
      <c r="AD777" s="1528"/>
      <c r="AE777" s="1528" t="s">
        <v>569</v>
      </c>
      <c r="AF777" s="646"/>
      <c r="AG777" s="646"/>
      <c r="AH777" s="646"/>
      <c r="AI777" s="646"/>
      <c r="AJ777" s="700"/>
      <c r="AK777" s="1389"/>
      <c r="AL777" s="364"/>
      <c r="AM777" s="1363"/>
      <c r="AN777" s="1363"/>
    </row>
    <row r="778" spans="1:50" ht="14.25" customHeight="1" outlineLevel="1">
      <c r="A778" s="1500"/>
      <c r="B778" s="1500"/>
      <c r="C778" s="1500"/>
      <c r="D778" s="1500"/>
      <c r="E778" s="1500"/>
      <c r="F778" s="1500"/>
      <c r="G778" s="1363"/>
      <c r="H778" s="1500"/>
      <c r="I778" s="1500"/>
      <c r="J778" s="1500"/>
      <c r="K778" s="1500"/>
      <c r="L778" s="1500"/>
      <c r="M778" s="1500"/>
      <c r="N778" s="1500"/>
      <c r="O778" s="1500"/>
      <c r="P778" s="1500"/>
      <c r="Q778" s="1500"/>
      <c r="R778" s="1500"/>
      <c r="S778" s="1500"/>
      <c r="T778" s="1363"/>
      <c r="U778" s="1363"/>
      <c r="V778" s="117"/>
      <c r="W778" s="117"/>
      <c r="X778" s="3086" t="s">
        <v>570</v>
      </c>
      <c r="Y778" s="684" t="s">
        <v>3806</v>
      </c>
      <c r="Z778" s="670">
        <v>7</v>
      </c>
      <c r="AA778" s="1548">
        <v>0</v>
      </c>
      <c r="AB778" s="1548">
        <f t="shared" si="9"/>
        <v>56</v>
      </c>
      <c r="AC778" s="1548">
        <v>8</v>
      </c>
      <c r="AD778" s="1528"/>
      <c r="AE778" s="1528" t="s">
        <v>572</v>
      </c>
      <c r="AF778" s="646"/>
      <c r="AG778" s="646"/>
      <c r="AH778" s="646"/>
      <c r="AI778" s="646"/>
      <c r="AJ778" s="700"/>
      <c r="AK778" s="1389"/>
      <c r="AL778" s="364"/>
      <c r="AM778" s="1363"/>
      <c r="AN778" s="1363"/>
    </row>
    <row r="779" spans="1:50" s="1232" customFormat="1" ht="18" customHeight="1">
      <c r="A779" s="1233">
        <v>81</v>
      </c>
      <c r="B779" s="1233" t="s">
        <v>3788</v>
      </c>
      <c r="C779" s="1233" t="s">
        <v>3807</v>
      </c>
      <c r="D779" s="1233" t="s">
        <v>844</v>
      </c>
      <c r="E779" s="1233">
        <v>8</v>
      </c>
      <c r="F779" s="1233" t="s">
        <v>260</v>
      </c>
      <c r="G779" s="1234"/>
      <c r="H779" s="1233"/>
      <c r="I779" s="1233"/>
      <c r="J779" s="1233"/>
      <c r="K779" s="1233"/>
      <c r="L779" s="1233" t="s">
        <v>325</v>
      </c>
      <c r="M779" s="1233"/>
      <c r="N779" s="1233" t="s">
        <v>261</v>
      </c>
      <c r="O779" s="1233"/>
      <c r="P779" s="1233"/>
      <c r="Q779" s="1233"/>
      <c r="R779" s="1233"/>
      <c r="S779" s="1233"/>
      <c r="T779" s="1233"/>
      <c r="U779" s="1233"/>
      <c r="V779" s="1235"/>
      <c r="W779" s="1235"/>
      <c r="X779" s="1235" t="s">
        <v>3808</v>
      </c>
      <c r="Y779" s="1235"/>
      <c r="Z779" s="1233"/>
      <c r="AA779" s="1233"/>
      <c r="AB779" s="1238">
        <f t="shared" si="9"/>
        <v>0</v>
      </c>
      <c r="AC779" s="1233"/>
      <c r="AD779" s="1233"/>
      <c r="AE779" s="1244"/>
      <c r="AF779" s="1233"/>
      <c r="AG779" s="1233"/>
      <c r="AH779" s="1233"/>
      <c r="AI779" s="1233"/>
      <c r="AJ779" s="1233"/>
      <c r="AK779" s="1236"/>
      <c r="AL779" s="1237"/>
      <c r="AM779" s="1237"/>
      <c r="AN779" s="1237"/>
      <c r="AO779" s="1245"/>
      <c r="AP779" s="1245"/>
      <c r="AQ779" s="1245"/>
      <c r="AR779" s="1245"/>
      <c r="AS779" s="1245"/>
      <c r="AT779" s="1245"/>
      <c r="AU779" s="1245"/>
      <c r="AV779" s="1245"/>
      <c r="AW779" s="1245"/>
      <c r="AX779" s="1245"/>
    </row>
    <row r="780" spans="1:50" ht="45.75" customHeight="1" outlineLevel="1">
      <c r="A780" s="1500"/>
      <c r="B780" s="1500"/>
      <c r="C780" s="1500"/>
      <c r="D780" s="1500"/>
      <c r="E780" s="1500"/>
      <c r="F780" s="1500"/>
      <c r="G780" s="1363"/>
      <c r="H780" s="1500"/>
      <c r="I780" s="1500"/>
      <c r="J780" s="1500"/>
      <c r="K780" s="1500"/>
      <c r="L780" s="1500"/>
      <c r="M780" s="1500"/>
      <c r="N780" s="1500"/>
      <c r="O780" s="1500"/>
      <c r="P780" s="1500"/>
      <c r="Q780" s="1500"/>
      <c r="R780" s="1500"/>
      <c r="S780" s="1500"/>
      <c r="T780" s="1363"/>
      <c r="U780" s="1363"/>
      <c r="V780" s="117"/>
      <c r="W780" s="117"/>
      <c r="X780" s="3087" t="s">
        <v>576</v>
      </c>
      <c r="Y780" s="454" t="s">
        <v>3809</v>
      </c>
      <c r="Z780" s="454">
        <v>0</v>
      </c>
      <c r="AA780" s="1512">
        <v>0</v>
      </c>
      <c r="AB780" s="1548">
        <f t="shared" si="9"/>
        <v>0</v>
      </c>
      <c r="AC780" s="1512">
        <v>8</v>
      </c>
      <c r="AD780" s="1512"/>
      <c r="AE780" s="1527" t="s">
        <v>578</v>
      </c>
      <c r="AF780" s="1538"/>
      <c r="AG780" s="1538"/>
      <c r="AH780" s="1538"/>
      <c r="AI780" s="1538"/>
      <c r="AJ780" s="156"/>
      <c r="AK780" s="1500"/>
      <c r="AL780" s="364"/>
      <c r="AM780" s="1363"/>
      <c r="AN780" s="1363"/>
    </row>
    <row r="781" spans="1:50" ht="75.75" customHeight="1" outlineLevel="1">
      <c r="A781" s="1500"/>
      <c r="B781" s="1500"/>
      <c r="C781" s="1500"/>
      <c r="D781" s="1500"/>
      <c r="E781" s="1500"/>
      <c r="F781" s="1500"/>
      <c r="G781" s="1363"/>
      <c r="H781" s="1500"/>
      <c r="I781" s="1500"/>
      <c r="J781" s="1500"/>
      <c r="K781" s="1500"/>
      <c r="L781" s="1500"/>
      <c r="M781" s="1500"/>
      <c r="N781" s="1500"/>
      <c r="O781" s="1500"/>
      <c r="P781" s="1500"/>
      <c r="Q781" s="1500"/>
      <c r="R781" s="1500"/>
      <c r="S781" s="1500"/>
      <c r="T781" s="1363"/>
      <c r="U781" s="1363"/>
      <c r="V781" s="117"/>
      <c r="W781" s="117"/>
      <c r="X781" s="3088" t="s">
        <v>579</v>
      </c>
      <c r="Y781" s="454" t="s">
        <v>3810</v>
      </c>
      <c r="Z781" s="670">
        <v>1</v>
      </c>
      <c r="AA781" s="1548">
        <v>0</v>
      </c>
      <c r="AB781" s="1548">
        <f t="shared" si="9"/>
        <v>8</v>
      </c>
      <c r="AC781" s="1548">
        <v>8</v>
      </c>
      <c r="AD781" s="1548"/>
      <c r="AE781" s="1528" t="s">
        <v>554</v>
      </c>
      <c r="AF781" s="1539"/>
      <c r="AG781" s="1539"/>
      <c r="AH781" s="1539"/>
      <c r="AI781" s="1539"/>
      <c r="AJ781" s="668"/>
      <c r="AK781" s="1500"/>
      <c r="AL781" s="364"/>
      <c r="AM781" s="1363"/>
      <c r="AN781" s="1363"/>
    </row>
    <row r="782" spans="1:50" ht="75.75" customHeight="1" outlineLevel="1">
      <c r="A782" s="1500"/>
      <c r="B782" s="1500"/>
      <c r="C782" s="1500"/>
      <c r="D782" s="1500"/>
      <c r="E782" s="1500"/>
      <c r="F782" s="1500"/>
      <c r="G782" s="1363"/>
      <c r="H782" s="1500"/>
      <c r="I782" s="1500"/>
      <c r="J782" s="1500"/>
      <c r="K782" s="1500"/>
      <c r="L782" s="1500"/>
      <c r="M782" s="1500"/>
      <c r="N782" s="1500"/>
      <c r="O782" s="1500"/>
      <c r="P782" s="1500"/>
      <c r="Q782" s="1500"/>
      <c r="R782" s="1500"/>
      <c r="S782" s="1500"/>
      <c r="T782" s="1363"/>
      <c r="U782" s="1363"/>
      <c r="V782" s="117"/>
      <c r="W782" s="117"/>
      <c r="X782" s="3089" t="s">
        <v>581</v>
      </c>
      <c r="Y782" s="454" t="s">
        <v>3811</v>
      </c>
      <c r="Z782" s="670">
        <v>2</v>
      </c>
      <c r="AA782" s="1548">
        <v>0</v>
      </c>
      <c r="AB782" s="1548">
        <f t="shared" si="9"/>
        <v>16</v>
      </c>
      <c r="AC782" s="1548">
        <v>8</v>
      </c>
      <c r="AD782" s="1548"/>
      <c r="AE782" s="1528" t="s">
        <v>557</v>
      </c>
      <c r="AF782" s="1539"/>
      <c r="AG782" s="1539"/>
      <c r="AH782" s="1539"/>
      <c r="AI782" s="1539"/>
      <c r="AJ782" s="668"/>
      <c r="AK782" s="1500"/>
      <c r="AL782" s="364"/>
      <c r="AM782" s="1363"/>
      <c r="AN782" s="1363"/>
    </row>
    <row r="783" spans="1:50" ht="14.25" customHeight="1" outlineLevel="1">
      <c r="A783" s="1500"/>
      <c r="B783" s="1500"/>
      <c r="C783" s="1500"/>
      <c r="D783" s="1500"/>
      <c r="E783" s="1500"/>
      <c r="F783" s="1500"/>
      <c r="G783" s="1363"/>
      <c r="H783" s="1500"/>
      <c r="I783" s="1500"/>
      <c r="J783" s="1500"/>
      <c r="K783" s="1500"/>
      <c r="L783" s="1500"/>
      <c r="M783" s="1500"/>
      <c r="N783" s="1500"/>
      <c r="O783" s="1500"/>
      <c r="P783" s="1500"/>
      <c r="Q783" s="1500"/>
      <c r="R783" s="1500"/>
      <c r="S783" s="1500"/>
      <c r="T783" s="1363"/>
      <c r="U783" s="1363"/>
      <c r="V783" s="117"/>
      <c r="W783" s="117"/>
      <c r="X783" s="3090" t="s">
        <v>583</v>
      </c>
      <c r="Y783" s="454" t="s">
        <v>3812</v>
      </c>
      <c r="Z783" s="670">
        <v>3</v>
      </c>
      <c r="AA783" s="1548">
        <v>0</v>
      </c>
      <c r="AB783" s="1548">
        <f t="shared" si="9"/>
        <v>24</v>
      </c>
      <c r="AC783" s="1548">
        <v>8</v>
      </c>
      <c r="AD783" s="1548"/>
      <c r="AE783" s="1528" t="s">
        <v>560</v>
      </c>
      <c r="AF783" s="1539"/>
      <c r="AG783" s="1539"/>
      <c r="AH783" s="1539"/>
      <c r="AI783" s="1539"/>
      <c r="AJ783" s="668"/>
      <c r="AK783" s="1500"/>
      <c r="AL783" s="364"/>
      <c r="AM783" s="1363"/>
      <c r="AN783" s="1363"/>
    </row>
    <row r="784" spans="1:50" s="1232" customFormat="1" ht="18" customHeight="1">
      <c r="A784" s="1233">
        <v>82</v>
      </c>
      <c r="B784" s="1233" t="s">
        <v>3788</v>
      </c>
      <c r="C784" s="1233" t="s">
        <v>3813</v>
      </c>
      <c r="D784" s="1233" t="s">
        <v>617</v>
      </c>
      <c r="E784" s="1233">
        <v>8</v>
      </c>
      <c r="F784" s="1233" t="s">
        <v>260</v>
      </c>
      <c r="G784" s="1234"/>
      <c r="H784" s="1233"/>
      <c r="I784" s="1233"/>
      <c r="J784" s="1233"/>
      <c r="K784" s="1233"/>
      <c r="L784" s="1233" t="s">
        <v>325</v>
      </c>
      <c r="M784" s="1233"/>
      <c r="N784" s="1233" t="s">
        <v>261</v>
      </c>
      <c r="O784" s="1233"/>
      <c r="P784" s="1233"/>
      <c r="Q784" s="1233"/>
      <c r="R784" s="1233"/>
      <c r="S784" s="1233"/>
      <c r="T784" s="1233"/>
      <c r="U784" s="1233"/>
      <c r="V784" s="1235"/>
      <c r="W784" s="1235"/>
      <c r="X784" s="1235" t="s">
        <v>974</v>
      </c>
      <c r="Y784" s="1235"/>
      <c r="Z784" s="1233"/>
      <c r="AA784" s="1233"/>
      <c r="AB784" s="1238">
        <f t="shared" si="9"/>
        <v>0</v>
      </c>
      <c r="AC784" s="1233"/>
      <c r="AD784" s="1233"/>
      <c r="AE784" s="1244"/>
      <c r="AF784" s="1233"/>
      <c r="AG784" s="1233"/>
      <c r="AH784" s="1233"/>
      <c r="AI784" s="1233"/>
      <c r="AJ784" s="1233"/>
      <c r="AK784" s="1236"/>
      <c r="AL784" s="1237"/>
      <c r="AM784" s="1237"/>
      <c r="AN784" s="1237"/>
      <c r="AO784" s="1245"/>
      <c r="AP784" s="1245"/>
      <c r="AQ784" s="1245"/>
      <c r="AR784" s="1245"/>
      <c r="AS784" s="1245"/>
      <c r="AT784" s="1245"/>
      <c r="AU784" s="1245"/>
      <c r="AV784" s="1245"/>
      <c r="AW784" s="1245"/>
      <c r="AX784" s="1245"/>
    </row>
    <row r="785" spans="1:50" ht="14.25" customHeight="1" outlineLevel="1">
      <c r="A785" s="1363"/>
      <c r="B785" s="1363"/>
      <c r="C785" s="1363"/>
      <c r="D785" s="1363"/>
      <c r="E785" s="1363"/>
      <c r="F785" s="1363"/>
      <c r="G785" s="1363"/>
      <c r="H785" s="1500"/>
      <c r="I785" s="1500"/>
      <c r="J785" s="1500"/>
      <c r="K785" s="1500"/>
      <c r="L785" s="1500"/>
      <c r="M785" s="1500"/>
      <c r="N785" s="1500"/>
      <c r="O785" s="1500"/>
      <c r="P785" s="1500"/>
      <c r="Q785" s="1500"/>
      <c r="R785" s="1500"/>
      <c r="S785" s="1500"/>
      <c r="T785" s="1500"/>
      <c r="U785" s="1363"/>
      <c r="V785" s="117"/>
      <c r="W785" s="117"/>
      <c r="X785" s="1538" t="s">
        <v>619</v>
      </c>
      <c r="Y785" s="484"/>
      <c r="Z785" s="454"/>
      <c r="AA785" s="1512"/>
      <c r="AB785" s="1548">
        <f t="shared" si="9"/>
        <v>0</v>
      </c>
      <c r="AC785" s="1512"/>
      <c r="AD785" s="1527"/>
      <c r="AE785" s="1527"/>
      <c r="AF785" s="1527"/>
      <c r="AG785" s="1527"/>
      <c r="AH785" s="1527"/>
      <c r="AI785" s="1527"/>
      <c r="AJ785" s="180"/>
      <c r="AK785" s="1363"/>
      <c r="AL785" s="364"/>
      <c r="AM785" s="1363"/>
      <c r="AN785" s="1363"/>
    </row>
    <row r="786" spans="1:50" s="1232" customFormat="1" ht="18" customHeight="1">
      <c r="A786" s="1233">
        <v>83</v>
      </c>
      <c r="B786" s="1233" t="s">
        <v>3814</v>
      </c>
      <c r="C786" s="1233" t="s">
        <v>3815</v>
      </c>
      <c r="D786" s="1233" t="s">
        <v>617</v>
      </c>
      <c r="E786" s="1233">
        <v>8</v>
      </c>
      <c r="F786" s="1233" t="s">
        <v>260</v>
      </c>
      <c r="G786" s="1234"/>
      <c r="H786" s="1233"/>
      <c r="I786" s="1233"/>
      <c r="J786" s="1233"/>
      <c r="K786" s="1233"/>
      <c r="L786" s="1233" t="s">
        <v>261</v>
      </c>
      <c r="M786" s="1233"/>
      <c r="N786" s="1233" t="s">
        <v>325</v>
      </c>
      <c r="O786" s="1233"/>
      <c r="P786" s="1233"/>
      <c r="Q786" s="1233"/>
      <c r="R786" s="1233"/>
      <c r="S786" s="1233"/>
      <c r="T786" s="1233"/>
      <c r="U786" s="1233"/>
      <c r="V786" s="1235"/>
      <c r="W786" s="1235"/>
      <c r="X786" s="1235" t="s">
        <v>976</v>
      </c>
      <c r="Y786" s="1235"/>
      <c r="Z786" s="1233"/>
      <c r="AA786" s="1233"/>
      <c r="AB786" s="1238">
        <f t="shared" si="9"/>
        <v>0</v>
      </c>
      <c r="AC786" s="1233"/>
      <c r="AD786" s="1233"/>
      <c r="AE786" s="1244"/>
      <c r="AF786" s="1233"/>
      <c r="AG786" s="1233"/>
      <c r="AH786" s="1233"/>
      <c r="AI786" s="1233"/>
      <c r="AJ786" s="1233"/>
      <c r="AK786" s="1236"/>
      <c r="AL786" s="1237"/>
      <c r="AM786" s="1237"/>
      <c r="AN786" s="1237"/>
      <c r="AO786" s="1245"/>
      <c r="AP786" s="1245"/>
      <c r="AQ786" s="1245"/>
      <c r="AR786" s="1245"/>
      <c r="AS786" s="1245"/>
      <c r="AT786" s="1245"/>
      <c r="AU786" s="1245"/>
      <c r="AV786" s="1245"/>
      <c r="AW786" s="1245"/>
      <c r="AX786" s="1245"/>
    </row>
    <row r="787" spans="1:50" ht="14.25" customHeight="1" outlineLevel="1">
      <c r="A787" s="1363"/>
      <c r="B787" s="1363"/>
      <c r="C787" s="1363"/>
      <c r="D787" s="1363"/>
      <c r="E787" s="1363"/>
      <c r="F787" s="1363"/>
      <c r="G787" s="1363"/>
      <c r="H787" s="1363"/>
      <c r="I787" s="1363"/>
      <c r="J787" s="1500"/>
      <c r="K787" s="1500"/>
      <c r="L787" s="1500"/>
      <c r="M787" s="1500"/>
      <c r="N787" s="1500"/>
      <c r="O787" s="1500"/>
      <c r="P787" s="1500"/>
      <c r="Q787" s="1363"/>
      <c r="R787" s="1363"/>
      <c r="S787" s="1363"/>
      <c r="T787" s="1363"/>
      <c r="U787" s="1363"/>
      <c r="V787" s="117"/>
      <c r="W787" s="117"/>
      <c r="X787" s="1538" t="s">
        <v>619</v>
      </c>
      <c r="Y787" s="484"/>
      <c r="Z787" s="454"/>
      <c r="AA787" s="1512"/>
      <c r="AB787" s="1548">
        <f t="shared" si="9"/>
        <v>0</v>
      </c>
      <c r="AC787" s="1512"/>
      <c r="AD787" s="1527"/>
      <c r="AE787" s="1527"/>
      <c r="AF787" s="1527"/>
      <c r="AG787" s="1527"/>
      <c r="AH787" s="1527"/>
      <c r="AI787" s="1527"/>
      <c r="AJ787" s="180"/>
      <c r="AK787" s="1363"/>
      <c r="AL787" s="364"/>
      <c r="AM787" s="1363"/>
      <c r="AN787" s="1363"/>
    </row>
    <row r="788" spans="1:50" s="1232" customFormat="1" ht="18" customHeight="1">
      <c r="A788" s="1233">
        <v>84</v>
      </c>
      <c r="B788" s="1233" t="s">
        <v>3816</v>
      </c>
      <c r="C788" s="1233" t="s">
        <v>3817</v>
      </c>
      <c r="D788" s="1233" t="s">
        <v>844</v>
      </c>
      <c r="E788" s="1233">
        <v>8</v>
      </c>
      <c r="F788" s="1233" t="s">
        <v>260</v>
      </c>
      <c r="G788" s="1234"/>
      <c r="H788" s="1233"/>
      <c r="I788" s="1233"/>
      <c r="J788" s="1233"/>
      <c r="K788" s="1233"/>
      <c r="L788" s="1233" t="s">
        <v>325</v>
      </c>
      <c r="M788" s="1233"/>
      <c r="N788" s="1233" t="s">
        <v>261</v>
      </c>
      <c r="O788" s="1233"/>
      <c r="P788" s="1233"/>
      <c r="Q788" s="1233"/>
      <c r="R788" s="1233"/>
      <c r="S788" s="1233"/>
      <c r="T788" s="1233"/>
      <c r="U788" s="1233"/>
      <c r="V788" s="1235"/>
      <c r="W788" s="1235"/>
      <c r="X788" s="1235" t="s">
        <v>3818</v>
      </c>
      <c r="Y788" s="1235"/>
      <c r="Z788" s="1233"/>
      <c r="AA788" s="1233"/>
      <c r="AB788" s="1238">
        <f t="shared" si="9"/>
        <v>0</v>
      </c>
      <c r="AC788" s="1233"/>
      <c r="AD788" s="1233"/>
      <c r="AE788" s="1244"/>
      <c r="AF788" s="1233"/>
      <c r="AG788" s="1233"/>
      <c r="AH788" s="1233"/>
      <c r="AI788" s="1233"/>
      <c r="AJ788" s="1233"/>
      <c r="AK788" s="1236"/>
      <c r="AL788" s="1237"/>
      <c r="AM788" s="1237"/>
      <c r="AN788" s="1237"/>
      <c r="AO788" s="1245"/>
      <c r="AP788" s="1245"/>
      <c r="AQ788" s="1245"/>
      <c r="AR788" s="1245"/>
      <c r="AS788" s="1245"/>
      <c r="AT788" s="1245"/>
      <c r="AU788" s="1245"/>
      <c r="AV788" s="1245"/>
      <c r="AW788" s="1245"/>
      <c r="AX788" s="1245"/>
    </row>
    <row r="789" spans="1:50" ht="30.75" customHeight="1" outlineLevel="1">
      <c r="A789" s="1500"/>
      <c r="B789" s="1500"/>
      <c r="C789" s="1500"/>
      <c r="D789" s="1500"/>
      <c r="E789" s="1500"/>
      <c r="F789" s="1500"/>
      <c r="G789" s="1363"/>
      <c r="H789" s="1500"/>
      <c r="I789" s="1500"/>
      <c r="J789" s="1500"/>
      <c r="K789" s="1500"/>
      <c r="L789" s="1500"/>
      <c r="M789" s="1500"/>
      <c r="N789" s="1500"/>
      <c r="O789" s="1500"/>
      <c r="P789" s="1500"/>
      <c r="Q789" s="1363"/>
      <c r="R789" s="1363"/>
      <c r="S789" s="1363"/>
      <c r="T789" s="1363"/>
      <c r="U789" s="1363"/>
      <c r="V789" s="117"/>
      <c r="W789" s="117"/>
      <c r="X789" s="3091" t="s">
        <v>532</v>
      </c>
      <c r="Y789" s="484" t="s">
        <v>3819</v>
      </c>
      <c r="Z789" s="454">
        <v>0</v>
      </c>
      <c r="AA789" s="1512">
        <v>0</v>
      </c>
      <c r="AB789" s="1548">
        <f t="shared" si="9"/>
        <v>0</v>
      </c>
      <c r="AC789" s="1512">
        <v>16</v>
      </c>
      <c r="AD789" s="1512"/>
      <c r="AE789" s="1527"/>
      <c r="AF789" s="1538"/>
      <c r="AG789" s="1538"/>
      <c r="AH789" s="1538"/>
      <c r="AI789" s="1538"/>
      <c r="AJ789" s="156"/>
      <c r="AK789" s="1500"/>
      <c r="AL789" s="364"/>
      <c r="AM789" s="1363"/>
      <c r="AN789" s="1363"/>
    </row>
    <row r="790" spans="1:50" ht="30.75" customHeight="1" outlineLevel="1">
      <c r="A790" s="1500"/>
      <c r="B790" s="1500"/>
      <c r="C790" s="1500"/>
      <c r="D790" s="1500"/>
      <c r="E790" s="1500"/>
      <c r="F790" s="1500"/>
      <c r="G790" s="1363"/>
      <c r="H790" s="1500"/>
      <c r="I790" s="1500"/>
      <c r="J790" s="1500"/>
      <c r="K790" s="1500"/>
      <c r="L790" s="1500"/>
      <c r="M790" s="1500"/>
      <c r="N790" s="1500"/>
      <c r="O790" s="1500"/>
      <c r="P790" s="1500"/>
      <c r="Q790" s="1363"/>
      <c r="R790" s="1363"/>
      <c r="S790" s="1363"/>
      <c r="T790" s="1363"/>
      <c r="U790" s="1363"/>
      <c r="V790" s="117"/>
      <c r="W790" s="117"/>
      <c r="X790" s="3092" t="s">
        <v>534</v>
      </c>
      <c r="Y790" s="684" t="s">
        <v>3820</v>
      </c>
      <c r="Z790" s="670">
        <v>2</v>
      </c>
      <c r="AA790" s="1548">
        <v>0</v>
      </c>
      <c r="AB790" s="1548">
        <f t="shared" si="9"/>
        <v>16</v>
      </c>
      <c r="AC790" s="1548">
        <v>8</v>
      </c>
      <c r="AD790" s="1548"/>
      <c r="AE790" s="1528"/>
      <c r="AF790" s="1539"/>
      <c r="AG790" s="1539"/>
      <c r="AH790" s="1539"/>
      <c r="AI790" s="1539"/>
      <c r="AJ790" s="668" t="s">
        <v>536</v>
      </c>
      <c r="AK790" s="1500"/>
      <c r="AL790" s="364"/>
      <c r="AM790" s="1363"/>
      <c r="AN790" s="1363"/>
    </row>
    <row r="791" spans="1:50" ht="45.75" customHeight="1" outlineLevel="1">
      <c r="A791" s="1500"/>
      <c r="B791" s="1500"/>
      <c r="C791" s="1500"/>
      <c r="D791" s="1500"/>
      <c r="E791" s="1500"/>
      <c r="F791" s="1500"/>
      <c r="G791" s="1363"/>
      <c r="H791" s="1500"/>
      <c r="I791" s="1500"/>
      <c r="J791" s="1500"/>
      <c r="K791" s="1500"/>
      <c r="L791" s="1500"/>
      <c r="M791" s="1500"/>
      <c r="N791" s="1500"/>
      <c r="O791" s="1500"/>
      <c r="P791" s="1500"/>
      <c r="Q791" s="1363"/>
      <c r="R791" s="1363"/>
      <c r="S791" s="1363"/>
      <c r="T791" s="1363"/>
      <c r="U791" s="1363"/>
      <c r="V791" s="117"/>
      <c r="W791" s="117"/>
      <c r="X791" s="3093" t="s">
        <v>537</v>
      </c>
      <c r="Y791" s="684" t="s">
        <v>3821</v>
      </c>
      <c r="Z791" s="670">
        <v>3</v>
      </c>
      <c r="AA791" s="1548">
        <v>0</v>
      </c>
      <c r="AB791" s="1548">
        <f t="shared" si="9"/>
        <v>24</v>
      </c>
      <c r="AC791" s="1548">
        <v>8</v>
      </c>
      <c r="AD791" s="1548"/>
      <c r="AE791" s="1528"/>
      <c r="AF791" s="1539"/>
      <c r="AG791" s="1539"/>
      <c r="AH791" s="1539"/>
      <c r="AI791" s="1539"/>
      <c r="AJ791" s="668" t="s">
        <v>539</v>
      </c>
      <c r="AK791" s="1500"/>
      <c r="AL791" s="364"/>
      <c r="AM791" s="1363"/>
      <c r="AN791" s="1363"/>
    </row>
    <row r="792" spans="1:50" ht="30.75" customHeight="1" outlineLevel="1">
      <c r="A792" s="1500"/>
      <c r="B792" s="1500"/>
      <c r="C792" s="1500"/>
      <c r="D792" s="1500"/>
      <c r="E792" s="1500"/>
      <c r="F792" s="1500"/>
      <c r="G792" s="1363"/>
      <c r="H792" s="1500"/>
      <c r="I792" s="1500"/>
      <c r="J792" s="1500"/>
      <c r="K792" s="1500"/>
      <c r="L792" s="1500"/>
      <c r="M792" s="1500"/>
      <c r="N792" s="1500"/>
      <c r="O792" s="1500"/>
      <c r="P792" s="1500"/>
      <c r="Q792" s="1363"/>
      <c r="R792" s="1363"/>
      <c r="S792" s="1363"/>
      <c r="T792" s="1363"/>
      <c r="U792" s="1363"/>
      <c r="V792" s="117"/>
      <c r="W792" s="117"/>
      <c r="X792" s="3094" t="s">
        <v>540</v>
      </c>
      <c r="Y792" s="684" t="s">
        <v>3822</v>
      </c>
      <c r="Z792" s="670">
        <v>4</v>
      </c>
      <c r="AA792" s="1548">
        <v>0</v>
      </c>
      <c r="AB792" s="1548">
        <f t="shared" ref="AB792:AB823" si="10">Z792*8+AA792</f>
        <v>32</v>
      </c>
      <c r="AC792" s="1548">
        <v>8</v>
      </c>
      <c r="AD792" s="1548"/>
      <c r="AE792" s="1528"/>
      <c r="AF792" s="1539"/>
      <c r="AG792" s="1539"/>
      <c r="AH792" s="1539"/>
      <c r="AI792" s="1539"/>
      <c r="AJ792" s="668" t="s">
        <v>542</v>
      </c>
      <c r="AK792" s="1500"/>
      <c r="AL792" s="364"/>
      <c r="AM792" s="1363"/>
      <c r="AN792" s="1363"/>
    </row>
    <row r="793" spans="1:50" ht="14.25" customHeight="1" outlineLevel="1">
      <c r="A793" s="1500"/>
      <c r="B793" s="1500"/>
      <c r="C793" s="1500"/>
      <c r="D793" s="1500"/>
      <c r="E793" s="1500"/>
      <c r="F793" s="1500"/>
      <c r="G793" s="1363"/>
      <c r="H793" s="1500"/>
      <c r="I793" s="1500"/>
      <c r="J793" s="1500"/>
      <c r="K793" s="1500"/>
      <c r="L793" s="1500"/>
      <c r="M793" s="1500"/>
      <c r="N793" s="1500"/>
      <c r="O793" s="1500"/>
      <c r="P793" s="1500"/>
      <c r="Q793" s="1363"/>
      <c r="R793" s="1363"/>
      <c r="S793" s="1363"/>
      <c r="T793" s="1363"/>
      <c r="U793" s="1363"/>
      <c r="V793" s="117"/>
      <c r="W793" s="117"/>
      <c r="X793" s="3095" t="s">
        <v>543</v>
      </c>
      <c r="Y793" s="684" t="s">
        <v>3823</v>
      </c>
      <c r="Z793" s="670">
        <v>5</v>
      </c>
      <c r="AA793" s="1548">
        <v>0</v>
      </c>
      <c r="AB793" s="1548">
        <f t="shared" si="10"/>
        <v>40</v>
      </c>
      <c r="AC793" s="1548">
        <v>24</v>
      </c>
      <c r="AD793" s="1548"/>
      <c r="AE793" s="1528"/>
      <c r="AF793" s="1539"/>
      <c r="AG793" s="1539"/>
      <c r="AH793" s="1539"/>
      <c r="AI793" s="1539"/>
      <c r="AJ793" s="668" t="s">
        <v>545</v>
      </c>
      <c r="AK793" s="1500"/>
      <c r="AL793" s="364"/>
      <c r="AM793" s="1363"/>
      <c r="AN793" s="1363"/>
    </row>
    <row r="794" spans="1:50" s="1232" customFormat="1" ht="18" customHeight="1">
      <c r="A794" s="1233">
        <v>85</v>
      </c>
      <c r="B794" s="1233" t="s">
        <v>3816</v>
      </c>
      <c r="C794" s="1233" t="s">
        <v>3824</v>
      </c>
      <c r="D794" s="1233" t="s">
        <v>844</v>
      </c>
      <c r="E794" s="1233">
        <v>8</v>
      </c>
      <c r="F794" s="1233" t="s">
        <v>260</v>
      </c>
      <c r="G794" s="1234"/>
      <c r="H794" s="1233"/>
      <c r="I794" s="1233"/>
      <c r="J794" s="1233"/>
      <c r="K794" s="1233"/>
      <c r="L794" s="1233" t="s">
        <v>325</v>
      </c>
      <c r="M794" s="1233"/>
      <c r="N794" s="1233" t="s">
        <v>261</v>
      </c>
      <c r="O794" s="1233"/>
      <c r="P794" s="1233"/>
      <c r="Q794" s="1233"/>
      <c r="R794" s="1233"/>
      <c r="S794" s="1233"/>
      <c r="T794" s="1233"/>
      <c r="U794" s="1233"/>
      <c r="V794" s="1235"/>
      <c r="W794" s="1235"/>
      <c r="X794" s="1235" t="s">
        <v>3825</v>
      </c>
      <c r="Y794" s="1235"/>
      <c r="Z794" s="1233"/>
      <c r="AA794" s="1233"/>
      <c r="AB794" s="1238">
        <f t="shared" si="10"/>
        <v>0</v>
      </c>
      <c r="AC794" s="1233"/>
      <c r="AD794" s="1233"/>
      <c r="AE794" s="1244"/>
      <c r="AF794" s="1233"/>
      <c r="AG794" s="1233"/>
      <c r="AH794" s="1233"/>
      <c r="AI794" s="1233"/>
      <c r="AJ794" s="1233"/>
      <c r="AK794" s="1236"/>
      <c r="AL794" s="1237"/>
      <c r="AM794" s="1237"/>
      <c r="AN794" s="1237"/>
      <c r="AO794" s="1245"/>
      <c r="AP794" s="1245"/>
      <c r="AQ794" s="1245"/>
      <c r="AR794" s="1245"/>
      <c r="AS794" s="1245"/>
      <c r="AT794" s="1245"/>
      <c r="AU794" s="1245"/>
      <c r="AV794" s="1245"/>
      <c r="AW794" s="1245"/>
      <c r="AX794" s="1245"/>
    </row>
    <row r="795" spans="1:50" ht="45.75" customHeight="1" outlineLevel="1">
      <c r="A795" s="1500"/>
      <c r="B795" s="1500"/>
      <c r="C795" s="1500"/>
      <c r="D795" s="1500"/>
      <c r="E795" s="1500"/>
      <c r="F795" s="1500"/>
      <c r="G795" s="1363"/>
      <c r="H795" s="1500"/>
      <c r="I795" s="1500"/>
      <c r="J795" s="1500"/>
      <c r="K795" s="1500"/>
      <c r="L795" s="1500"/>
      <c r="M795" s="1500"/>
      <c r="N795" s="1500"/>
      <c r="O795" s="1500"/>
      <c r="P795" s="1500"/>
      <c r="Q795" s="1363"/>
      <c r="R795" s="1363"/>
      <c r="S795" s="1363"/>
      <c r="T795" s="1363"/>
      <c r="U795" s="1363"/>
      <c r="V795" s="117"/>
      <c r="W795" s="117"/>
      <c r="X795" s="3096" t="s">
        <v>549</v>
      </c>
      <c r="Y795" s="484" t="s">
        <v>3826</v>
      </c>
      <c r="Z795" s="454">
        <v>0</v>
      </c>
      <c r="AA795" s="1512">
        <v>0</v>
      </c>
      <c r="AB795" s="1548">
        <f t="shared" si="10"/>
        <v>0</v>
      </c>
      <c r="AC795" s="1512">
        <v>8</v>
      </c>
      <c r="AD795" s="1527"/>
      <c r="AE795" s="1527" t="s">
        <v>551</v>
      </c>
      <c r="AF795" s="134"/>
      <c r="AG795" s="134"/>
      <c r="AH795" s="134"/>
      <c r="AI795" s="134"/>
      <c r="AJ795" s="179"/>
      <c r="AK795" s="1389"/>
      <c r="AL795" s="364"/>
      <c r="AM795" s="1363"/>
      <c r="AN795" s="1363"/>
    </row>
    <row r="796" spans="1:50" ht="75.75" customHeight="1" outlineLevel="1">
      <c r="A796" s="1500"/>
      <c r="B796" s="1500"/>
      <c r="C796" s="1500"/>
      <c r="D796" s="1500"/>
      <c r="E796" s="1500"/>
      <c r="F796" s="1500"/>
      <c r="G796" s="1363"/>
      <c r="H796" s="1500"/>
      <c r="I796" s="1500"/>
      <c r="J796" s="1500"/>
      <c r="K796" s="1500"/>
      <c r="L796" s="1500"/>
      <c r="M796" s="1500"/>
      <c r="N796" s="1500"/>
      <c r="O796" s="1500"/>
      <c r="P796" s="1500"/>
      <c r="Q796" s="1363"/>
      <c r="R796" s="1363"/>
      <c r="S796" s="1363"/>
      <c r="T796" s="1363"/>
      <c r="U796" s="1363"/>
      <c r="V796" s="117"/>
      <c r="W796" s="117"/>
      <c r="X796" s="3097" t="s">
        <v>552</v>
      </c>
      <c r="Y796" s="684" t="s">
        <v>3827</v>
      </c>
      <c r="Z796" s="670">
        <v>1</v>
      </c>
      <c r="AA796" s="1548">
        <v>0</v>
      </c>
      <c r="AB796" s="1548">
        <f t="shared" si="10"/>
        <v>8</v>
      </c>
      <c r="AC796" s="1548">
        <v>8</v>
      </c>
      <c r="AD796" s="1528"/>
      <c r="AE796" s="1528" t="s">
        <v>554</v>
      </c>
      <c r="AF796" s="646"/>
      <c r="AG796" s="646"/>
      <c r="AH796" s="646"/>
      <c r="AI796" s="646"/>
      <c r="AJ796" s="700"/>
      <c r="AK796" s="1389"/>
      <c r="AL796" s="364"/>
      <c r="AM796" s="1363"/>
      <c r="AN796" s="1363"/>
    </row>
    <row r="797" spans="1:50" ht="75.75" customHeight="1" outlineLevel="1">
      <c r="A797" s="1500"/>
      <c r="B797" s="1500"/>
      <c r="C797" s="1500"/>
      <c r="D797" s="1500"/>
      <c r="E797" s="1500"/>
      <c r="F797" s="1500"/>
      <c r="G797" s="1363"/>
      <c r="H797" s="1500"/>
      <c r="I797" s="1500"/>
      <c r="J797" s="1500"/>
      <c r="K797" s="1500"/>
      <c r="L797" s="1500"/>
      <c r="M797" s="1500"/>
      <c r="N797" s="1500"/>
      <c r="O797" s="1500"/>
      <c r="P797" s="1500"/>
      <c r="Q797" s="1363"/>
      <c r="R797" s="1363"/>
      <c r="S797" s="1363"/>
      <c r="T797" s="1363"/>
      <c r="U797" s="1363"/>
      <c r="V797" s="117"/>
      <c r="W797" s="117"/>
      <c r="X797" s="3098" t="s">
        <v>555</v>
      </c>
      <c r="Y797" s="684" t="s">
        <v>3828</v>
      </c>
      <c r="Z797" s="670">
        <v>2</v>
      </c>
      <c r="AA797" s="1548">
        <v>0</v>
      </c>
      <c r="AB797" s="1548">
        <f t="shared" si="10"/>
        <v>16</v>
      </c>
      <c r="AC797" s="1548">
        <v>8</v>
      </c>
      <c r="AD797" s="1528"/>
      <c r="AE797" s="1528" t="s">
        <v>557</v>
      </c>
      <c r="AF797" s="646"/>
      <c r="AG797" s="646"/>
      <c r="AH797" s="646"/>
      <c r="AI797" s="646"/>
      <c r="AJ797" s="700"/>
      <c r="AK797" s="1389"/>
      <c r="AL797" s="364"/>
      <c r="AM797" s="1363"/>
      <c r="AN797" s="1363"/>
    </row>
    <row r="798" spans="1:50" ht="75.75" customHeight="1" outlineLevel="1">
      <c r="A798" s="1500"/>
      <c r="B798" s="1500"/>
      <c r="C798" s="1500"/>
      <c r="D798" s="1500"/>
      <c r="E798" s="1500"/>
      <c r="F798" s="1500"/>
      <c r="G798" s="1363"/>
      <c r="H798" s="1500"/>
      <c r="I798" s="1500"/>
      <c r="J798" s="1500"/>
      <c r="K798" s="1500"/>
      <c r="L798" s="1500"/>
      <c r="M798" s="1500"/>
      <c r="N798" s="1500"/>
      <c r="O798" s="1500"/>
      <c r="P798" s="1500"/>
      <c r="Q798" s="1363"/>
      <c r="R798" s="1363"/>
      <c r="S798" s="1363"/>
      <c r="T798" s="1363"/>
      <c r="U798" s="1363"/>
      <c r="V798" s="117"/>
      <c r="W798" s="117"/>
      <c r="X798" s="3099" t="s">
        <v>558</v>
      </c>
      <c r="Y798" s="684" t="s">
        <v>3829</v>
      </c>
      <c r="Z798" s="670">
        <v>3</v>
      </c>
      <c r="AA798" s="1548">
        <v>0</v>
      </c>
      <c r="AB798" s="1548">
        <f t="shared" si="10"/>
        <v>24</v>
      </c>
      <c r="AC798" s="1548">
        <v>8</v>
      </c>
      <c r="AD798" s="1528"/>
      <c r="AE798" s="1528" t="s">
        <v>560</v>
      </c>
      <c r="AF798" s="646"/>
      <c r="AG798" s="646"/>
      <c r="AH798" s="646"/>
      <c r="AI798" s="646"/>
      <c r="AJ798" s="700"/>
      <c r="AK798" s="1389"/>
      <c r="AL798" s="364"/>
      <c r="AM798" s="1363"/>
      <c r="AN798" s="1363"/>
    </row>
    <row r="799" spans="1:50" ht="45.75" customHeight="1" outlineLevel="1">
      <c r="A799" s="1500"/>
      <c r="B799" s="1500"/>
      <c r="C799" s="1500"/>
      <c r="D799" s="1500"/>
      <c r="E799" s="1500"/>
      <c r="F799" s="1500"/>
      <c r="G799" s="1363"/>
      <c r="H799" s="1500"/>
      <c r="I799" s="1500"/>
      <c r="J799" s="1500"/>
      <c r="K799" s="1500"/>
      <c r="L799" s="1500"/>
      <c r="M799" s="1500"/>
      <c r="N799" s="1500"/>
      <c r="O799" s="1500"/>
      <c r="P799" s="1500"/>
      <c r="Q799" s="1363"/>
      <c r="R799" s="1363"/>
      <c r="S799" s="1363"/>
      <c r="T799" s="1363"/>
      <c r="U799" s="1363"/>
      <c r="V799" s="117"/>
      <c r="W799" s="117"/>
      <c r="X799" s="3100" t="s">
        <v>561</v>
      </c>
      <c r="Y799" s="684" t="s">
        <v>3830</v>
      </c>
      <c r="Z799" s="670">
        <v>4</v>
      </c>
      <c r="AA799" s="1548">
        <v>0</v>
      </c>
      <c r="AB799" s="1548">
        <f t="shared" si="10"/>
        <v>32</v>
      </c>
      <c r="AC799" s="1548">
        <v>8</v>
      </c>
      <c r="AD799" s="1528"/>
      <c r="AE799" s="1528" t="s">
        <v>563</v>
      </c>
      <c r="AF799" s="646"/>
      <c r="AG799" s="646"/>
      <c r="AH799" s="646"/>
      <c r="AI799" s="646"/>
      <c r="AJ799" s="700"/>
      <c r="AK799" s="1389"/>
      <c r="AL799" s="364"/>
      <c r="AM799" s="1363"/>
      <c r="AN799" s="1363"/>
    </row>
    <row r="800" spans="1:50" ht="75.75" customHeight="1" outlineLevel="1">
      <c r="A800" s="1500"/>
      <c r="B800" s="1500"/>
      <c r="C800" s="1500"/>
      <c r="D800" s="1500"/>
      <c r="E800" s="1500"/>
      <c r="F800" s="1500"/>
      <c r="G800" s="1363"/>
      <c r="H800" s="1500"/>
      <c r="I800" s="1500"/>
      <c r="J800" s="1500"/>
      <c r="K800" s="1500"/>
      <c r="L800" s="1500"/>
      <c r="M800" s="1500"/>
      <c r="N800" s="1500"/>
      <c r="O800" s="1500"/>
      <c r="P800" s="1500"/>
      <c r="Q800" s="1363"/>
      <c r="R800" s="1363"/>
      <c r="S800" s="1363"/>
      <c r="T800" s="1363"/>
      <c r="U800" s="1363"/>
      <c r="V800" s="117"/>
      <c r="W800" s="117"/>
      <c r="X800" s="3101" t="s">
        <v>564</v>
      </c>
      <c r="Y800" s="684" t="s">
        <v>3831</v>
      </c>
      <c r="Z800" s="670">
        <v>5</v>
      </c>
      <c r="AA800" s="1548">
        <v>0</v>
      </c>
      <c r="AB800" s="1548">
        <f t="shared" si="10"/>
        <v>40</v>
      </c>
      <c r="AC800" s="1548">
        <v>8</v>
      </c>
      <c r="AD800" s="1528"/>
      <c r="AE800" s="1528" t="s">
        <v>566</v>
      </c>
      <c r="AF800" s="646"/>
      <c r="AG800" s="646"/>
      <c r="AH800" s="646"/>
      <c r="AI800" s="646"/>
      <c r="AJ800" s="700"/>
      <c r="AK800" s="1389"/>
      <c r="AL800" s="364"/>
      <c r="AM800" s="1363"/>
      <c r="AN800" s="1363"/>
    </row>
    <row r="801" spans="1:50" ht="75.75" customHeight="1" outlineLevel="1">
      <c r="A801" s="1500"/>
      <c r="B801" s="1500"/>
      <c r="C801" s="1500"/>
      <c r="D801" s="1500"/>
      <c r="E801" s="1500"/>
      <c r="F801" s="1500"/>
      <c r="G801" s="1363"/>
      <c r="H801" s="1500"/>
      <c r="I801" s="1500"/>
      <c r="J801" s="1500"/>
      <c r="K801" s="1500"/>
      <c r="L801" s="1500"/>
      <c r="M801" s="1500"/>
      <c r="N801" s="1500"/>
      <c r="O801" s="1500"/>
      <c r="P801" s="1500"/>
      <c r="Q801" s="1363"/>
      <c r="R801" s="1363"/>
      <c r="S801" s="1363"/>
      <c r="T801" s="1363"/>
      <c r="U801" s="1363"/>
      <c r="V801" s="117"/>
      <c r="W801" s="117"/>
      <c r="X801" s="3102" t="s">
        <v>567</v>
      </c>
      <c r="Y801" s="684" t="s">
        <v>3832</v>
      </c>
      <c r="Z801" s="670">
        <v>6</v>
      </c>
      <c r="AA801" s="1548">
        <v>0</v>
      </c>
      <c r="AB801" s="1548">
        <f t="shared" si="10"/>
        <v>48</v>
      </c>
      <c r="AC801" s="1548">
        <v>8</v>
      </c>
      <c r="AD801" s="1528"/>
      <c r="AE801" s="1528" t="s">
        <v>569</v>
      </c>
      <c r="AF801" s="646"/>
      <c r="AG801" s="646"/>
      <c r="AH801" s="646"/>
      <c r="AI801" s="646"/>
      <c r="AJ801" s="700"/>
      <c r="AK801" s="1389"/>
      <c r="AL801" s="364"/>
      <c r="AM801" s="1363"/>
      <c r="AN801" s="1363"/>
    </row>
    <row r="802" spans="1:50" ht="14.25" customHeight="1" outlineLevel="1">
      <c r="A802" s="1500"/>
      <c r="B802" s="1500"/>
      <c r="C802" s="1500"/>
      <c r="D802" s="1500"/>
      <c r="E802" s="1500"/>
      <c r="F802" s="1500"/>
      <c r="G802" s="1363"/>
      <c r="H802" s="1500"/>
      <c r="I802" s="1500"/>
      <c r="J802" s="1500"/>
      <c r="K802" s="1500"/>
      <c r="L802" s="1500"/>
      <c r="M802" s="1500"/>
      <c r="N802" s="1500"/>
      <c r="O802" s="1500"/>
      <c r="P802" s="1500"/>
      <c r="Q802" s="1363"/>
      <c r="R802" s="1363"/>
      <c r="S802" s="1363"/>
      <c r="T802" s="1363"/>
      <c r="U802" s="1363"/>
      <c r="V802" s="117"/>
      <c r="W802" s="117"/>
      <c r="X802" s="3103" t="s">
        <v>570</v>
      </c>
      <c r="Y802" s="684" t="s">
        <v>3833</v>
      </c>
      <c r="Z802" s="670">
        <v>7</v>
      </c>
      <c r="AA802" s="1548">
        <v>0</v>
      </c>
      <c r="AB802" s="1548">
        <f t="shared" si="10"/>
        <v>56</v>
      </c>
      <c r="AC802" s="1548">
        <v>8</v>
      </c>
      <c r="AD802" s="1528"/>
      <c r="AE802" s="1528" t="s">
        <v>572</v>
      </c>
      <c r="AF802" s="646"/>
      <c r="AG802" s="646"/>
      <c r="AH802" s="646"/>
      <c r="AI802" s="646"/>
      <c r="AJ802" s="700"/>
      <c r="AK802" s="1389"/>
      <c r="AL802" s="364"/>
      <c r="AM802" s="1363"/>
      <c r="AN802" s="1363"/>
    </row>
    <row r="803" spans="1:50" s="1232" customFormat="1" ht="18" customHeight="1">
      <c r="A803" s="1233">
        <v>86</v>
      </c>
      <c r="B803" s="1233" t="s">
        <v>3816</v>
      </c>
      <c r="C803" s="1233" t="s">
        <v>3834</v>
      </c>
      <c r="D803" s="1233" t="s">
        <v>844</v>
      </c>
      <c r="E803" s="1233">
        <v>8</v>
      </c>
      <c r="F803" s="1233" t="s">
        <v>260</v>
      </c>
      <c r="G803" s="1234"/>
      <c r="H803" s="1233"/>
      <c r="I803" s="1233"/>
      <c r="J803" s="1233"/>
      <c r="K803" s="1233"/>
      <c r="L803" s="1233" t="s">
        <v>325</v>
      </c>
      <c r="M803" s="1233"/>
      <c r="N803" s="1233" t="s">
        <v>261</v>
      </c>
      <c r="O803" s="1233"/>
      <c r="P803" s="1233"/>
      <c r="Q803" s="1233"/>
      <c r="R803" s="1233"/>
      <c r="S803" s="1233"/>
      <c r="T803" s="1233"/>
      <c r="U803" s="1233"/>
      <c r="V803" s="1235"/>
      <c r="W803" s="1235"/>
      <c r="X803" s="1235" t="s">
        <v>3835</v>
      </c>
      <c r="Y803" s="1235"/>
      <c r="Z803" s="1233"/>
      <c r="AA803" s="1233"/>
      <c r="AB803" s="1238">
        <f t="shared" si="10"/>
        <v>0</v>
      </c>
      <c r="AC803" s="1233"/>
      <c r="AD803" s="1233"/>
      <c r="AE803" s="1244"/>
      <c r="AF803" s="1233"/>
      <c r="AG803" s="1233"/>
      <c r="AH803" s="1233"/>
      <c r="AI803" s="1233"/>
      <c r="AJ803" s="1233"/>
      <c r="AK803" s="1236"/>
      <c r="AL803" s="1237"/>
      <c r="AM803" s="1237"/>
      <c r="AN803" s="1237"/>
      <c r="AO803" s="1245"/>
      <c r="AP803" s="1245"/>
      <c r="AQ803" s="1245"/>
      <c r="AR803" s="1245"/>
      <c r="AS803" s="1245"/>
      <c r="AT803" s="1245"/>
      <c r="AU803" s="1245"/>
      <c r="AV803" s="1245"/>
      <c r="AW803" s="1245"/>
      <c r="AX803" s="1245"/>
    </row>
    <row r="804" spans="1:50" ht="45.75" customHeight="1" outlineLevel="1">
      <c r="A804" s="1500"/>
      <c r="B804" s="1500"/>
      <c r="C804" s="1500"/>
      <c r="D804" s="1500"/>
      <c r="E804" s="1500"/>
      <c r="F804" s="1500"/>
      <c r="G804" s="1363"/>
      <c r="H804" s="1500"/>
      <c r="I804" s="1500"/>
      <c r="J804" s="1500"/>
      <c r="K804" s="1500"/>
      <c r="L804" s="1500"/>
      <c r="M804" s="1500"/>
      <c r="N804" s="1500"/>
      <c r="O804" s="1500"/>
      <c r="P804" s="1500"/>
      <c r="Q804" s="1363"/>
      <c r="R804" s="1363"/>
      <c r="S804" s="1363"/>
      <c r="T804" s="1363"/>
      <c r="U804" s="1363"/>
      <c r="V804" s="117"/>
      <c r="W804" s="117"/>
      <c r="X804" s="3104" t="s">
        <v>576</v>
      </c>
      <c r="Y804" s="454" t="s">
        <v>3836</v>
      </c>
      <c r="Z804" s="454">
        <v>0</v>
      </c>
      <c r="AA804" s="1512">
        <v>0</v>
      </c>
      <c r="AB804" s="1548">
        <f t="shared" si="10"/>
        <v>0</v>
      </c>
      <c r="AC804" s="1512">
        <v>8</v>
      </c>
      <c r="AD804" s="1512"/>
      <c r="AE804" s="1527" t="s">
        <v>578</v>
      </c>
      <c r="AF804" s="1538"/>
      <c r="AG804" s="1538"/>
      <c r="AH804" s="1538"/>
      <c r="AI804" s="1538"/>
      <c r="AJ804" s="156"/>
      <c r="AK804" s="1500"/>
      <c r="AL804" s="364"/>
      <c r="AM804" s="1363"/>
      <c r="AN804" s="1363"/>
    </row>
    <row r="805" spans="1:50" ht="75.75" customHeight="1" outlineLevel="1">
      <c r="A805" s="1500"/>
      <c r="B805" s="1500"/>
      <c r="C805" s="1500"/>
      <c r="D805" s="1500"/>
      <c r="E805" s="1500"/>
      <c r="F805" s="1500"/>
      <c r="G805" s="1363"/>
      <c r="H805" s="1500"/>
      <c r="I805" s="1500"/>
      <c r="J805" s="1500"/>
      <c r="K805" s="1500"/>
      <c r="L805" s="1500"/>
      <c r="M805" s="1500"/>
      <c r="N805" s="1500"/>
      <c r="O805" s="1500"/>
      <c r="P805" s="1500"/>
      <c r="Q805" s="1363"/>
      <c r="R805" s="1363"/>
      <c r="S805" s="1363"/>
      <c r="T805" s="1363"/>
      <c r="U805" s="1363"/>
      <c r="V805" s="117"/>
      <c r="W805" s="117"/>
      <c r="X805" s="3105" t="s">
        <v>579</v>
      </c>
      <c r="Y805" s="454" t="s">
        <v>3837</v>
      </c>
      <c r="Z805" s="670">
        <v>1</v>
      </c>
      <c r="AA805" s="1548">
        <v>0</v>
      </c>
      <c r="AB805" s="1548">
        <f t="shared" si="10"/>
        <v>8</v>
      </c>
      <c r="AC805" s="1548">
        <v>8</v>
      </c>
      <c r="AD805" s="1548"/>
      <c r="AE805" s="1528" t="s">
        <v>554</v>
      </c>
      <c r="AF805" s="1539"/>
      <c r="AG805" s="1539"/>
      <c r="AH805" s="1539"/>
      <c r="AI805" s="1539"/>
      <c r="AJ805" s="668"/>
      <c r="AK805" s="1500"/>
      <c r="AL805" s="364"/>
      <c r="AM805" s="1363"/>
      <c r="AN805" s="1363"/>
    </row>
    <row r="806" spans="1:50" ht="75.75" customHeight="1" outlineLevel="1">
      <c r="A806" s="1500"/>
      <c r="B806" s="1500"/>
      <c r="C806" s="1500"/>
      <c r="D806" s="1500"/>
      <c r="E806" s="1500"/>
      <c r="F806" s="1500"/>
      <c r="G806" s="1363"/>
      <c r="H806" s="1500"/>
      <c r="I806" s="1500"/>
      <c r="J806" s="1500"/>
      <c r="K806" s="1500"/>
      <c r="L806" s="1500"/>
      <c r="M806" s="1500"/>
      <c r="N806" s="1500"/>
      <c r="O806" s="1500"/>
      <c r="P806" s="1500"/>
      <c r="Q806" s="1363"/>
      <c r="R806" s="1363"/>
      <c r="S806" s="1363"/>
      <c r="T806" s="1363"/>
      <c r="U806" s="1363"/>
      <c r="V806" s="117"/>
      <c r="W806" s="117"/>
      <c r="X806" s="3106" t="s">
        <v>581</v>
      </c>
      <c r="Y806" s="454" t="s">
        <v>3838</v>
      </c>
      <c r="Z806" s="670">
        <v>2</v>
      </c>
      <c r="AA806" s="1548">
        <v>0</v>
      </c>
      <c r="AB806" s="1548">
        <f t="shared" si="10"/>
        <v>16</v>
      </c>
      <c r="AC806" s="1548">
        <v>8</v>
      </c>
      <c r="AD806" s="1548"/>
      <c r="AE806" s="1528" t="s">
        <v>557</v>
      </c>
      <c r="AF806" s="1539"/>
      <c r="AG806" s="1539"/>
      <c r="AH806" s="1539"/>
      <c r="AI806" s="1539"/>
      <c r="AJ806" s="668"/>
      <c r="AK806" s="1500"/>
      <c r="AL806" s="364"/>
      <c r="AM806" s="1363"/>
      <c r="AN806" s="1363"/>
    </row>
    <row r="807" spans="1:50" ht="14.25" customHeight="1" outlineLevel="1">
      <c r="A807" s="1500"/>
      <c r="B807" s="1500"/>
      <c r="C807" s="1500"/>
      <c r="D807" s="1500"/>
      <c r="E807" s="1500"/>
      <c r="F807" s="1500"/>
      <c r="G807" s="1363"/>
      <c r="H807" s="1500"/>
      <c r="I807" s="1500"/>
      <c r="J807" s="1500"/>
      <c r="K807" s="1500"/>
      <c r="L807" s="1500"/>
      <c r="M807" s="1500"/>
      <c r="N807" s="1500"/>
      <c r="O807" s="1500"/>
      <c r="P807" s="1500"/>
      <c r="Q807" s="1363"/>
      <c r="R807" s="1363"/>
      <c r="S807" s="1363"/>
      <c r="T807" s="1363"/>
      <c r="U807" s="1363"/>
      <c r="V807" s="117"/>
      <c r="W807" s="117"/>
      <c r="X807" s="3107" t="s">
        <v>583</v>
      </c>
      <c r="Y807" s="454" t="s">
        <v>3839</v>
      </c>
      <c r="Z807" s="670">
        <v>3</v>
      </c>
      <c r="AA807" s="1548">
        <v>0</v>
      </c>
      <c r="AB807" s="1548">
        <f t="shared" si="10"/>
        <v>24</v>
      </c>
      <c r="AC807" s="1548">
        <v>8</v>
      </c>
      <c r="AD807" s="1548"/>
      <c r="AE807" s="1528" t="s">
        <v>560</v>
      </c>
      <c r="AF807" s="1539"/>
      <c r="AG807" s="1539"/>
      <c r="AH807" s="1539"/>
      <c r="AI807" s="1539"/>
      <c r="AJ807" s="668"/>
      <c r="AK807" s="1500"/>
      <c r="AL807" s="364"/>
      <c r="AM807" s="1363"/>
      <c r="AN807" s="1363"/>
    </row>
    <row r="808" spans="1:50" s="1232" customFormat="1" ht="18" customHeight="1">
      <c r="A808" s="1233">
        <v>87</v>
      </c>
      <c r="B808" s="1233" t="s">
        <v>3816</v>
      </c>
      <c r="C808" s="1233" t="s">
        <v>3840</v>
      </c>
      <c r="D808" s="1233" t="s">
        <v>617</v>
      </c>
      <c r="E808" s="1233">
        <v>8</v>
      </c>
      <c r="F808" s="1233" t="s">
        <v>260</v>
      </c>
      <c r="G808" s="1234"/>
      <c r="H808" s="1233"/>
      <c r="I808" s="1233"/>
      <c r="J808" s="1233"/>
      <c r="K808" s="1233"/>
      <c r="L808" s="1233" t="s">
        <v>325</v>
      </c>
      <c r="M808" s="1233"/>
      <c r="N808" s="1233" t="s">
        <v>261</v>
      </c>
      <c r="O808" s="1233"/>
      <c r="P808" s="1233"/>
      <c r="Q808" s="1233"/>
      <c r="R808" s="1233"/>
      <c r="S808" s="1233"/>
      <c r="T808" s="1233"/>
      <c r="U808" s="1233"/>
      <c r="V808" s="1235"/>
      <c r="W808" s="1235"/>
      <c r="X808" s="1235" t="s">
        <v>974</v>
      </c>
      <c r="Y808" s="1235"/>
      <c r="Z808" s="1233"/>
      <c r="AA808" s="1233"/>
      <c r="AB808" s="1238">
        <f t="shared" si="10"/>
        <v>0</v>
      </c>
      <c r="AC808" s="1233"/>
      <c r="AD808" s="1233"/>
      <c r="AE808" s="1244"/>
      <c r="AF808" s="1233"/>
      <c r="AG808" s="1233"/>
      <c r="AH808" s="1233"/>
      <c r="AI808" s="1233"/>
      <c r="AJ808" s="1233"/>
      <c r="AK808" s="1236"/>
      <c r="AL808" s="1237"/>
      <c r="AM808" s="1237"/>
      <c r="AN808" s="1237"/>
      <c r="AO808" s="1245"/>
      <c r="AP808" s="1245"/>
      <c r="AQ808" s="1245"/>
      <c r="AR808" s="1245"/>
      <c r="AS808" s="1245"/>
      <c r="AT808" s="1245"/>
      <c r="AU808" s="1245"/>
      <c r="AV808" s="1245"/>
      <c r="AW808" s="1245"/>
      <c r="AX808" s="1245"/>
    </row>
    <row r="809" spans="1:50" ht="14.25" customHeight="1" outlineLevel="1">
      <c r="A809" s="1363"/>
      <c r="B809" s="1363"/>
      <c r="C809" s="1363"/>
      <c r="D809" s="1363"/>
      <c r="E809" s="1363"/>
      <c r="F809" s="1363"/>
      <c r="G809" s="1363"/>
      <c r="H809" s="1363"/>
      <c r="I809" s="1363"/>
      <c r="J809" s="1500"/>
      <c r="K809" s="1500"/>
      <c r="L809" s="1500"/>
      <c r="M809" s="1500"/>
      <c r="N809" s="1500"/>
      <c r="O809" s="1500"/>
      <c r="P809" s="1500"/>
      <c r="Q809" s="1363"/>
      <c r="R809" s="1363"/>
      <c r="S809" s="1363"/>
      <c r="T809" s="1363"/>
      <c r="U809" s="1363"/>
      <c r="V809" s="117"/>
      <c r="W809" s="117"/>
      <c r="X809" s="155" t="s">
        <v>619</v>
      </c>
      <c r="Y809" s="1246"/>
      <c r="Z809" s="1247"/>
      <c r="AA809" s="507"/>
      <c r="AB809" s="564">
        <f t="shared" si="10"/>
        <v>0</v>
      </c>
      <c r="AC809" s="507"/>
      <c r="AD809" s="1524"/>
      <c r="AE809" s="1524"/>
      <c r="AF809" s="1524"/>
      <c r="AG809" s="1524"/>
      <c r="AH809" s="1524"/>
      <c r="AI809" s="1524"/>
      <c r="AJ809" s="1248"/>
      <c r="AK809" s="1363"/>
      <c r="AL809" s="364"/>
      <c r="AM809" s="1363"/>
      <c r="AN809" s="1363"/>
      <c r="AO809" s="243"/>
      <c r="AP809" s="243"/>
      <c r="AQ809" s="243"/>
      <c r="AR809" s="243"/>
      <c r="AS809" s="243"/>
      <c r="AT809" s="243"/>
      <c r="AU809" s="243"/>
      <c r="AV809" s="243"/>
      <c r="AW809" s="243"/>
      <c r="AX809" s="243"/>
    </row>
    <row r="810" spans="1:50" s="1249" customFormat="1" ht="18" customHeight="1">
      <c r="A810" s="1233">
        <v>88</v>
      </c>
      <c r="B810" s="1233" t="s">
        <v>3841</v>
      </c>
      <c r="C810" s="1233" t="s">
        <v>3842</v>
      </c>
      <c r="D810" s="1233" t="s">
        <v>617</v>
      </c>
      <c r="E810" s="1233">
        <v>8</v>
      </c>
      <c r="F810" s="1233" t="s">
        <v>260</v>
      </c>
      <c r="G810" s="1234"/>
      <c r="H810" s="1233"/>
      <c r="I810" s="1233"/>
      <c r="J810" s="1233"/>
      <c r="K810" s="1233"/>
      <c r="L810" s="1233" t="s">
        <v>261</v>
      </c>
      <c r="M810" s="1233"/>
      <c r="N810" s="1233" t="s">
        <v>325</v>
      </c>
      <c r="O810" s="1233"/>
      <c r="P810" s="1233"/>
      <c r="Q810" s="1233"/>
      <c r="R810" s="1233"/>
      <c r="S810" s="1233"/>
      <c r="T810" s="1233"/>
      <c r="U810" s="1233"/>
      <c r="V810" s="1235"/>
      <c r="W810" s="1235"/>
      <c r="X810" s="1235" t="s">
        <v>976</v>
      </c>
      <c r="Y810" s="1235"/>
      <c r="Z810" s="1233"/>
      <c r="AA810" s="1233"/>
      <c r="AB810" s="1238">
        <f t="shared" si="10"/>
        <v>0</v>
      </c>
      <c r="AC810" s="1233"/>
      <c r="AD810" s="1233"/>
      <c r="AE810" s="1244"/>
      <c r="AF810" s="1233"/>
      <c r="AG810" s="1233"/>
      <c r="AH810" s="1233"/>
      <c r="AI810" s="1233"/>
      <c r="AJ810" s="1233"/>
      <c r="AK810" s="1233"/>
      <c r="AL810" s="1243"/>
      <c r="AM810" s="1243"/>
      <c r="AN810" s="1243"/>
      <c r="AO810" s="1250"/>
      <c r="AP810" s="1250"/>
      <c r="AQ810" s="1250"/>
      <c r="AR810" s="1250"/>
      <c r="AS810" s="1250"/>
      <c r="AT810" s="1250"/>
      <c r="AU810" s="1250"/>
      <c r="AV810" s="1250"/>
      <c r="AW810" s="1250"/>
      <c r="AX810" s="1250"/>
    </row>
    <row r="811" spans="1:50" ht="15.75" customHeight="1" outlineLevel="1">
      <c r="A811" s="1363"/>
      <c r="B811" s="1363"/>
      <c r="C811" s="1363"/>
      <c r="D811" s="1363"/>
      <c r="E811" s="1363"/>
      <c r="F811" s="1363"/>
      <c r="G811" s="1363"/>
      <c r="H811" s="1363"/>
      <c r="I811" s="1363"/>
      <c r="J811" s="1500"/>
      <c r="K811" s="1500"/>
      <c r="L811" s="1500"/>
      <c r="M811" s="1500"/>
      <c r="N811" s="1500"/>
      <c r="O811" s="1500"/>
      <c r="P811" s="1500"/>
      <c r="Q811" s="1363"/>
      <c r="R811" s="1363"/>
      <c r="S811" s="1363"/>
      <c r="T811" s="1363"/>
      <c r="U811" s="1363"/>
      <c r="V811" s="117"/>
      <c r="W811" s="117"/>
      <c r="X811" s="1538" t="s">
        <v>619</v>
      </c>
      <c r="Y811" s="484"/>
      <c r="Z811" s="454"/>
      <c r="AA811" s="1512"/>
      <c r="AB811" s="1512">
        <f t="shared" si="10"/>
        <v>0</v>
      </c>
      <c r="AC811" s="1512"/>
      <c r="AD811" s="1527"/>
      <c r="AE811" s="1527"/>
      <c r="AF811" s="1527"/>
      <c r="AG811" s="1527"/>
      <c r="AH811" s="1527"/>
      <c r="AI811" s="1527"/>
      <c r="AJ811" s="180"/>
      <c r="AK811" s="1363"/>
      <c r="AL811" s="364"/>
      <c r="AM811" s="1363"/>
      <c r="AN811" s="1363"/>
      <c r="AO811" s="243"/>
      <c r="AP811" s="243"/>
      <c r="AQ811" s="243"/>
      <c r="AR811" s="243"/>
      <c r="AS811" s="243"/>
      <c r="AT811" s="243"/>
      <c r="AU811" s="243"/>
      <c r="AV811" s="243"/>
      <c r="AW811" s="243"/>
      <c r="AX811" s="243"/>
    </row>
    <row r="812" spans="1:50" s="1232" customFormat="1" ht="35.25" customHeight="1">
      <c r="A812" s="1233">
        <v>92</v>
      </c>
      <c r="B812" s="1233" t="s">
        <v>3669</v>
      </c>
      <c r="C812" s="1233" t="s">
        <v>3843</v>
      </c>
      <c r="D812" s="1233" t="s">
        <v>844</v>
      </c>
      <c r="E812" s="1233">
        <v>8</v>
      </c>
      <c r="F812" s="1233" t="s">
        <v>260</v>
      </c>
      <c r="G812" s="1234"/>
      <c r="H812" s="1233"/>
      <c r="I812" s="1233"/>
      <c r="J812" s="1233"/>
      <c r="K812" s="1233"/>
      <c r="L812" s="1233" t="s">
        <v>325</v>
      </c>
      <c r="M812" s="1233"/>
      <c r="N812" s="1233" t="s">
        <v>261</v>
      </c>
      <c r="O812" s="1233"/>
      <c r="P812" s="1233"/>
      <c r="Q812" s="1233"/>
      <c r="R812" s="1233"/>
      <c r="S812" s="1233"/>
      <c r="T812" s="1233"/>
      <c r="U812" s="1233"/>
      <c r="V812" s="1235"/>
      <c r="W812" s="1235"/>
      <c r="X812" s="1235" t="s">
        <v>3844</v>
      </c>
      <c r="Y812" s="1235"/>
      <c r="Z812" s="1233"/>
      <c r="AA812" s="1233"/>
      <c r="AB812" s="1238">
        <f t="shared" si="10"/>
        <v>0</v>
      </c>
      <c r="AC812" s="1233"/>
      <c r="AD812" s="1233"/>
      <c r="AE812" s="1244"/>
      <c r="AF812" s="1233"/>
      <c r="AG812" s="1233"/>
      <c r="AH812" s="1233"/>
      <c r="AI812" s="1233"/>
      <c r="AJ812" s="1233"/>
      <c r="AK812" s="1236"/>
      <c r="AL812" s="1237" t="s">
        <v>3845</v>
      </c>
      <c r="AM812" s="1237"/>
      <c r="AN812" s="1237"/>
    </row>
    <row r="813" spans="1:50" ht="30.75" customHeight="1" outlineLevel="1">
      <c r="A813" s="1500"/>
      <c r="B813" s="1500"/>
      <c r="C813" s="1500"/>
      <c r="D813" s="1500"/>
      <c r="E813" s="1500"/>
      <c r="F813" s="1500"/>
      <c r="G813" s="1363"/>
      <c r="H813" s="1500"/>
      <c r="I813" s="1500"/>
      <c r="J813" s="1500"/>
      <c r="K813" s="1500"/>
      <c r="L813" s="1500"/>
      <c r="M813" s="1500"/>
      <c r="N813" s="1500"/>
      <c r="O813" s="1500"/>
      <c r="P813" s="1500"/>
      <c r="Q813" s="1363"/>
      <c r="R813" s="1363"/>
      <c r="S813" s="1363"/>
      <c r="T813" s="1363"/>
      <c r="U813" s="1363"/>
      <c r="V813" s="117"/>
      <c r="W813" s="117"/>
      <c r="X813" s="3108" t="s">
        <v>532</v>
      </c>
      <c r="Y813" s="484" t="s">
        <v>3846</v>
      </c>
      <c r="Z813" s="454">
        <v>0</v>
      </c>
      <c r="AA813" s="1512">
        <v>0</v>
      </c>
      <c r="AB813" s="1548">
        <f t="shared" si="10"/>
        <v>0</v>
      </c>
      <c r="AC813" s="1512">
        <v>16</v>
      </c>
      <c r="AD813" s="1512"/>
      <c r="AE813" s="1527"/>
      <c r="AF813" s="1538"/>
      <c r="AG813" s="1538"/>
      <c r="AH813" s="1538"/>
      <c r="AI813" s="1538"/>
      <c r="AJ813" s="156"/>
      <c r="AK813" s="1500"/>
      <c r="AL813" s="364"/>
      <c r="AM813" s="1363"/>
      <c r="AN813" s="1363"/>
    </row>
    <row r="814" spans="1:50" ht="30.75" customHeight="1" outlineLevel="1">
      <c r="A814" s="1500"/>
      <c r="B814" s="1500"/>
      <c r="C814" s="1500"/>
      <c r="D814" s="1500"/>
      <c r="E814" s="1500"/>
      <c r="F814" s="1500"/>
      <c r="G814" s="1363"/>
      <c r="H814" s="1500"/>
      <c r="I814" s="1500"/>
      <c r="J814" s="1500"/>
      <c r="K814" s="1500"/>
      <c r="L814" s="1500"/>
      <c r="M814" s="1500"/>
      <c r="N814" s="1500"/>
      <c r="O814" s="1500"/>
      <c r="P814" s="1500"/>
      <c r="Q814" s="1363"/>
      <c r="R814" s="1363"/>
      <c r="S814" s="1363"/>
      <c r="T814" s="1363"/>
      <c r="U814" s="1363"/>
      <c r="V814" s="117"/>
      <c r="W814" s="117"/>
      <c r="X814" s="3109" t="s">
        <v>534</v>
      </c>
      <c r="Y814" s="684" t="s">
        <v>3847</v>
      </c>
      <c r="Z814" s="670">
        <v>2</v>
      </c>
      <c r="AA814" s="1548">
        <v>0</v>
      </c>
      <c r="AB814" s="1548">
        <f t="shared" si="10"/>
        <v>16</v>
      </c>
      <c r="AC814" s="1548">
        <v>8</v>
      </c>
      <c r="AD814" s="1548"/>
      <c r="AE814" s="1528"/>
      <c r="AF814" s="1539"/>
      <c r="AG814" s="1539"/>
      <c r="AH814" s="1539"/>
      <c r="AI814" s="1539"/>
      <c r="AJ814" s="668"/>
      <c r="AK814" s="1500"/>
      <c r="AL814" s="364"/>
      <c r="AM814" s="1363"/>
      <c r="AN814" s="1363"/>
    </row>
    <row r="815" spans="1:50" ht="30.75" customHeight="1" outlineLevel="1">
      <c r="A815" s="1500"/>
      <c r="B815" s="1500"/>
      <c r="C815" s="1500"/>
      <c r="D815" s="1500"/>
      <c r="E815" s="1500"/>
      <c r="F815" s="1500"/>
      <c r="G815" s="1363"/>
      <c r="H815" s="1500"/>
      <c r="I815" s="1500"/>
      <c r="J815" s="1500"/>
      <c r="K815" s="1500"/>
      <c r="L815" s="1500"/>
      <c r="M815" s="1500"/>
      <c r="N815" s="1500"/>
      <c r="O815" s="1500"/>
      <c r="P815" s="1500"/>
      <c r="Q815" s="1363"/>
      <c r="R815" s="1363"/>
      <c r="S815" s="1363"/>
      <c r="T815" s="1363"/>
      <c r="U815" s="1363"/>
      <c r="V815" s="117"/>
      <c r="W815" s="117"/>
      <c r="X815" s="3110" t="s">
        <v>537</v>
      </c>
      <c r="Y815" s="684" t="s">
        <v>3848</v>
      </c>
      <c r="Z815" s="670">
        <v>3</v>
      </c>
      <c r="AA815" s="1548">
        <v>0</v>
      </c>
      <c r="AB815" s="1548">
        <f t="shared" si="10"/>
        <v>24</v>
      </c>
      <c r="AC815" s="1548">
        <v>8</v>
      </c>
      <c r="AD815" s="1548"/>
      <c r="AE815" s="1528"/>
      <c r="AF815" s="1539"/>
      <c r="AG815" s="1539"/>
      <c r="AH815" s="1539"/>
      <c r="AI815" s="1539"/>
      <c r="AJ815" s="668"/>
      <c r="AK815" s="1500"/>
      <c r="AL815" s="364"/>
      <c r="AM815" s="1363"/>
      <c r="AN815" s="1363"/>
    </row>
    <row r="816" spans="1:50" ht="30.75" customHeight="1" outlineLevel="1">
      <c r="A816" s="1500"/>
      <c r="B816" s="1500"/>
      <c r="C816" s="1500"/>
      <c r="D816" s="1500"/>
      <c r="E816" s="1500"/>
      <c r="F816" s="1500"/>
      <c r="G816" s="1363"/>
      <c r="H816" s="1500"/>
      <c r="I816" s="1500"/>
      <c r="J816" s="1500"/>
      <c r="K816" s="1500"/>
      <c r="L816" s="1500"/>
      <c r="M816" s="1500"/>
      <c r="N816" s="1500"/>
      <c r="O816" s="1500"/>
      <c r="P816" s="1500"/>
      <c r="Q816" s="1363"/>
      <c r="R816" s="1363"/>
      <c r="S816" s="1363"/>
      <c r="T816" s="1363"/>
      <c r="U816" s="1363"/>
      <c r="V816" s="117"/>
      <c r="W816" s="117"/>
      <c r="X816" s="3111" t="s">
        <v>540</v>
      </c>
      <c r="Y816" s="684" t="s">
        <v>3849</v>
      </c>
      <c r="Z816" s="670">
        <v>4</v>
      </c>
      <c r="AA816" s="1548">
        <v>0</v>
      </c>
      <c r="AB816" s="1548">
        <f t="shared" si="10"/>
        <v>32</v>
      </c>
      <c r="AC816" s="1548">
        <v>8</v>
      </c>
      <c r="AD816" s="1548"/>
      <c r="AE816" s="1528"/>
      <c r="AF816" s="1539"/>
      <c r="AG816" s="1539"/>
      <c r="AH816" s="1539"/>
      <c r="AI816" s="1539"/>
      <c r="AJ816" s="668"/>
      <c r="AK816" s="1500"/>
      <c r="AL816" s="364"/>
      <c r="AM816" s="1363"/>
      <c r="AN816" s="1363"/>
    </row>
    <row r="817" spans="1:50" ht="30.75" customHeight="1" outlineLevel="1">
      <c r="A817" s="1500"/>
      <c r="B817" s="1500"/>
      <c r="C817" s="1500"/>
      <c r="D817" s="1500"/>
      <c r="E817" s="1500"/>
      <c r="F817" s="1500"/>
      <c r="G817" s="1363"/>
      <c r="H817" s="1500"/>
      <c r="I817" s="1500"/>
      <c r="J817" s="1500"/>
      <c r="K817" s="1500"/>
      <c r="L817" s="1500"/>
      <c r="M817" s="1500"/>
      <c r="N817" s="1500"/>
      <c r="O817" s="1500"/>
      <c r="P817" s="1500"/>
      <c r="Q817" s="1363"/>
      <c r="R817" s="1363"/>
      <c r="S817" s="1363"/>
      <c r="T817" s="1363"/>
      <c r="U817" s="1363"/>
      <c r="V817" s="117"/>
      <c r="W817" s="117"/>
      <c r="X817" s="3112" t="s">
        <v>543</v>
      </c>
      <c r="Y817" s="684" t="s">
        <v>3850</v>
      </c>
      <c r="Z817" s="670">
        <v>5</v>
      </c>
      <c r="AA817" s="1548">
        <v>0</v>
      </c>
      <c r="AB817" s="1548">
        <f t="shared" si="10"/>
        <v>40</v>
      </c>
      <c r="AC817" s="1548">
        <v>24</v>
      </c>
      <c r="AD817" s="1548"/>
      <c r="AE817" s="1528"/>
      <c r="AF817" s="1539"/>
      <c r="AG817" s="1539"/>
      <c r="AH817" s="1539"/>
      <c r="AI817" s="1539"/>
      <c r="AJ817" s="668"/>
      <c r="AK817" s="1500"/>
      <c r="AL817" s="364"/>
      <c r="AM817" s="1363"/>
      <c r="AN817" s="1363"/>
    </row>
    <row r="818" spans="1:50" s="1232" customFormat="1" ht="18" customHeight="1">
      <c r="A818" s="1233">
        <v>39</v>
      </c>
      <c r="B818" s="1233" t="s">
        <v>3851</v>
      </c>
      <c r="C818" s="1233" t="s">
        <v>3852</v>
      </c>
      <c r="D818" s="1233" t="s">
        <v>401</v>
      </c>
      <c r="E818" s="1233">
        <v>8</v>
      </c>
      <c r="F818" s="1233" t="s">
        <v>260</v>
      </c>
      <c r="G818" s="1234" t="s">
        <v>325</v>
      </c>
      <c r="H818" s="1233"/>
      <c r="I818" s="1233"/>
      <c r="J818" s="1233"/>
      <c r="K818" s="1233"/>
      <c r="L818" s="1233"/>
      <c r="M818" s="1233"/>
      <c r="N818" s="1233"/>
      <c r="O818" s="1233"/>
      <c r="P818" s="1233" t="s">
        <v>261</v>
      </c>
      <c r="Q818" s="1233"/>
      <c r="R818" s="1233"/>
      <c r="S818" s="1233"/>
      <c r="T818" s="1233"/>
      <c r="U818" s="1233"/>
      <c r="V818" s="1235"/>
      <c r="W818" s="1235"/>
      <c r="X818" s="1239" t="s">
        <v>3853</v>
      </c>
      <c r="Y818" s="1239"/>
      <c r="Z818" s="1240"/>
      <c r="AA818" s="1240"/>
      <c r="AB818" s="1251">
        <f t="shared" si="10"/>
        <v>0</v>
      </c>
      <c r="AC818" s="1239"/>
      <c r="AD818" s="1239"/>
      <c r="AE818" s="1239" t="s">
        <v>3854</v>
      </c>
      <c r="AF818" s="1239"/>
      <c r="AG818" s="1239"/>
      <c r="AH818" s="1239"/>
      <c r="AI818" s="1240"/>
      <c r="AJ818" s="1240"/>
      <c r="AK818" s="1236"/>
      <c r="AL818" s="1237" t="s">
        <v>3855</v>
      </c>
      <c r="AM818" s="1237"/>
      <c r="AN818" s="1237"/>
    </row>
    <row r="819" spans="1:50" ht="29.25" customHeight="1" outlineLevel="1">
      <c r="A819" s="1363"/>
      <c r="B819" s="1363"/>
      <c r="C819" s="1363"/>
      <c r="D819" s="1363"/>
      <c r="E819" s="1363"/>
      <c r="F819" s="1363"/>
      <c r="G819" s="1363"/>
      <c r="H819" s="1363"/>
      <c r="I819" s="1500"/>
      <c r="J819" s="1500"/>
      <c r="K819" s="1500"/>
      <c r="L819" s="1500"/>
      <c r="M819" s="1500"/>
      <c r="N819" s="1500"/>
      <c r="O819" s="1500"/>
      <c r="P819" s="1500"/>
      <c r="Q819" s="1500"/>
      <c r="R819" s="1500"/>
      <c r="S819" s="1500"/>
      <c r="T819" s="1500"/>
      <c r="U819" s="1363"/>
      <c r="V819" s="117"/>
      <c r="W819" s="117"/>
      <c r="X819" s="3113" t="s">
        <v>3856</v>
      </c>
      <c r="Y819" s="1539" t="s">
        <v>3857</v>
      </c>
      <c r="Z819" s="1548">
        <v>0</v>
      </c>
      <c r="AA819" s="1548">
        <v>0</v>
      </c>
      <c r="AB819" s="1548">
        <f t="shared" si="10"/>
        <v>0</v>
      </c>
      <c r="AC819" s="1548">
        <v>1</v>
      </c>
      <c r="AD819" s="1548" t="s">
        <v>407</v>
      </c>
      <c r="AE819" s="3114" t="s">
        <v>3858</v>
      </c>
      <c r="AF819" s="1505"/>
      <c r="AG819" s="1505"/>
      <c r="AH819" s="1505"/>
      <c r="AI819" s="1505">
        <v>0</v>
      </c>
      <c r="AJ819" s="646"/>
      <c r="AK819" s="1389"/>
      <c r="AL819" s="364"/>
      <c r="AM819" s="1363"/>
      <c r="AN819" s="1363"/>
    </row>
    <row r="820" spans="1:50" s="1232" customFormat="1" ht="18" customHeight="1">
      <c r="A820" s="1233">
        <v>39</v>
      </c>
      <c r="B820" s="1233" t="s">
        <v>3851</v>
      </c>
      <c r="C820" s="1233" t="s">
        <v>3859</v>
      </c>
      <c r="D820" s="1233" t="s">
        <v>259</v>
      </c>
      <c r="E820" s="1233">
        <v>8</v>
      </c>
      <c r="F820" s="1233" t="s">
        <v>260</v>
      </c>
      <c r="G820" s="1234" t="s">
        <v>325</v>
      </c>
      <c r="H820" s="1233"/>
      <c r="I820" s="1233"/>
      <c r="J820" s="1233"/>
      <c r="K820" s="1233"/>
      <c r="L820" s="1233"/>
      <c r="M820" s="1233"/>
      <c r="N820" s="1233"/>
      <c r="O820" s="1233"/>
      <c r="P820" s="1233" t="s">
        <v>261</v>
      </c>
      <c r="Q820" s="1233"/>
      <c r="R820" s="1233"/>
      <c r="S820" s="1233"/>
      <c r="T820" s="1233"/>
      <c r="U820" s="1233"/>
      <c r="V820" s="1235"/>
      <c r="W820" s="1235"/>
      <c r="X820" s="1235" t="s">
        <v>3853</v>
      </c>
      <c r="Y820" s="1235"/>
      <c r="Z820" s="1233"/>
      <c r="AA820" s="1233"/>
      <c r="AB820" s="1238">
        <f t="shared" si="10"/>
        <v>0</v>
      </c>
      <c r="AC820" s="1235"/>
      <c r="AD820" s="1235"/>
      <c r="AE820" s="1235" t="s">
        <v>3854</v>
      </c>
      <c r="AF820" s="1235"/>
      <c r="AG820" s="1235"/>
      <c r="AH820" s="1235"/>
      <c r="AI820" s="1233"/>
      <c r="AJ820" s="1233"/>
      <c r="AK820" s="1236"/>
      <c r="AL820" s="1237" t="s">
        <v>3855</v>
      </c>
      <c r="AM820" s="1237"/>
      <c r="AN820" s="1237"/>
      <c r="AO820" s="1245"/>
      <c r="AP820" s="1245"/>
      <c r="AQ820" s="1245"/>
      <c r="AR820" s="1245"/>
      <c r="AS820" s="1245"/>
      <c r="AT820" s="1245"/>
      <c r="AU820" s="1245"/>
      <c r="AV820" s="1245"/>
      <c r="AW820" s="1245"/>
      <c r="AX820" s="1245"/>
    </row>
    <row r="821" spans="1:50" ht="14.25" customHeight="1" outlineLevel="1">
      <c r="A821" s="1363"/>
      <c r="B821" s="1363"/>
      <c r="C821" s="1363"/>
      <c r="D821" s="1363"/>
      <c r="E821" s="1363"/>
      <c r="F821" s="1363"/>
      <c r="G821" s="1363"/>
      <c r="H821" s="1363"/>
      <c r="I821" s="1500"/>
      <c r="J821" s="1500"/>
      <c r="K821" s="1500"/>
      <c r="L821" s="1500"/>
      <c r="M821" s="1500"/>
      <c r="N821" s="1500"/>
      <c r="O821" s="1500"/>
      <c r="P821" s="1500"/>
      <c r="Q821" s="1500"/>
      <c r="R821" s="1500"/>
      <c r="S821" s="1500"/>
      <c r="T821" s="1500"/>
      <c r="U821" s="1363"/>
      <c r="V821" s="117"/>
      <c r="W821" s="117"/>
      <c r="X821" s="3357" t="s">
        <v>3860</v>
      </c>
      <c r="Y821" s="117"/>
      <c r="Z821" s="1500"/>
      <c r="AA821" s="1500"/>
      <c r="AB821" s="1548">
        <f t="shared" si="10"/>
        <v>0</v>
      </c>
      <c r="AC821" s="1500"/>
      <c r="AD821" s="1500"/>
      <c r="AE821" s="117"/>
      <c r="AF821" s="614"/>
      <c r="AG821" s="614"/>
      <c r="AH821" s="614"/>
      <c r="AI821" s="614"/>
      <c r="AJ821" s="1389"/>
      <c r="AK821" s="1389"/>
      <c r="AL821" s="364"/>
      <c r="AM821" s="1363"/>
      <c r="AN821" s="1363"/>
    </row>
    <row r="822" spans="1:50" ht="14.25" customHeight="1" outlineLevel="1">
      <c r="A822" s="1363"/>
      <c r="B822" s="1363"/>
      <c r="C822" s="1363"/>
      <c r="D822" s="1363"/>
      <c r="E822" s="1363"/>
      <c r="F822" s="1363"/>
      <c r="G822" s="1363"/>
      <c r="H822" s="1363"/>
      <c r="I822" s="1500"/>
      <c r="J822" s="1500"/>
      <c r="K822" s="1500"/>
      <c r="L822" s="1500"/>
      <c r="M822" s="1500"/>
      <c r="N822" s="1500"/>
      <c r="O822" s="1500"/>
      <c r="P822" s="1500"/>
      <c r="Q822" s="1500"/>
      <c r="R822" s="1500"/>
      <c r="S822" s="1500"/>
      <c r="T822" s="1500"/>
      <c r="U822" s="1363"/>
      <c r="V822" s="117"/>
      <c r="W822" s="117"/>
      <c r="X822" s="3358"/>
      <c r="Y822" s="117"/>
      <c r="Z822" s="1500"/>
      <c r="AA822" s="1500"/>
      <c r="AB822" s="1548"/>
      <c r="AC822" s="1500"/>
      <c r="AD822" s="1500"/>
      <c r="AE822" s="117"/>
      <c r="AF822" s="614"/>
      <c r="AG822" s="614"/>
      <c r="AH822" s="614"/>
      <c r="AI822" s="614"/>
      <c r="AJ822" s="1389"/>
      <c r="AK822" s="1389"/>
      <c r="AL822" s="364"/>
      <c r="AM822" s="1363"/>
      <c r="AN822" s="1363"/>
    </row>
    <row r="823" spans="1:50" ht="14.25" customHeight="1" outlineLevel="1">
      <c r="A823" s="1363"/>
      <c r="B823" s="1363"/>
      <c r="C823" s="1363"/>
      <c r="D823" s="1363"/>
      <c r="E823" s="1363"/>
      <c r="F823" s="1363"/>
      <c r="G823" s="1363"/>
      <c r="H823" s="1363"/>
      <c r="I823" s="1500"/>
      <c r="J823" s="1500"/>
      <c r="K823" s="1500"/>
      <c r="L823" s="1500"/>
      <c r="M823" s="1500"/>
      <c r="N823" s="1500"/>
      <c r="O823" s="1500"/>
      <c r="P823" s="1500"/>
      <c r="Q823" s="1500"/>
      <c r="R823" s="1500"/>
      <c r="S823" s="1500"/>
      <c r="T823" s="1500"/>
      <c r="U823" s="1363"/>
      <c r="V823" s="117"/>
      <c r="W823" s="117"/>
      <c r="X823" s="1540" t="s">
        <v>3861</v>
      </c>
      <c r="Y823" s="117"/>
      <c r="Z823" s="1500"/>
      <c r="AA823" s="1500"/>
      <c r="AB823" s="1548"/>
      <c r="AC823" s="1500"/>
      <c r="AD823" s="1500"/>
      <c r="AE823" s="117"/>
      <c r="AF823" s="614"/>
      <c r="AG823" s="614"/>
      <c r="AH823" s="614"/>
      <c r="AI823" s="614"/>
      <c r="AJ823" s="1389"/>
      <c r="AK823" s="1389"/>
      <c r="AL823" s="364"/>
      <c r="AM823" s="1363"/>
      <c r="AN823" s="1363"/>
    </row>
    <row r="824" spans="1:50" s="1232" customFormat="1" ht="18" customHeight="1">
      <c r="A824" s="1233">
        <v>40</v>
      </c>
      <c r="B824" s="1233" t="s">
        <v>3862</v>
      </c>
      <c r="C824" s="1233" t="s">
        <v>3863</v>
      </c>
      <c r="D824" s="1233" t="s">
        <v>844</v>
      </c>
      <c r="E824" s="1233">
        <v>8</v>
      </c>
      <c r="F824" s="1233" t="s">
        <v>260</v>
      </c>
      <c r="G824" s="1234"/>
      <c r="H824" s="1233"/>
      <c r="I824" s="1233"/>
      <c r="J824" s="1233"/>
      <c r="K824" s="1233"/>
      <c r="L824" s="1233" t="s">
        <v>325</v>
      </c>
      <c r="M824" s="1233"/>
      <c r="N824" s="1233"/>
      <c r="O824" s="1233"/>
      <c r="P824" s="1233" t="s">
        <v>261</v>
      </c>
      <c r="Q824" s="1233"/>
      <c r="R824" s="1233"/>
      <c r="S824" s="1233"/>
      <c r="T824" s="1233"/>
      <c r="U824" s="1233"/>
      <c r="V824" s="1235"/>
      <c r="W824" s="1235"/>
      <c r="X824" s="1235" t="s">
        <v>3864</v>
      </c>
      <c r="Y824" s="1235"/>
      <c r="Z824" s="1233"/>
      <c r="AA824" s="1233"/>
      <c r="AB824" s="1238">
        <f t="shared" ref="AB824:AB843" si="11">Z824*8+AA824</f>
        <v>0</v>
      </c>
      <c r="AC824" s="1233"/>
      <c r="AD824" s="1233"/>
      <c r="AE824" s="1233" t="s">
        <v>403</v>
      </c>
      <c r="AF824" s="1233"/>
      <c r="AG824" s="1233"/>
      <c r="AH824" s="1233"/>
      <c r="AI824" s="1233"/>
      <c r="AJ824" s="1233"/>
      <c r="AK824" s="1236"/>
      <c r="AL824" s="1237"/>
      <c r="AM824" s="1237"/>
      <c r="AN824" s="1237"/>
      <c r="AO824" s="1245"/>
      <c r="AP824" s="1245"/>
      <c r="AQ824" s="1245"/>
      <c r="AR824" s="1245"/>
      <c r="AS824" s="1245"/>
      <c r="AT824" s="1245"/>
      <c r="AU824" s="1245"/>
      <c r="AV824" s="1245"/>
      <c r="AW824" s="1245"/>
      <c r="AX824" s="1245"/>
    </row>
    <row r="825" spans="1:50" ht="30.75" customHeight="1" outlineLevel="1">
      <c r="A825" s="1363"/>
      <c r="B825" s="1363"/>
      <c r="C825" s="1363"/>
      <c r="D825" s="1363"/>
      <c r="E825" s="1363"/>
      <c r="F825" s="1363"/>
      <c r="G825" s="1363"/>
      <c r="H825" s="1500"/>
      <c r="I825" s="1500"/>
      <c r="J825" s="1500"/>
      <c r="K825" s="1500"/>
      <c r="L825" s="1500"/>
      <c r="M825" s="1500"/>
      <c r="N825" s="1500"/>
      <c r="O825" s="1500"/>
      <c r="P825" s="1500"/>
      <c r="Q825" s="1500"/>
      <c r="R825" s="1500"/>
      <c r="S825" s="1500"/>
      <c r="T825" s="1500"/>
      <c r="U825" s="1363"/>
      <c r="V825" s="117"/>
      <c r="W825" s="117"/>
      <c r="X825" s="3115" t="s">
        <v>532</v>
      </c>
      <c r="Y825" s="484" t="s">
        <v>588</v>
      </c>
      <c r="Z825" s="484">
        <v>0</v>
      </c>
      <c r="AA825" s="1512">
        <v>0</v>
      </c>
      <c r="AB825" s="1548">
        <f t="shared" si="11"/>
        <v>0</v>
      </c>
      <c r="AC825" s="1512">
        <v>16</v>
      </c>
      <c r="AD825" s="1512"/>
      <c r="AE825" s="1538"/>
      <c r="AF825" s="1538"/>
      <c r="AG825" s="1538"/>
      <c r="AH825" s="1538"/>
      <c r="AI825" s="1538"/>
      <c r="AJ825" s="1512"/>
      <c r="AK825" s="1500"/>
      <c r="AL825" s="364"/>
      <c r="AM825" s="1363"/>
      <c r="AN825" s="1363"/>
    </row>
    <row r="826" spans="1:50" ht="30.75" customHeight="1" outlineLevel="1">
      <c r="A826" s="1363"/>
      <c r="B826" s="1363"/>
      <c r="C826" s="1363"/>
      <c r="D826" s="1363"/>
      <c r="E826" s="1363"/>
      <c r="F826" s="1363"/>
      <c r="G826" s="1363"/>
      <c r="H826" s="1500"/>
      <c r="I826" s="1500"/>
      <c r="J826" s="1500"/>
      <c r="K826" s="1500"/>
      <c r="L826" s="1500"/>
      <c r="M826" s="1500"/>
      <c r="N826" s="1500"/>
      <c r="O826" s="1500"/>
      <c r="P826" s="1500"/>
      <c r="Q826" s="1500"/>
      <c r="R826" s="1500"/>
      <c r="S826" s="1500"/>
      <c r="T826" s="1500"/>
      <c r="U826" s="1363"/>
      <c r="V826" s="117"/>
      <c r="W826" s="117"/>
      <c r="X826" s="3116" t="s">
        <v>534</v>
      </c>
      <c r="Y826" s="684" t="s">
        <v>589</v>
      </c>
      <c r="Z826" s="684">
        <v>2</v>
      </c>
      <c r="AA826" s="1548">
        <v>0</v>
      </c>
      <c r="AB826" s="1548">
        <f t="shared" si="11"/>
        <v>16</v>
      </c>
      <c r="AC826" s="1548">
        <v>8</v>
      </c>
      <c r="AD826" s="1548"/>
      <c r="AE826" s="1539"/>
      <c r="AF826" s="1539"/>
      <c r="AG826" s="1539"/>
      <c r="AH826" s="1539"/>
      <c r="AI826" s="1539"/>
      <c r="AJ826" s="1548"/>
      <c r="AK826" s="1500"/>
      <c r="AL826" s="364"/>
      <c r="AM826" s="1363"/>
      <c r="AN826" s="1363"/>
    </row>
    <row r="827" spans="1:50" ht="30.75" customHeight="1" outlineLevel="1">
      <c r="A827" s="1363"/>
      <c r="B827" s="1363"/>
      <c r="C827" s="1363"/>
      <c r="D827" s="1363"/>
      <c r="E827" s="1363"/>
      <c r="F827" s="1363"/>
      <c r="G827" s="1363"/>
      <c r="H827" s="1500"/>
      <c r="I827" s="1500"/>
      <c r="J827" s="1500"/>
      <c r="K827" s="1500"/>
      <c r="L827" s="1500"/>
      <c r="M827" s="1500"/>
      <c r="N827" s="1500"/>
      <c r="O827" s="1500"/>
      <c r="P827" s="1500"/>
      <c r="Q827" s="1500"/>
      <c r="R827" s="1500"/>
      <c r="S827" s="1500"/>
      <c r="T827" s="1500"/>
      <c r="U827" s="1363"/>
      <c r="V827" s="117"/>
      <c r="W827" s="117"/>
      <c r="X827" s="3117" t="s">
        <v>537</v>
      </c>
      <c r="Y827" s="684" t="s">
        <v>590</v>
      </c>
      <c r="Z827" s="684">
        <v>3</v>
      </c>
      <c r="AA827" s="1548">
        <v>0</v>
      </c>
      <c r="AB827" s="1548">
        <f t="shared" si="11"/>
        <v>24</v>
      </c>
      <c r="AC827" s="1548">
        <v>8</v>
      </c>
      <c r="AD827" s="1548"/>
      <c r="AE827" s="1539"/>
      <c r="AF827" s="1539"/>
      <c r="AG827" s="1539"/>
      <c r="AH827" s="1539"/>
      <c r="AI827" s="1539"/>
      <c r="AJ827" s="1548"/>
      <c r="AK827" s="1500"/>
      <c r="AL827" s="364"/>
      <c r="AM827" s="1363"/>
      <c r="AN827" s="1363"/>
    </row>
    <row r="828" spans="1:50" ht="30.75" customHeight="1" outlineLevel="1">
      <c r="A828" s="1363"/>
      <c r="B828" s="1363"/>
      <c r="C828" s="1363"/>
      <c r="D828" s="1363"/>
      <c r="E828" s="1363"/>
      <c r="F828" s="1363"/>
      <c r="G828" s="1363"/>
      <c r="H828" s="1500"/>
      <c r="I828" s="1500"/>
      <c r="J828" s="1500"/>
      <c r="K828" s="1500"/>
      <c r="L828" s="1500"/>
      <c r="M828" s="1500"/>
      <c r="N828" s="1500"/>
      <c r="O828" s="1500"/>
      <c r="P828" s="1500"/>
      <c r="Q828" s="1500"/>
      <c r="R828" s="1500"/>
      <c r="S828" s="1500"/>
      <c r="T828" s="1500"/>
      <c r="U828" s="1363"/>
      <c r="V828" s="117"/>
      <c r="W828" s="117"/>
      <c r="X828" s="3118" t="s">
        <v>540</v>
      </c>
      <c r="Y828" s="684" t="s">
        <v>591</v>
      </c>
      <c r="Z828" s="684">
        <v>4</v>
      </c>
      <c r="AA828" s="1548">
        <v>0</v>
      </c>
      <c r="AB828" s="1548">
        <f t="shared" si="11"/>
        <v>32</v>
      </c>
      <c r="AC828" s="1548">
        <v>8</v>
      </c>
      <c r="AD828" s="1548"/>
      <c r="AE828" s="1539"/>
      <c r="AF828" s="1539"/>
      <c r="AG828" s="1539"/>
      <c r="AH828" s="1539"/>
      <c r="AI828" s="1539"/>
      <c r="AJ828" s="1548"/>
      <c r="AK828" s="1500"/>
      <c r="AL828" s="364"/>
      <c r="AM828" s="1363"/>
      <c r="AN828" s="1363"/>
    </row>
    <row r="829" spans="1:50" ht="14.25" customHeight="1" outlineLevel="1">
      <c r="A829" s="1363"/>
      <c r="B829" s="1363"/>
      <c r="C829" s="1363"/>
      <c r="D829" s="1363"/>
      <c r="E829" s="1363"/>
      <c r="F829" s="1363"/>
      <c r="G829" s="1363"/>
      <c r="H829" s="1500"/>
      <c r="I829" s="1500"/>
      <c r="J829" s="1500"/>
      <c r="K829" s="1500"/>
      <c r="L829" s="1500"/>
      <c r="M829" s="1500"/>
      <c r="N829" s="1500"/>
      <c r="O829" s="1500"/>
      <c r="P829" s="1500"/>
      <c r="Q829" s="1500"/>
      <c r="R829" s="1500"/>
      <c r="S829" s="1500"/>
      <c r="T829" s="1500"/>
      <c r="U829" s="1363"/>
      <c r="V829" s="117"/>
      <c r="W829" s="117"/>
      <c r="X829" s="3119" t="s">
        <v>543</v>
      </c>
      <c r="Y829" s="684" t="s">
        <v>592</v>
      </c>
      <c r="Z829" s="684">
        <v>5</v>
      </c>
      <c r="AA829" s="1548">
        <v>0</v>
      </c>
      <c r="AB829" s="1548">
        <f t="shared" si="11"/>
        <v>40</v>
      </c>
      <c r="AC829" s="1548">
        <v>24</v>
      </c>
      <c r="AD829" s="1548"/>
      <c r="AE829" s="1539"/>
      <c r="AF829" s="1539"/>
      <c r="AG829" s="1539"/>
      <c r="AH829" s="1539"/>
      <c r="AI829" s="1539"/>
      <c r="AJ829" s="1548"/>
      <c r="AK829" s="1500"/>
      <c r="AL829" s="364"/>
      <c r="AM829" s="1363"/>
      <c r="AN829" s="1363"/>
    </row>
    <row r="830" spans="1:50" s="1232" customFormat="1" ht="18" customHeight="1">
      <c r="A830" s="1233">
        <v>41</v>
      </c>
      <c r="B830" s="1233" t="s">
        <v>3865</v>
      </c>
      <c r="C830" s="1233" t="s">
        <v>3866</v>
      </c>
      <c r="D830" s="1233" t="s">
        <v>844</v>
      </c>
      <c r="E830" s="1233">
        <v>8</v>
      </c>
      <c r="F830" s="1233" t="s">
        <v>260</v>
      </c>
      <c r="G830" s="1234"/>
      <c r="H830" s="1233"/>
      <c r="I830" s="1233"/>
      <c r="J830" s="1233"/>
      <c r="K830" s="1233"/>
      <c r="L830" s="1233" t="s">
        <v>325</v>
      </c>
      <c r="M830" s="1233"/>
      <c r="N830" s="1233"/>
      <c r="O830" s="1233"/>
      <c r="P830" s="1233" t="s">
        <v>261</v>
      </c>
      <c r="Q830" s="1233"/>
      <c r="R830" s="1233"/>
      <c r="S830" s="1233"/>
      <c r="T830" s="1233"/>
      <c r="U830" s="1233"/>
      <c r="V830" s="1235"/>
      <c r="W830" s="1235"/>
      <c r="X830" s="1235" t="s">
        <v>3867</v>
      </c>
      <c r="Y830" s="1235"/>
      <c r="Z830" s="1233"/>
      <c r="AA830" s="1233"/>
      <c r="AB830" s="1238">
        <f t="shared" si="11"/>
        <v>0</v>
      </c>
      <c r="AC830" s="1233"/>
      <c r="AD830" s="1233"/>
      <c r="AE830" s="1233" t="s">
        <v>403</v>
      </c>
      <c r="AF830" s="1233"/>
      <c r="AG830" s="1233"/>
      <c r="AH830" s="1233"/>
      <c r="AI830" s="1233"/>
      <c r="AJ830" s="1233"/>
      <c r="AK830" s="1236"/>
      <c r="AL830" s="1237"/>
      <c r="AM830" s="1237"/>
      <c r="AN830" s="1237"/>
      <c r="AO830" s="1245"/>
      <c r="AP830" s="1245"/>
      <c r="AQ830" s="1245"/>
      <c r="AR830" s="1245"/>
      <c r="AS830" s="1245"/>
      <c r="AT830" s="1245"/>
      <c r="AU830" s="1245"/>
      <c r="AV830" s="1245"/>
      <c r="AW830" s="1245"/>
      <c r="AX830" s="1245"/>
    </row>
    <row r="831" spans="1:50" ht="45.75" customHeight="1" outlineLevel="1">
      <c r="A831" s="1363"/>
      <c r="B831" s="1363"/>
      <c r="C831" s="1363"/>
      <c r="D831" s="1363"/>
      <c r="E831" s="1363"/>
      <c r="F831" s="1363"/>
      <c r="G831" s="1363"/>
      <c r="H831" s="1500"/>
      <c r="I831" s="1500"/>
      <c r="J831" s="1500"/>
      <c r="K831" s="1500"/>
      <c r="L831" s="1500"/>
      <c r="M831" s="1500"/>
      <c r="N831" s="1500"/>
      <c r="O831" s="1500"/>
      <c r="P831" s="1500"/>
      <c r="Q831" s="1500"/>
      <c r="R831" s="1500"/>
      <c r="S831" s="1500"/>
      <c r="T831" s="1500"/>
      <c r="U831" s="1363"/>
      <c r="V831" s="117"/>
      <c r="W831" s="117"/>
      <c r="X831" s="3120" t="s">
        <v>549</v>
      </c>
      <c r="Y831" s="484" t="s">
        <v>849</v>
      </c>
      <c r="Z831" s="484">
        <v>0</v>
      </c>
      <c r="AA831" s="1512">
        <v>0</v>
      </c>
      <c r="AB831" s="1548">
        <f t="shared" si="11"/>
        <v>0</v>
      </c>
      <c r="AC831" s="1512">
        <v>8</v>
      </c>
      <c r="AD831" s="1527"/>
      <c r="AE831" s="1538" t="s">
        <v>551</v>
      </c>
      <c r="AF831" s="134"/>
      <c r="AG831" s="134"/>
      <c r="AH831" s="134"/>
      <c r="AI831" s="134"/>
      <c r="AJ831" s="134"/>
      <c r="AK831" s="1389"/>
      <c r="AL831" s="364"/>
      <c r="AM831" s="1363"/>
      <c r="AN831" s="1363"/>
    </row>
    <row r="832" spans="1:50" ht="75.75" customHeight="1" outlineLevel="1">
      <c r="A832" s="1363"/>
      <c r="B832" s="1363"/>
      <c r="C832" s="1363"/>
      <c r="D832" s="1363"/>
      <c r="E832" s="1363"/>
      <c r="F832" s="1363"/>
      <c r="G832" s="1363"/>
      <c r="H832" s="1500"/>
      <c r="I832" s="1500"/>
      <c r="J832" s="1500"/>
      <c r="K832" s="1500"/>
      <c r="L832" s="1500"/>
      <c r="M832" s="1500"/>
      <c r="N832" s="1500"/>
      <c r="O832" s="1500"/>
      <c r="P832" s="1500"/>
      <c r="Q832" s="1500"/>
      <c r="R832" s="1500"/>
      <c r="S832" s="1500"/>
      <c r="T832" s="1500"/>
      <c r="U832" s="1363"/>
      <c r="V832" s="117"/>
      <c r="W832" s="117"/>
      <c r="X832" s="3121" t="s">
        <v>552</v>
      </c>
      <c r="Y832" s="684" t="s">
        <v>850</v>
      </c>
      <c r="Z832" s="684">
        <v>1</v>
      </c>
      <c r="AA832" s="1548">
        <v>0</v>
      </c>
      <c r="AB832" s="1548">
        <f t="shared" si="11"/>
        <v>8</v>
      </c>
      <c r="AC832" s="1548">
        <v>8</v>
      </c>
      <c r="AD832" s="1528"/>
      <c r="AE832" s="1539" t="s">
        <v>554</v>
      </c>
      <c r="AF832" s="646"/>
      <c r="AG832" s="646"/>
      <c r="AH832" s="646"/>
      <c r="AI832" s="646"/>
      <c r="AJ832" s="646"/>
      <c r="AK832" s="1389"/>
      <c r="AL832" s="364"/>
      <c r="AM832" s="1363"/>
      <c r="AN832" s="1363"/>
    </row>
    <row r="833" spans="1:50" ht="75.75" customHeight="1" outlineLevel="1">
      <c r="A833" s="1363"/>
      <c r="B833" s="1363"/>
      <c r="C833" s="1363"/>
      <c r="D833" s="1363"/>
      <c r="E833" s="1363"/>
      <c r="F833" s="1363"/>
      <c r="G833" s="1363"/>
      <c r="H833" s="1500"/>
      <c r="I833" s="1500"/>
      <c r="J833" s="1500"/>
      <c r="K833" s="1500"/>
      <c r="L833" s="1500"/>
      <c r="M833" s="1500"/>
      <c r="N833" s="1500"/>
      <c r="O833" s="1500"/>
      <c r="P833" s="1500"/>
      <c r="Q833" s="1500"/>
      <c r="R833" s="1500"/>
      <c r="S833" s="1500"/>
      <c r="T833" s="1500"/>
      <c r="U833" s="1363"/>
      <c r="V833" s="117"/>
      <c r="W833" s="117"/>
      <c r="X833" s="3122" t="s">
        <v>555</v>
      </c>
      <c r="Y833" s="684" t="s">
        <v>851</v>
      </c>
      <c r="Z833" s="684">
        <v>2</v>
      </c>
      <c r="AA833" s="1548">
        <v>0</v>
      </c>
      <c r="AB833" s="1548">
        <f t="shared" si="11"/>
        <v>16</v>
      </c>
      <c r="AC833" s="1548">
        <v>8</v>
      </c>
      <c r="AD833" s="1528"/>
      <c r="AE833" s="1539" t="s">
        <v>557</v>
      </c>
      <c r="AF833" s="646"/>
      <c r="AG833" s="646"/>
      <c r="AH833" s="646"/>
      <c r="AI833" s="646"/>
      <c r="AJ833" s="646"/>
      <c r="AK833" s="1389"/>
      <c r="AL833" s="364"/>
      <c r="AM833" s="1363"/>
      <c r="AN833" s="1363"/>
    </row>
    <row r="834" spans="1:50" ht="75.75" customHeight="1" outlineLevel="1">
      <c r="A834" s="1363"/>
      <c r="B834" s="1363"/>
      <c r="C834" s="1363"/>
      <c r="D834" s="1363"/>
      <c r="E834" s="1363"/>
      <c r="F834" s="1363"/>
      <c r="G834" s="1363"/>
      <c r="H834" s="1500"/>
      <c r="I834" s="1500"/>
      <c r="J834" s="1500"/>
      <c r="K834" s="1500"/>
      <c r="L834" s="1500"/>
      <c r="M834" s="1500"/>
      <c r="N834" s="1500"/>
      <c r="O834" s="1500"/>
      <c r="P834" s="1500"/>
      <c r="Q834" s="1500"/>
      <c r="R834" s="1500"/>
      <c r="S834" s="1500"/>
      <c r="T834" s="1500"/>
      <c r="U834" s="1363"/>
      <c r="V834" s="117"/>
      <c r="W834" s="117"/>
      <c r="X834" s="3123" t="s">
        <v>558</v>
      </c>
      <c r="Y834" s="684" t="s">
        <v>852</v>
      </c>
      <c r="Z834" s="684">
        <v>3</v>
      </c>
      <c r="AA834" s="1548">
        <v>0</v>
      </c>
      <c r="AB834" s="1548">
        <f t="shared" si="11"/>
        <v>24</v>
      </c>
      <c r="AC834" s="1548">
        <v>8</v>
      </c>
      <c r="AD834" s="1528"/>
      <c r="AE834" s="1539" t="s">
        <v>560</v>
      </c>
      <c r="AF834" s="646"/>
      <c r="AG834" s="646"/>
      <c r="AH834" s="646"/>
      <c r="AI834" s="646"/>
      <c r="AJ834" s="646"/>
      <c r="AK834" s="1389"/>
      <c r="AL834" s="364"/>
      <c r="AM834" s="1363"/>
      <c r="AN834" s="1363"/>
    </row>
    <row r="835" spans="1:50" ht="45.75" customHeight="1" outlineLevel="1">
      <c r="A835" s="1363"/>
      <c r="B835" s="1363"/>
      <c r="C835" s="1363"/>
      <c r="D835" s="1363"/>
      <c r="E835" s="1363"/>
      <c r="F835" s="1363"/>
      <c r="G835" s="1363"/>
      <c r="H835" s="1500"/>
      <c r="I835" s="1500"/>
      <c r="J835" s="1500"/>
      <c r="K835" s="1500"/>
      <c r="L835" s="1500"/>
      <c r="M835" s="1500"/>
      <c r="N835" s="1500"/>
      <c r="O835" s="1500"/>
      <c r="P835" s="1500"/>
      <c r="Q835" s="1500"/>
      <c r="R835" s="1500"/>
      <c r="S835" s="1500"/>
      <c r="T835" s="1500"/>
      <c r="U835" s="1363"/>
      <c r="V835" s="117"/>
      <c r="W835" s="117"/>
      <c r="X835" s="3124" t="s">
        <v>561</v>
      </c>
      <c r="Y835" s="684" t="s">
        <v>853</v>
      </c>
      <c r="Z835" s="684">
        <v>4</v>
      </c>
      <c r="AA835" s="1548">
        <v>0</v>
      </c>
      <c r="AB835" s="1548">
        <f t="shared" si="11"/>
        <v>32</v>
      </c>
      <c r="AC835" s="1548">
        <v>8</v>
      </c>
      <c r="AD835" s="1528"/>
      <c r="AE835" s="1539" t="s">
        <v>563</v>
      </c>
      <c r="AF835" s="646"/>
      <c r="AG835" s="646"/>
      <c r="AH835" s="646"/>
      <c r="AI835" s="646"/>
      <c r="AJ835" s="646"/>
      <c r="AK835" s="1389"/>
      <c r="AL835" s="364"/>
      <c r="AM835" s="1363"/>
      <c r="AN835" s="1363"/>
    </row>
    <row r="836" spans="1:50" ht="75.75" customHeight="1" outlineLevel="1">
      <c r="A836" s="1363"/>
      <c r="B836" s="1363"/>
      <c r="C836" s="1363"/>
      <c r="D836" s="1363"/>
      <c r="E836" s="1363"/>
      <c r="F836" s="1363"/>
      <c r="G836" s="1363"/>
      <c r="H836" s="1500"/>
      <c r="I836" s="1500"/>
      <c r="J836" s="1500"/>
      <c r="K836" s="1500"/>
      <c r="L836" s="1500"/>
      <c r="M836" s="1500"/>
      <c r="N836" s="1500"/>
      <c r="O836" s="1500"/>
      <c r="P836" s="1500"/>
      <c r="Q836" s="1500"/>
      <c r="R836" s="1500"/>
      <c r="S836" s="1500"/>
      <c r="T836" s="1500"/>
      <c r="U836" s="1363"/>
      <c r="V836" s="117"/>
      <c r="W836" s="117"/>
      <c r="X836" s="3125" t="s">
        <v>564</v>
      </c>
      <c r="Y836" s="684" t="s">
        <v>854</v>
      </c>
      <c r="Z836" s="684">
        <v>5</v>
      </c>
      <c r="AA836" s="1548">
        <v>0</v>
      </c>
      <c r="AB836" s="1548">
        <f t="shared" si="11"/>
        <v>40</v>
      </c>
      <c r="AC836" s="1548">
        <v>8</v>
      </c>
      <c r="AD836" s="1528"/>
      <c r="AE836" s="1539" t="s">
        <v>566</v>
      </c>
      <c r="AF836" s="646"/>
      <c r="AG836" s="646"/>
      <c r="AH836" s="646"/>
      <c r="AI836" s="646"/>
      <c r="AJ836" s="646"/>
      <c r="AK836" s="1389"/>
      <c r="AL836" s="364"/>
      <c r="AM836" s="1363"/>
      <c r="AN836" s="1363"/>
    </row>
    <row r="837" spans="1:50" ht="75.75" customHeight="1" outlineLevel="1">
      <c r="A837" s="1363"/>
      <c r="B837" s="1363"/>
      <c r="C837" s="1363"/>
      <c r="D837" s="1363"/>
      <c r="E837" s="1363"/>
      <c r="F837" s="1363"/>
      <c r="G837" s="1363"/>
      <c r="H837" s="1500"/>
      <c r="I837" s="1500"/>
      <c r="J837" s="1500"/>
      <c r="K837" s="1500"/>
      <c r="L837" s="1500"/>
      <c r="M837" s="1500"/>
      <c r="N837" s="1500"/>
      <c r="O837" s="1500"/>
      <c r="P837" s="1500"/>
      <c r="Q837" s="1500"/>
      <c r="R837" s="1500"/>
      <c r="S837" s="1500"/>
      <c r="T837" s="1500"/>
      <c r="U837" s="1363"/>
      <c r="V837" s="117"/>
      <c r="W837" s="117"/>
      <c r="X837" s="3126" t="s">
        <v>567</v>
      </c>
      <c r="Y837" s="684" t="s">
        <v>855</v>
      </c>
      <c r="Z837" s="684">
        <v>6</v>
      </c>
      <c r="AA837" s="1548">
        <v>0</v>
      </c>
      <c r="AB837" s="1548">
        <f t="shared" si="11"/>
        <v>48</v>
      </c>
      <c r="AC837" s="1548">
        <v>8</v>
      </c>
      <c r="AD837" s="1528"/>
      <c r="AE837" s="1539" t="s">
        <v>569</v>
      </c>
      <c r="AF837" s="646"/>
      <c r="AG837" s="646"/>
      <c r="AH837" s="646"/>
      <c r="AI837" s="646"/>
      <c r="AJ837" s="646"/>
      <c r="AK837" s="1389"/>
      <c r="AL837" s="364"/>
      <c r="AM837" s="1363"/>
      <c r="AN837" s="1363"/>
    </row>
    <row r="838" spans="1:50" ht="14.25" customHeight="1" outlineLevel="1">
      <c r="A838" s="1363"/>
      <c r="B838" s="1363"/>
      <c r="C838" s="1363"/>
      <c r="D838" s="1363"/>
      <c r="E838" s="1363"/>
      <c r="F838" s="1363"/>
      <c r="G838" s="1363"/>
      <c r="H838" s="1500"/>
      <c r="I838" s="1500"/>
      <c r="J838" s="1500"/>
      <c r="K838" s="1500"/>
      <c r="L838" s="1500"/>
      <c r="M838" s="1500"/>
      <c r="N838" s="1500"/>
      <c r="O838" s="1500"/>
      <c r="P838" s="1500"/>
      <c r="Q838" s="1500"/>
      <c r="R838" s="1500"/>
      <c r="S838" s="1500"/>
      <c r="T838" s="1500"/>
      <c r="U838" s="1363"/>
      <c r="V838" s="117"/>
      <c r="W838" s="117"/>
      <c r="X838" s="3127" t="s">
        <v>570</v>
      </c>
      <c r="Y838" s="684" t="s">
        <v>856</v>
      </c>
      <c r="Z838" s="684">
        <v>7</v>
      </c>
      <c r="AA838" s="1548">
        <v>0</v>
      </c>
      <c r="AB838" s="1548">
        <f t="shared" si="11"/>
        <v>56</v>
      </c>
      <c r="AC838" s="1548">
        <v>8</v>
      </c>
      <c r="AD838" s="1528"/>
      <c r="AE838" s="1539" t="s">
        <v>572</v>
      </c>
      <c r="AF838" s="646"/>
      <c r="AG838" s="646"/>
      <c r="AH838" s="646"/>
      <c r="AI838" s="646"/>
      <c r="AJ838" s="646"/>
      <c r="AK838" s="1389"/>
      <c r="AL838" s="364"/>
      <c r="AM838" s="1363"/>
      <c r="AN838" s="1363"/>
    </row>
    <row r="839" spans="1:50" s="1232" customFormat="1" ht="18" customHeight="1">
      <c r="A839" s="1233">
        <v>42</v>
      </c>
      <c r="B839" s="1233" t="s">
        <v>3868</v>
      </c>
      <c r="C839" s="1233" t="s">
        <v>3869</v>
      </c>
      <c r="D839" s="1233" t="s">
        <v>844</v>
      </c>
      <c r="E839" s="1233">
        <v>8</v>
      </c>
      <c r="F839" s="1233" t="s">
        <v>260</v>
      </c>
      <c r="G839" s="1234"/>
      <c r="H839" s="1233"/>
      <c r="I839" s="1233"/>
      <c r="J839" s="1233"/>
      <c r="K839" s="1233"/>
      <c r="L839" s="1233" t="s">
        <v>325</v>
      </c>
      <c r="M839" s="1233"/>
      <c r="N839" s="1233"/>
      <c r="O839" s="1233"/>
      <c r="P839" s="1233" t="s">
        <v>261</v>
      </c>
      <c r="Q839" s="1233"/>
      <c r="R839" s="1233"/>
      <c r="S839" s="1233"/>
      <c r="T839" s="1233"/>
      <c r="U839" s="1233"/>
      <c r="V839" s="1235"/>
      <c r="W839" s="1235"/>
      <c r="X839" s="1235" t="s">
        <v>3870</v>
      </c>
      <c r="Y839" s="1235"/>
      <c r="Z839" s="1233"/>
      <c r="AA839" s="1233"/>
      <c r="AB839" s="1238">
        <f t="shared" si="11"/>
        <v>0</v>
      </c>
      <c r="AC839" s="1233"/>
      <c r="AD839" s="1233"/>
      <c r="AE839" s="1233"/>
      <c r="AF839" s="1233"/>
      <c r="AG839" s="1233"/>
      <c r="AH839" s="1233"/>
      <c r="AI839" s="1233"/>
      <c r="AJ839" s="1233"/>
      <c r="AK839" s="1236"/>
      <c r="AL839" s="1237"/>
      <c r="AM839" s="1237"/>
      <c r="AN839" s="1237"/>
      <c r="AO839" s="1245"/>
      <c r="AP839" s="1245"/>
      <c r="AQ839" s="1245"/>
      <c r="AR839" s="1245"/>
      <c r="AS839" s="1245"/>
      <c r="AT839" s="1245"/>
      <c r="AU839" s="1245"/>
      <c r="AV839" s="1245"/>
      <c r="AW839" s="1245"/>
      <c r="AX839" s="1245"/>
    </row>
    <row r="840" spans="1:50" ht="45.75" customHeight="1" outlineLevel="1">
      <c r="A840" s="1363"/>
      <c r="B840" s="1363"/>
      <c r="C840" s="1363"/>
      <c r="D840" s="1363"/>
      <c r="E840" s="1363"/>
      <c r="F840" s="1363"/>
      <c r="G840" s="1363"/>
      <c r="H840" s="1500"/>
      <c r="I840" s="1500"/>
      <c r="J840" s="1500"/>
      <c r="K840" s="1500"/>
      <c r="L840" s="1500"/>
      <c r="M840" s="1500"/>
      <c r="N840" s="1500"/>
      <c r="O840" s="1500"/>
      <c r="P840" s="1500"/>
      <c r="Q840" s="1500"/>
      <c r="R840" s="1500"/>
      <c r="S840" s="1500"/>
      <c r="T840" s="1500"/>
      <c r="U840" s="1363"/>
      <c r="V840" s="117"/>
      <c r="W840" s="117"/>
      <c r="X840" s="3128" t="s">
        <v>576</v>
      </c>
      <c r="Y840" s="684" t="s">
        <v>3871</v>
      </c>
      <c r="Z840" s="484">
        <v>0</v>
      </c>
      <c r="AA840" s="1512">
        <v>0</v>
      </c>
      <c r="AB840" s="1548">
        <f t="shared" si="11"/>
        <v>0</v>
      </c>
      <c r="AC840" s="1512">
        <v>8</v>
      </c>
      <c r="AD840" s="1512"/>
      <c r="AE840" s="1538" t="s">
        <v>578</v>
      </c>
      <c r="AF840" s="1538"/>
      <c r="AG840" s="1538"/>
      <c r="AH840" s="1538"/>
      <c r="AI840" s="1538"/>
      <c r="AJ840" s="1512"/>
      <c r="AK840" s="1500"/>
      <c r="AL840" s="364"/>
      <c r="AM840" s="1363"/>
      <c r="AN840" s="1363"/>
    </row>
    <row r="841" spans="1:50" ht="75.75" customHeight="1" outlineLevel="1">
      <c r="A841" s="1363"/>
      <c r="B841" s="1363"/>
      <c r="C841" s="1363"/>
      <c r="D841" s="1363"/>
      <c r="E841" s="1363"/>
      <c r="F841" s="1363"/>
      <c r="G841" s="1363"/>
      <c r="H841" s="1500"/>
      <c r="I841" s="1500"/>
      <c r="J841" s="1500"/>
      <c r="K841" s="1500"/>
      <c r="L841" s="1500"/>
      <c r="M841" s="1500"/>
      <c r="N841" s="1500"/>
      <c r="O841" s="1500"/>
      <c r="P841" s="1500"/>
      <c r="Q841" s="1500"/>
      <c r="R841" s="1500"/>
      <c r="S841" s="1500"/>
      <c r="T841" s="1500"/>
      <c r="U841" s="1363"/>
      <c r="V841" s="117"/>
      <c r="W841" s="117"/>
      <c r="X841" s="3129" t="s">
        <v>579</v>
      </c>
      <c r="Y841" s="684" t="s">
        <v>3872</v>
      </c>
      <c r="Z841" s="684">
        <v>1</v>
      </c>
      <c r="AA841" s="1548">
        <v>0</v>
      </c>
      <c r="AB841" s="1548">
        <f t="shared" si="11"/>
        <v>8</v>
      </c>
      <c r="AC841" s="1548">
        <v>8</v>
      </c>
      <c r="AD841" s="1548"/>
      <c r="AE841" s="1539" t="s">
        <v>554</v>
      </c>
      <c r="AF841" s="1539"/>
      <c r="AG841" s="1539"/>
      <c r="AH841" s="1539"/>
      <c r="AI841" s="1539"/>
      <c r="AJ841" s="1548"/>
      <c r="AK841" s="1500"/>
      <c r="AL841" s="364"/>
      <c r="AM841" s="1363"/>
      <c r="AN841" s="1363"/>
    </row>
    <row r="842" spans="1:50" ht="75.75" customHeight="1" outlineLevel="1">
      <c r="A842" s="1363"/>
      <c r="B842" s="1363"/>
      <c r="C842" s="1363"/>
      <c r="D842" s="1363"/>
      <c r="E842" s="1363"/>
      <c r="F842" s="1363"/>
      <c r="G842" s="1363"/>
      <c r="H842" s="1500"/>
      <c r="I842" s="1500"/>
      <c r="J842" s="1500"/>
      <c r="K842" s="1500"/>
      <c r="L842" s="1500"/>
      <c r="M842" s="1500"/>
      <c r="N842" s="1500"/>
      <c r="O842" s="1500"/>
      <c r="P842" s="1500"/>
      <c r="Q842" s="1500"/>
      <c r="R842" s="1500"/>
      <c r="S842" s="1500"/>
      <c r="T842" s="1500"/>
      <c r="U842" s="1363"/>
      <c r="V842" s="117"/>
      <c r="W842" s="117"/>
      <c r="X842" s="3130" t="s">
        <v>581</v>
      </c>
      <c r="Y842" s="684" t="s">
        <v>3873</v>
      </c>
      <c r="Z842" s="684">
        <v>2</v>
      </c>
      <c r="AA842" s="1548">
        <v>0</v>
      </c>
      <c r="AB842" s="1548">
        <f t="shared" si="11"/>
        <v>16</v>
      </c>
      <c r="AC842" s="1548">
        <v>8</v>
      </c>
      <c r="AD842" s="1548"/>
      <c r="AE842" s="1539" t="s">
        <v>557</v>
      </c>
      <c r="AF842" s="1539"/>
      <c r="AG842" s="1539"/>
      <c r="AH842" s="1539"/>
      <c r="AI842" s="1539"/>
      <c r="AJ842" s="1548"/>
      <c r="AK842" s="1500"/>
      <c r="AL842" s="364"/>
      <c r="AM842" s="1363"/>
      <c r="AN842" s="1363"/>
    </row>
    <row r="843" spans="1:50" ht="14.25" customHeight="1" outlineLevel="1">
      <c r="A843" s="1363"/>
      <c r="B843" s="1363"/>
      <c r="C843" s="1363"/>
      <c r="D843" s="1363"/>
      <c r="E843" s="1363"/>
      <c r="F843" s="1363"/>
      <c r="G843" s="1363"/>
      <c r="H843" s="1500"/>
      <c r="I843" s="1500"/>
      <c r="J843" s="1500"/>
      <c r="K843" s="1500"/>
      <c r="L843" s="1500"/>
      <c r="M843" s="1500"/>
      <c r="N843" s="1500"/>
      <c r="O843" s="1500"/>
      <c r="P843" s="1500"/>
      <c r="Q843" s="1500"/>
      <c r="R843" s="1500"/>
      <c r="S843" s="1500"/>
      <c r="T843" s="1500"/>
      <c r="U843" s="1363"/>
      <c r="V843" s="117"/>
      <c r="W843" s="117"/>
      <c r="X843" s="3131" t="s">
        <v>583</v>
      </c>
      <c r="Y843" s="684" t="s">
        <v>3874</v>
      </c>
      <c r="Z843" s="684">
        <v>3</v>
      </c>
      <c r="AA843" s="1548">
        <v>0</v>
      </c>
      <c r="AB843" s="1548">
        <f t="shared" si="11"/>
        <v>24</v>
      </c>
      <c r="AC843" s="1548">
        <v>8</v>
      </c>
      <c r="AD843" s="1548"/>
      <c r="AE843" s="1539" t="s">
        <v>560</v>
      </c>
      <c r="AF843" s="1539"/>
      <c r="AG843" s="1539"/>
      <c r="AH843" s="1539"/>
      <c r="AI843" s="1539"/>
      <c r="AJ843" s="1548"/>
      <c r="AK843" s="1500"/>
      <c r="AL843" s="364"/>
      <c r="AM843" s="1363"/>
      <c r="AN843" s="1363"/>
    </row>
    <row r="844" spans="1:50" s="1232" customFormat="1" ht="18" customHeight="1">
      <c r="A844" s="1233">
        <v>43</v>
      </c>
      <c r="B844" s="1233" t="s">
        <v>3875</v>
      </c>
      <c r="C844" s="1233" t="s">
        <v>3876</v>
      </c>
      <c r="D844" s="1233" t="s">
        <v>617</v>
      </c>
      <c r="E844" s="1233">
        <v>8</v>
      </c>
      <c r="F844" s="1233" t="s">
        <v>260</v>
      </c>
      <c r="G844" s="1234"/>
      <c r="H844" s="1233"/>
      <c r="I844" s="1233"/>
      <c r="J844" s="1233"/>
      <c r="K844" s="1233"/>
      <c r="L844" s="1233" t="s">
        <v>325</v>
      </c>
      <c r="M844" s="1233"/>
      <c r="N844" s="1233"/>
      <c r="O844" s="1233"/>
      <c r="P844" s="1233" t="s">
        <v>261</v>
      </c>
      <c r="Q844" s="1233"/>
      <c r="R844" s="1233"/>
      <c r="S844" s="1233"/>
      <c r="T844" s="1233"/>
      <c r="U844" s="1233"/>
      <c r="V844" s="1235"/>
      <c r="W844" s="1235"/>
      <c r="X844" s="1235" t="s">
        <v>3877</v>
      </c>
      <c r="Y844" s="1235"/>
      <c r="Z844" s="1233"/>
      <c r="AA844" s="1233"/>
      <c r="AB844" s="1233"/>
      <c r="AC844" s="1233"/>
      <c r="AD844" s="1233"/>
      <c r="AE844" s="1233"/>
      <c r="AF844" s="1233"/>
      <c r="AG844" s="1233"/>
      <c r="AH844" s="1233"/>
      <c r="AI844" s="1233"/>
      <c r="AJ844" s="1233"/>
      <c r="AK844" s="1236"/>
      <c r="AL844" s="1237"/>
      <c r="AM844" s="1237"/>
      <c r="AN844" s="1237"/>
      <c r="AO844" s="1245"/>
      <c r="AP844" s="1245"/>
      <c r="AQ844" s="1245"/>
      <c r="AR844" s="1245"/>
      <c r="AS844" s="1245"/>
      <c r="AT844" s="1245"/>
      <c r="AU844" s="1245"/>
      <c r="AV844" s="1245"/>
      <c r="AW844" s="1245"/>
      <c r="AX844" s="1245"/>
    </row>
    <row r="845" spans="1:50" ht="14.25" customHeight="1" outlineLevel="1">
      <c r="A845" s="1363"/>
      <c r="B845" s="1363"/>
      <c r="C845" s="1363"/>
      <c r="D845" s="1363"/>
      <c r="E845" s="1363"/>
      <c r="F845" s="1363"/>
      <c r="G845" s="1363"/>
      <c r="H845" s="1500"/>
      <c r="I845" s="1500"/>
      <c r="J845" s="1500"/>
      <c r="K845" s="1500"/>
      <c r="L845" s="1500"/>
      <c r="M845" s="1500"/>
      <c r="N845" s="1500"/>
      <c r="O845" s="1500"/>
      <c r="P845" s="1500"/>
      <c r="Q845" s="1500"/>
      <c r="R845" s="1500"/>
      <c r="S845" s="1500"/>
      <c r="T845" s="1500"/>
      <c r="U845" s="1363"/>
      <c r="V845" s="117"/>
      <c r="W845" s="117"/>
      <c r="X845" s="1538" t="s">
        <v>619</v>
      </c>
      <c r="Y845" s="484"/>
      <c r="Z845" s="1530"/>
      <c r="AA845" s="1527"/>
      <c r="AB845" s="1527"/>
      <c r="AC845" s="1527"/>
      <c r="AD845" s="1527"/>
      <c r="AE845" s="1527"/>
      <c r="AF845" s="1527"/>
      <c r="AG845" s="1527"/>
      <c r="AH845" s="1527"/>
      <c r="AI845" s="1527"/>
      <c r="AJ845" s="1527"/>
      <c r="AK845" s="1363"/>
      <c r="AL845" s="364"/>
      <c r="AM845" s="1363"/>
      <c r="AN845" s="1363"/>
    </row>
    <row r="846" spans="1:50" s="1232" customFormat="1" ht="18" customHeight="1">
      <c r="A846" s="1233">
        <v>44</v>
      </c>
      <c r="B846" s="1233" t="s">
        <v>3878</v>
      </c>
      <c r="C846" s="1233" t="s">
        <v>3879</v>
      </c>
      <c r="D846" s="1233" t="s">
        <v>617</v>
      </c>
      <c r="E846" s="1233">
        <v>8</v>
      </c>
      <c r="F846" s="1233" t="s">
        <v>260</v>
      </c>
      <c r="G846" s="1234"/>
      <c r="H846" s="1233"/>
      <c r="I846" s="1233"/>
      <c r="J846" s="1233"/>
      <c r="K846" s="1233"/>
      <c r="L846" s="1233" t="s">
        <v>261</v>
      </c>
      <c r="M846" s="1233"/>
      <c r="N846" s="1233"/>
      <c r="O846" s="1233"/>
      <c r="P846" s="1233" t="s">
        <v>325</v>
      </c>
      <c r="Q846" s="1233"/>
      <c r="R846" s="1233"/>
      <c r="S846" s="1233"/>
      <c r="T846" s="1233"/>
      <c r="U846" s="1233"/>
      <c r="V846" s="1235"/>
      <c r="W846" s="1235"/>
      <c r="X846" s="1235" t="s">
        <v>3880</v>
      </c>
      <c r="Y846" s="1235"/>
      <c r="Z846" s="1233"/>
      <c r="AA846" s="1233"/>
      <c r="AB846" s="1233"/>
      <c r="AC846" s="1233"/>
      <c r="AD846" s="1233"/>
      <c r="AE846" s="1233"/>
      <c r="AF846" s="1233"/>
      <c r="AG846" s="1233"/>
      <c r="AH846" s="1233"/>
      <c r="AI846" s="1233"/>
      <c r="AJ846" s="1233"/>
      <c r="AK846" s="1236"/>
      <c r="AL846" s="1237"/>
      <c r="AM846" s="1237"/>
      <c r="AN846" s="1237"/>
      <c r="AO846" s="1245"/>
      <c r="AP846" s="1245"/>
      <c r="AQ846" s="1245"/>
      <c r="AR846" s="1245"/>
      <c r="AS846" s="1245"/>
      <c r="AT846" s="1245"/>
      <c r="AU846" s="1245"/>
      <c r="AV846" s="1245"/>
      <c r="AW846" s="1245"/>
      <c r="AX846" s="1245"/>
    </row>
    <row r="847" spans="1:50" ht="14.25" customHeight="1" outlineLevel="1">
      <c r="A847" s="1363"/>
      <c r="B847" s="1363"/>
      <c r="C847" s="1363"/>
      <c r="D847" s="1363"/>
      <c r="E847" s="1363"/>
      <c r="F847" s="1363"/>
      <c r="G847" s="1363"/>
      <c r="H847" s="1500"/>
      <c r="I847" s="1500"/>
      <c r="J847" s="1500"/>
      <c r="K847" s="1500"/>
      <c r="L847" s="1500"/>
      <c r="M847" s="1500"/>
      <c r="N847" s="1500"/>
      <c r="O847" s="1500"/>
      <c r="P847" s="1500"/>
      <c r="Q847" s="1500"/>
      <c r="R847" s="1500"/>
      <c r="S847" s="1500"/>
      <c r="T847" s="1500"/>
      <c r="U847" s="1363"/>
      <c r="V847" s="117"/>
      <c r="W847" s="117"/>
      <c r="X847" s="1538" t="s">
        <v>619</v>
      </c>
      <c r="Y847" s="484"/>
      <c r="Z847" s="1530"/>
      <c r="AA847" s="1527"/>
      <c r="AB847" s="1527"/>
      <c r="AC847" s="1527"/>
      <c r="AD847" s="1527"/>
      <c r="AE847" s="1527"/>
      <c r="AF847" s="1527"/>
      <c r="AG847" s="1527"/>
      <c r="AH847" s="1527"/>
      <c r="AI847" s="1527"/>
      <c r="AJ847" s="1527"/>
      <c r="AK847" s="1363"/>
      <c r="AL847" s="364"/>
      <c r="AM847" s="1363"/>
      <c r="AN847" s="1363"/>
    </row>
    <row r="848" spans="1:50" s="1232" customFormat="1" ht="18" customHeight="1">
      <c r="A848" s="1233">
        <v>33</v>
      </c>
      <c r="B848" s="1233" t="s">
        <v>3881</v>
      </c>
      <c r="C848" s="1233" t="s">
        <v>3882</v>
      </c>
      <c r="D848" s="1233" t="s">
        <v>259</v>
      </c>
      <c r="E848" s="1233">
        <v>8</v>
      </c>
      <c r="F848" s="1233" t="s">
        <v>260</v>
      </c>
      <c r="G848" s="1234"/>
      <c r="H848" s="1233"/>
      <c r="I848" s="1233"/>
      <c r="J848" s="1233"/>
      <c r="K848" s="1233"/>
      <c r="L848" s="1233"/>
      <c r="M848" s="1233"/>
      <c r="N848" s="1233"/>
      <c r="O848" s="1233"/>
      <c r="P848" s="1233" t="s">
        <v>325</v>
      </c>
      <c r="Q848" s="1233" t="s">
        <v>261</v>
      </c>
      <c r="R848" s="1233"/>
      <c r="S848" s="1233"/>
      <c r="T848" s="1233"/>
      <c r="U848" s="1233"/>
      <c r="V848" s="1235"/>
      <c r="W848" s="1235"/>
      <c r="X848" s="1235" t="s">
        <v>3883</v>
      </c>
      <c r="Y848" s="1235"/>
      <c r="Z848" s="1233"/>
      <c r="AA848" s="1233"/>
      <c r="AB848" s="1238">
        <f>Z848*8+AA848</f>
        <v>0</v>
      </c>
      <c r="AC848" s="1235"/>
      <c r="AD848" s="1235"/>
      <c r="AE848" s="1235" t="s">
        <v>651</v>
      </c>
      <c r="AF848" s="1235"/>
      <c r="AG848" s="1235"/>
      <c r="AH848" s="1235"/>
      <c r="AI848" s="1233"/>
      <c r="AJ848" s="1233"/>
      <c r="AK848" s="1236"/>
      <c r="AL848" s="1237" t="s">
        <v>3855</v>
      </c>
      <c r="AM848" s="1237"/>
      <c r="AN848" s="1237"/>
    </row>
    <row r="849" spans="1:40" ht="54.75" customHeight="1" outlineLevel="1">
      <c r="A849" s="1363"/>
      <c r="B849" s="1363"/>
      <c r="C849" s="1363"/>
      <c r="D849" s="1363"/>
      <c r="E849" s="1363"/>
      <c r="F849" s="1363"/>
      <c r="G849" s="1363"/>
      <c r="H849" s="1500"/>
      <c r="I849" s="1500"/>
      <c r="J849" s="1500"/>
      <c r="K849" s="1500"/>
      <c r="L849" s="1500"/>
      <c r="M849" s="1500"/>
      <c r="N849" s="1500"/>
      <c r="O849" s="1500"/>
      <c r="P849" s="1500"/>
      <c r="Q849" s="1500"/>
      <c r="R849" s="1500"/>
      <c r="S849" s="1500"/>
      <c r="T849" s="1500"/>
      <c r="U849" s="1363"/>
      <c r="V849" s="117"/>
      <c r="W849" s="117"/>
      <c r="X849" s="1540" t="s">
        <v>3884</v>
      </c>
      <c r="Y849" s="1539" t="s">
        <v>3885</v>
      </c>
      <c r="Z849" s="1548"/>
      <c r="AA849" s="1548"/>
      <c r="AB849" s="1548">
        <f>Z849*8+AA849</f>
        <v>0</v>
      </c>
      <c r="AC849" s="1548">
        <v>2</v>
      </c>
      <c r="AD849" s="1500"/>
      <c r="AE849" s="3132" t="s">
        <v>3886</v>
      </c>
      <c r="AF849" s="614"/>
      <c r="AG849" s="614"/>
      <c r="AH849" s="614"/>
      <c r="AI849" s="614"/>
      <c r="AJ849" s="1389"/>
      <c r="AK849" s="1389"/>
      <c r="AL849" s="364"/>
      <c r="AM849" s="1363"/>
      <c r="AN849" s="1363"/>
    </row>
    <row r="850" spans="1:40" ht="41.25" customHeight="1" outlineLevel="1">
      <c r="A850" s="1363"/>
      <c r="B850" s="1363"/>
      <c r="C850" s="1363"/>
      <c r="D850" s="1363"/>
      <c r="E850" s="1363"/>
      <c r="F850" s="1363"/>
      <c r="G850" s="1363"/>
      <c r="H850" s="1500"/>
      <c r="I850" s="1500"/>
      <c r="J850" s="1500"/>
      <c r="K850" s="1500"/>
      <c r="L850" s="1500"/>
      <c r="M850" s="1500"/>
      <c r="N850" s="1500"/>
      <c r="O850" s="1500"/>
      <c r="P850" s="1500"/>
      <c r="Q850" s="1500"/>
      <c r="R850" s="1500"/>
      <c r="S850" s="1500"/>
      <c r="T850" s="1500"/>
      <c r="U850" s="1363"/>
      <c r="V850" s="117"/>
      <c r="W850" s="117"/>
      <c r="X850" s="1540" t="s">
        <v>3887</v>
      </c>
      <c r="Y850" s="1539" t="s">
        <v>3888</v>
      </c>
      <c r="Z850" s="1548"/>
      <c r="AA850" s="1548"/>
      <c r="AB850" s="1548">
        <v>2</v>
      </c>
      <c r="AC850" s="1548">
        <v>2</v>
      </c>
      <c r="AD850" s="1500"/>
      <c r="AE850" s="3133" t="s">
        <v>3889</v>
      </c>
      <c r="AF850" s="614"/>
      <c r="AG850" s="614"/>
      <c r="AH850" s="614"/>
      <c r="AI850" s="614"/>
      <c r="AJ850" s="1389"/>
      <c r="AK850" s="1389"/>
      <c r="AL850" s="364"/>
      <c r="AM850" s="1363"/>
      <c r="AN850" s="1363"/>
    </row>
    <row r="851" spans="1:40" ht="41.25" customHeight="1" outlineLevel="1">
      <c r="A851" s="1363"/>
      <c r="B851" s="1363"/>
      <c r="C851" s="1363"/>
      <c r="D851" s="1363"/>
      <c r="E851" s="1363"/>
      <c r="F851" s="1363"/>
      <c r="G851" s="1363"/>
      <c r="H851" s="1500"/>
      <c r="I851" s="1500"/>
      <c r="J851" s="1500"/>
      <c r="K851" s="1500"/>
      <c r="L851" s="1500"/>
      <c r="M851" s="1500"/>
      <c r="N851" s="1500"/>
      <c r="O851" s="1500"/>
      <c r="P851" s="1500"/>
      <c r="Q851" s="1500"/>
      <c r="R851" s="1500"/>
      <c r="S851" s="1500"/>
      <c r="T851" s="1500"/>
      <c r="U851" s="1363"/>
      <c r="V851" s="117"/>
      <c r="W851" s="117"/>
      <c r="X851" s="1540" t="s">
        <v>3890</v>
      </c>
      <c r="Y851" s="1539" t="s">
        <v>3891</v>
      </c>
      <c r="Z851" s="1548"/>
      <c r="AA851" s="1548"/>
      <c r="AB851" s="1548">
        <v>4</v>
      </c>
      <c r="AC851" s="1548">
        <v>2</v>
      </c>
      <c r="AD851" s="1500"/>
      <c r="AE851" s="3134" t="s">
        <v>3892</v>
      </c>
      <c r="AF851" s="614"/>
      <c r="AG851" s="614"/>
      <c r="AH851" s="614"/>
      <c r="AI851" s="614"/>
      <c r="AJ851" s="1389"/>
      <c r="AK851" s="1389"/>
      <c r="AL851" s="364"/>
      <c r="AM851" s="1363"/>
      <c r="AN851" s="1363"/>
    </row>
    <row r="852" spans="1:40" ht="54.75" customHeight="1" outlineLevel="1">
      <c r="A852" s="1363"/>
      <c r="B852" s="1363"/>
      <c r="C852" s="1363"/>
      <c r="D852" s="1363"/>
      <c r="E852" s="1363"/>
      <c r="F852" s="1363"/>
      <c r="G852" s="1363"/>
      <c r="H852" s="1500"/>
      <c r="I852" s="1500"/>
      <c r="J852" s="1500"/>
      <c r="K852" s="1500"/>
      <c r="L852" s="1500"/>
      <c r="M852" s="1500"/>
      <c r="N852" s="1500"/>
      <c r="O852" s="1500"/>
      <c r="P852" s="1500"/>
      <c r="Q852" s="1500"/>
      <c r="R852" s="1500"/>
      <c r="S852" s="1500"/>
      <c r="T852" s="1500"/>
      <c r="U852" s="1363"/>
      <c r="V852" s="117"/>
      <c r="W852" s="117"/>
      <c r="X852" s="1540" t="s">
        <v>3893</v>
      </c>
      <c r="Y852" s="1539" t="s">
        <v>3894</v>
      </c>
      <c r="Z852" s="1548"/>
      <c r="AA852" s="1548"/>
      <c r="AB852" s="1548">
        <v>6</v>
      </c>
      <c r="AC852" s="1548">
        <v>2</v>
      </c>
      <c r="AD852" s="1500"/>
      <c r="AE852" s="3135" t="s">
        <v>3895</v>
      </c>
      <c r="AF852" s="614"/>
      <c r="AG852" s="614"/>
      <c r="AH852" s="614"/>
      <c r="AI852" s="614"/>
      <c r="AJ852" s="1389"/>
      <c r="AK852" s="1389"/>
      <c r="AL852" s="364"/>
      <c r="AM852" s="1363"/>
      <c r="AN852" s="1363"/>
    </row>
    <row r="853" spans="1:40" ht="95.25" customHeight="1" outlineLevel="1">
      <c r="A853" s="1363"/>
      <c r="B853" s="1363"/>
      <c r="C853" s="1363"/>
      <c r="D853" s="1363"/>
      <c r="E853" s="1363"/>
      <c r="F853" s="1363"/>
      <c r="G853" s="1363"/>
      <c r="H853" s="1500"/>
      <c r="I853" s="1500"/>
      <c r="J853" s="1500"/>
      <c r="K853" s="1500"/>
      <c r="L853" s="1500"/>
      <c r="M853" s="1500"/>
      <c r="N853" s="1500"/>
      <c r="O853" s="1500"/>
      <c r="P853" s="1500"/>
      <c r="Q853" s="1500"/>
      <c r="R853" s="1500"/>
      <c r="S853" s="1500"/>
      <c r="T853" s="1500"/>
      <c r="U853" s="1363"/>
      <c r="V853" s="117"/>
      <c r="W853" s="117"/>
      <c r="X853" s="1540" t="s">
        <v>3896</v>
      </c>
      <c r="Y853" s="1539" t="s">
        <v>3897</v>
      </c>
      <c r="Z853" s="1548"/>
      <c r="AA853" s="1548"/>
      <c r="AB853" s="1548">
        <v>8</v>
      </c>
      <c r="AC853" s="1548">
        <v>4</v>
      </c>
      <c r="AD853" s="1500"/>
      <c r="AE853" s="3136" t="s">
        <v>3898</v>
      </c>
      <c r="AF853" s="614"/>
      <c r="AG853" s="614"/>
      <c r="AH853" s="614"/>
      <c r="AI853" s="614"/>
      <c r="AJ853" s="1389"/>
      <c r="AK853" s="1389"/>
      <c r="AL853" s="364"/>
      <c r="AM853" s="1363"/>
      <c r="AN853" s="1363"/>
    </row>
    <row r="854" spans="1:40" ht="54.75" customHeight="1" outlineLevel="1">
      <c r="A854" s="1363"/>
      <c r="B854" s="1363"/>
      <c r="C854" s="1363"/>
      <c r="D854" s="1363"/>
      <c r="E854" s="1363"/>
      <c r="F854" s="1363"/>
      <c r="G854" s="1363"/>
      <c r="H854" s="1500"/>
      <c r="I854" s="1500"/>
      <c r="J854" s="1500"/>
      <c r="K854" s="1500"/>
      <c r="L854" s="1500"/>
      <c r="M854" s="1500"/>
      <c r="N854" s="1500"/>
      <c r="O854" s="1500"/>
      <c r="P854" s="1500"/>
      <c r="Q854" s="1500"/>
      <c r="R854" s="1500"/>
      <c r="S854" s="1500"/>
      <c r="T854" s="1500"/>
      <c r="U854" s="1363"/>
      <c r="V854" s="117"/>
      <c r="W854" s="117"/>
      <c r="X854" s="1540" t="s">
        <v>3899</v>
      </c>
      <c r="Y854" s="1539" t="s">
        <v>3900</v>
      </c>
      <c r="Z854" s="1548"/>
      <c r="AA854" s="1548"/>
      <c r="AB854" s="1548">
        <v>12</v>
      </c>
      <c r="AC854" s="1548">
        <v>4</v>
      </c>
      <c r="AD854" s="1500"/>
      <c r="AE854" s="3137" t="s">
        <v>3901</v>
      </c>
      <c r="AF854" s="614"/>
      <c r="AG854" s="614"/>
      <c r="AH854" s="614"/>
      <c r="AI854" s="614"/>
      <c r="AJ854" s="1389"/>
      <c r="AK854" s="1389"/>
      <c r="AL854" s="364"/>
      <c r="AM854" s="1363"/>
      <c r="AN854" s="1363"/>
    </row>
    <row r="855" spans="1:40" ht="15.75" customHeight="1" outlineLevel="1">
      <c r="A855" s="1363"/>
      <c r="B855" s="1363"/>
      <c r="C855" s="1363"/>
      <c r="D855" s="1363"/>
      <c r="E855" s="1363"/>
      <c r="F855" s="1363"/>
      <c r="G855" s="1363"/>
      <c r="H855" s="1500"/>
      <c r="I855" s="1500"/>
      <c r="J855" s="1500"/>
      <c r="K855" s="1500"/>
      <c r="L855" s="1500"/>
      <c r="M855" s="1500"/>
      <c r="N855" s="1500"/>
      <c r="O855" s="1500"/>
      <c r="P855" s="1500"/>
      <c r="Q855" s="1500"/>
      <c r="R855" s="1500"/>
      <c r="S855" s="1500"/>
      <c r="T855" s="1500"/>
      <c r="U855" s="1363"/>
      <c r="V855" s="117"/>
      <c r="W855" s="117"/>
      <c r="X855" s="1540" t="s">
        <v>3902</v>
      </c>
      <c r="Y855" s="1539" t="s">
        <v>3903</v>
      </c>
      <c r="Z855" s="1548"/>
      <c r="AA855" s="1548"/>
      <c r="AB855" s="1548">
        <v>16</v>
      </c>
      <c r="AC855" s="1548">
        <v>32</v>
      </c>
      <c r="AD855" s="1500"/>
      <c r="AE855" s="1540"/>
      <c r="AF855" s="614"/>
      <c r="AG855" s="614"/>
      <c r="AH855" s="614"/>
      <c r="AI855" s="614"/>
      <c r="AJ855" s="1389"/>
      <c r="AK855" s="1389"/>
      <c r="AL855" s="364"/>
      <c r="AM855" s="1363"/>
      <c r="AN855" s="1363"/>
    </row>
    <row r="856" spans="1:40" ht="41.25" customHeight="1" outlineLevel="1">
      <c r="A856" s="1363"/>
      <c r="B856" s="1363"/>
      <c r="C856" s="1363"/>
      <c r="D856" s="1363"/>
      <c r="E856" s="1363"/>
      <c r="F856" s="1363"/>
      <c r="G856" s="1363"/>
      <c r="H856" s="1500"/>
      <c r="I856" s="1500"/>
      <c r="J856" s="1500"/>
      <c r="K856" s="1500"/>
      <c r="L856" s="1500"/>
      <c r="M856" s="1500"/>
      <c r="N856" s="1500"/>
      <c r="O856" s="1500"/>
      <c r="P856" s="1500"/>
      <c r="Q856" s="1500"/>
      <c r="R856" s="1500"/>
      <c r="S856" s="1500"/>
      <c r="T856" s="1500"/>
      <c r="U856" s="1363"/>
      <c r="V856" s="117"/>
      <c r="W856" s="117"/>
      <c r="X856" s="1356" t="s">
        <v>3904</v>
      </c>
      <c r="Y856" s="1539" t="s">
        <v>3905</v>
      </c>
      <c r="Z856" s="1548"/>
      <c r="AA856" s="1548"/>
      <c r="AB856" s="1548">
        <v>48</v>
      </c>
      <c r="AC856" s="1548">
        <v>2</v>
      </c>
      <c r="AD856" s="1500"/>
      <c r="AE856" s="3138" t="s">
        <v>3906</v>
      </c>
      <c r="AF856" s="614"/>
      <c r="AG856" s="614"/>
      <c r="AH856" s="614"/>
      <c r="AI856" s="614"/>
      <c r="AJ856" s="1389"/>
      <c r="AK856" s="1389"/>
      <c r="AL856" s="364"/>
      <c r="AM856" s="1363"/>
      <c r="AN856" s="1363"/>
    </row>
    <row r="857" spans="1:40" ht="15" customHeight="1" outlineLevel="1">
      <c r="A857" s="1363"/>
      <c r="B857" s="1363"/>
      <c r="C857" s="1363"/>
      <c r="D857" s="1363"/>
      <c r="E857" s="1363"/>
      <c r="F857" s="1363"/>
      <c r="G857" s="1363"/>
      <c r="H857" s="1500"/>
      <c r="I857" s="1500"/>
      <c r="J857" s="1500"/>
      <c r="K857" s="1500"/>
      <c r="L857" s="1500"/>
      <c r="M857" s="1500"/>
      <c r="N857" s="1500"/>
      <c r="O857" s="1500"/>
      <c r="P857" s="1500"/>
      <c r="Q857" s="1500"/>
      <c r="R857" s="1500"/>
      <c r="S857" s="1500"/>
      <c r="T857" s="1500"/>
      <c r="U857" s="1363"/>
      <c r="V857" s="117"/>
      <c r="W857" s="117"/>
      <c r="X857" s="1540" t="s">
        <v>3907</v>
      </c>
      <c r="Y857" s="1539" t="s">
        <v>3908</v>
      </c>
      <c r="Z857" s="1548"/>
      <c r="AA857" s="1548"/>
      <c r="AB857" s="1548">
        <v>50</v>
      </c>
      <c r="AC857" s="1548">
        <v>4</v>
      </c>
      <c r="AD857" s="1500"/>
      <c r="AE857" s="3139" t="s">
        <v>3909</v>
      </c>
      <c r="AF857" s="614"/>
      <c r="AG857" s="614"/>
      <c r="AH857" s="614"/>
      <c r="AI857" s="614"/>
      <c r="AJ857" s="1389"/>
      <c r="AK857" s="1389"/>
      <c r="AL857" s="364"/>
      <c r="AM857" s="1363"/>
      <c r="AN857" s="1363"/>
    </row>
    <row r="858" spans="1:40" ht="54.75" customHeight="1" outlineLevel="1">
      <c r="A858" s="1363"/>
      <c r="B858" s="1363"/>
      <c r="C858" s="1363"/>
      <c r="D858" s="1363"/>
      <c r="E858" s="1363"/>
      <c r="F858" s="1363"/>
      <c r="G858" s="1363"/>
      <c r="H858" s="1500"/>
      <c r="I858" s="1500"/>
      <c r="J858" s="1500"/>
      <c r="K858" s="1500"/>
      <c r="L858" s="1500"/>
      <c r="M858" s="1500"/>
      <c r="N858" s="1500"/>
      <c r="O858" s="1500"/>
      <c r="P858" s="1500"/>
      <c r="Q858" s="1500"/>
      <c r="R858" s="1500"/>
      <c r="S858" s="1500"/>
      <c r="T858" s="1500"/>
      <c r="U858" s="1363"/>
      <c r="V858" s="117"/>
      <c r="W858" s="117"/>
      <c r="X858" s="1356" t="s">
        <v>3910</v>
      </c>
      <c r="Y858" s="1539" t="s">
        <v>3911</v>
      </c>
      <c r="Z858" s="1548"/>
      <c r="AA858" s="1548"/>
      <c r="AB858" s="1548">
        <v>54</v>
      </c>
      <c r="AC858" s="1548">
        <v>2</v>
      </c>
      <c r="AD858" s="1500"/>
      <c r="AE858" s="3140" t="s">
        <v>3912</v>
      </c>
      <c r="AF858" s="614"/>
      <c r="AG858" s="614"/>
      <c r="AH858" s="614"/>
      <c r="AI858" s="614"/>
      <c r="AJ858" s="1389"/>
      <c r="AK858" s="1389"/>
      <c r="AL858" s="364"/>
      <c r="AM858" s="1363"/>
      <c r="AN858" s="1363"/>
    </row>
    <row r="859" spans="1:40" ht="54.75" customHeight="1" outlineLevel="1">
      <c r="A859" s="1363"/>
      <c r="B859" s="1363"/>
      <c r="C859" s="1363"/>
      <c r="D859" s="1363"/>
      <c r="E859" s="1363"/>
      <c r="F859" s="1363"/>
      <c r="G859" s="1363"/>
      <c r="H859" s="1500"/>
      <c r="I859" s="1500"/>
      <c r="J859" s="1500"/>
      <c r="K859" s="1500"/>
      <c r="L859" s="1500"/>
      <c r="M859" s="1500"/>
      <c r="N859" s="1500"/>
      <c r="O859" s="1500"/>
      <c r="P859" s="1500"/>
      <c r="Q859" s="1500"/>
      <c r="R859" s="1500"/>
      <c r="S859" s="1500"/>
      <c r="T859" s="1500"/>
      <c r="U859" s="1363"/>
      <c r="V859" s="117"/>
      <c r="W859" s="117"/>
      <c r="X859" s="3141" t="s">
        <v>3913</v>
      </c>
      <c r="Y859" s="1539" t="s">
        <v>3914</v>
      </c>
      <c r="Z859" s="1548"/>
      <c r="AA859" s="1548"/>
      <c r="AB859" s="1548">
        <v>56</v>
      </c>
      <c r="AC859" s="1548">
        <v>2</v>
      </c>
      <c r="AD859" s="1500"/>
      <c r="AE859" s="3142" t="s">
        <v>3915</v>
      </c>
      <c r="AF859" s="614"/>
      <c r="AG859" s="614"/>
      <c r="AH859" s="614"/>
      <c r="AI859" s="614"/>
      <c r="AJ859" s="1389"/>
      <c r="AK859" s="1389"/>
      <c r="AL859" s="364"/>
      <c r="AM859" s="1363"/>
      <c r="AN859" s="1363"/>
    </row>
    <row r="860" spans="1:40" s="1232" customFormat="1" ht="18" customHeight="1">
      <c r="A860" s="1233">
        <v>5</v>
      </c>
      <c r="B860" s="1233" t="s">
        <v>392</v>
      </c>
      <c r="C860" s="1233" t="s">
        <v>393</v>
      </c>
      <c r="D860" s="1233" t="s">
        <v>259</v>
      </c>
      <c r="E860" s="1233">
        <v>8</v>
      </c>
      <c r="F860" s="1233" t="s">
        <v>260</v>
      </c>
      <c r="G860" s="1234" t="s">
        <v>261</v>
      </c>
      <c r="H860" s="1233" t="s">
        <v>325</v>
      </c>
      <c r="I860" s="1233"/>
      <c r="J860" s="1233"/>
      <c r="K860" s="1233"/>
      <c r="L860" s="1233"/>
      <c r="M860" s="1233"/>
      <c r="N860" s="1233"/>
      <c r="O860" s="1233"/>
      <c r="P860" s="1233" t="s">
        <v>325</v>
      </c>
      <c r="Q860" s="1233"/>
      <c r="R860" s="1233"/>
      <c r="S860" s="1233"/>
      <c r="T860" s="1233"/>
      <c r="U860" s="1233"/>
      <c r="V860" s="1235"/>
      <c r="W860" s="1235"/>
      <c r="X860" s="1235" t="s">
        <v>394</v>
      </c>
      <c r="Y860" s="1235"/>
      <c r="Z860" s="1233"/>
      <c r="AA860" s="1233"/>
      <c r="AB860" s="1233"/>
      <c r="AC860" s="1233"/>
      <c r="AD860" s="1233"/>
      <c r="AE860" s="1233"/>
      <c r="AF860" s="1233"/>
      <c r="AG860" s="1233"/>
      <c r="AH860" s="1233"/>
      <c r="AI860" s="1233"/>
      <c r="AJ860" s="1233"/>
      <c r="AK860" s="1236"/>
      <c r="AL860" s="1237"/>
      <c r="AM860" s="1237"/>
      <c r="AN860" s="1237"/>
    </row>
    <row r="861" spans="1:40" ht="29.25" customHeight="1" outlineLevel="1">
      <c r="A861" s="1363"/>
      <c r="B861" s="1500"/>
      <c r="C861" s="1500"/>
      <c r="D861" s="1500"/>
      <c r="E861" s="1500"/>
      <c r="F861" s="1500"/>
      <c r="G861" s="1363" t="s">
        <v>261</v>
      </c>
      <c r="H861" s="1500" t="s">
        <v>325</v>
      </c>
      <c r="I861" s="1500"/>
      <c r="J861" s="1500"/>
      <c r="K861" s="1500"/>
      <c r="L861" s="1500"/>
      <c r="M861" s="1500"/>
      <c r="N861" s="1500"/>
      <c r="O861" s="1500"/>
      <c r="P861" s="1500"/>
      <c r="Q861" s="1500"/>
      <c r="R861" s="1500"/>
      <c r="S861" s="1500"/>
      <c r="T861" s="1500"/>
      <c r="U861" s="1389"/>
      <c r="V861" s="117"/>
      <c r="W861" s="117"/>
      <c r="X861" s="3143" t="s">
        <v>395</v>
      </c>
      <c r="Y861" s="1547" t="s">
        <v>396</v>
      </c>
      <c r="Z861" s="454">
        <v>0</v>
      </c>
      <c r="AA861" s="1512">
        <v>0</v>
      </c>
      <c r="AB861" s="1548">
        <f>Z861*8+AA861</f>
        <v>0</v>
      </c>
      <c r="AC861" s="1512">
        <v>1</v>
      </c>
      <c r="AD861" s="1512"/>
      <c r="AE861" s="3144" t="s">
        <v>397</v>
      </c>
      <c r="AF861" s="1512"/>
      <c r="AG861" s="1512"/>
      <c r="AH861" s="1512"/>
      <c r="AI861" s="1512">
        <v>0</v>
      </c>
      <c r="AJ861" s="1512"/>
      <c r="AK861" s="212"/>
      <c r="AL861" s="364"/>
      <c r="AM861" s="1363"/>
      <c r="AN861" s="1363"/>
    </row>
    <row r="862" spans="1:40" ht="29.25" customHeight="1">
      <c r="X862" s="3145" t="s">
        <v>3916</v>
      </c>
      <c r="Y862" s="57" t="s">
        <v>3917</v>
      </c>
      <c r="Z862" s="1145">
        <v>1</v>
      </c>
      <c r="AA862" s="1146">
        <v>0</v>
      </c>
      <c r="AB862" s="1508">
        <v>8</v>
      </c>
      <c r="AC862" s="1507">
        <v>2</v>
      </c>
      <c r="AD862" s="1507"/>
      <c r="AE862" s="1507" t="s">
        <v>348</v>
      </c>
      <c r="AF862" s="304">
        <v>1</v>
      </c>
      <c r="AI862" s="54">
        <v>2</v>
      </c>
    </row>
    <row r="863" spans="1:40" ht="29.25" customHeight="1">
      <c r="X863" s="3146" t="s">
        <v>3918</v>
      </c>
      <c r="Y863" s="57" t="s">
        <v>3919</v>
      </c>
      <c r="Z863" s="54">
        <v>1</v>
      </c>
      <c r="AA863" s="54">
        <v>2</v>
      </c>
      <c r="AB863" s="54">
        <v>10</v>
      </c>
      <c r="AC863" s="54">
        <v>2</v>
      </c>
      <c r="AE863" s="1507" t="s">
        <v>348</v>
      </c>
      <c r="AF863" s="304">
        <v>1</v>
      </c>
      <c r="AI863" s="54">
        <v>2</v>
      </c>
    </row>
    <row r="864" spans="1:40" ht="29.25" customHeight="1">
      <c r="X864" s="3147" t="s">
        <v>3920</v>
      </c>
      <c r="Y864" s="57" t="s">
        <v>3921</v>
      </c>
      <c r="Z864" s="54">
        <v>1</v>
      </c>
      <c r="AA864" s="54">
        <v>4</v>
      </c>
      <c r="AB864" s="54">
        <v>12</v>
      </c>
      <c r="AC864" s="54">
        <v>2</v>
      </c>
      <c r="AE864" s="1507" t="s">
        <v>348</v>
      </c>
      <c r="AF864" s="304">
        <v>1</v>
      </c>
      <c r="AI864" s="54">
        <v>2</v>
      </c>
    </row>
    <row r="865" spans="24:35" ht="29.25" customHeight="1">
      <c r="X865" s="3148" t="s">
        <v>3922</v>
      </c>
      <c r="Y865" s="57" t="s">
        <v>3923</v>
      </c>
      <c r="Z865" s="54">
        <v>1</v>
      </c>
      <c r="AA865" s="54">
        <v>6</v>
      </c>
      <c r="AB865" s="54">
        <v>14</v>
      </c>
      <c r="AC865" s="54">
        <v>2</v>
      </c>
      <c r="AE865" s="1507" t="s">
        <v>348</v>
      </c>
      <c r="AF865" s="304">
        <v>1</v>
      </c>
      <c r="AI865" s="54">
        <v>2</v>
      </c>
    </row>
    <row r="866" spans="24:35" ht="29.25" customHeight="1">
      <c r="X866" s="3149" t="s">
        <v>3924</v>
      </c>
      <c r="Y866" s="57" t="s">
        <v>3925</v>
      </c>
      <c r="Z866" s="54">
        <v>2</v>
      </c>
      <c r="AA866" s="54">
        <v>0</v>
      </c>
      <c r="AB866" s="54">
        <v>16</v>
      </c>
      <c r="AC866" s="54">
        <v>2</v>
      </c>
      <c r="AE866" s="1507" t="s">
        <v>348</v>
      </c>
      <c r="AF866" s="304">
        <v>1</v>
      </c>
      <c r="AI866" s="54">
        <v>2</v>
      </c>
    </row>
  </sheetData>
  <mergeCells count="31">
    <mergeCell ref="C751:C763"/>
    <mergeCell ref="X821:X822"/>
    <mergeCell ref="C663:C668"/>
    <mergeCell ref="AK715:AK716"/>
    <mergeCell ref="C728:C735"/>
    <mergeCell ref="C723:C726"/>
    <mergeCell ref="C737:C743"/>
    <mergeCell ref="D3:D4"/>
    <mergeCell ref="A3:A4"/>
    <mergeCell ref="AC3:AC4"/>
    <mergeCell ref="A1:AP1"/>
    <mergeCell ref="AH3:AH4"/>
    <mergeCell ref="Z3:Z4"/>
    <mergeCell ref="AA3:AA4"/>
    <mergeCell ref="C3:C4"/>
    <mergeCell ref="B3:B4"/>
    <mergeCell ref="AE3:AE4"/>
    <mergeCell ref="A2:F2"/>
    <mergeCell ref="F3:F4"/>
    <mergeCell ref="AD3:AD4"/>
    <mergeCell ref="Y3:Y4"/>
    <mergeCell ref="G2:J2"/>
    <mergeCell ref="X2:AJ2"/>
    <mergeCell ref="G3:M3"/>
    <mergeCell ref="AB3:AB4"/>
    <mergeCell ref="AG3:AG4"/>
    <mergeCell ref="AJ3:AJ4"/>
    <mergeCell ref="E3:E4"/>
    <mergeCell ref="AF3:AF4"/>
    <mergeCell ref="X3:X4"/>
    <mergeCell ref="AI3:AI4"/>
  </mergeCells>
  <phoneticPr fontId="1" type="noConversion"/>
  <conditionalFormatting sqref="X399:X400">
    <cfRule type="expression" dxfId="28" priority="10">
      <formula>LEN(X402)&gt;27</formula>
    </cfRule>
  </conditionalFormatting>
  <conditionalFormatting sqref="X403:X406">
    <cfRule type="expression" dxfId="27" priority="8">
      <formula>LEN(X406)&gt;27</formula>
    </cfRule>
  </conditionalFormatting>
  <conditionalFormatting sqref="Y1:Y13 Y18 Y23:Y30 Y32:Y64 Y102:Y112 Y114:Y121 Y123:Y128 Y130:Y152 Y154:Y157 Y159:Y162 Y200:Y210 Y212:Y219 Y221:Y223 Y237:Y238 Y243:Y268 Y274:Y297 Y310:Y312 Y318:Y352 Y355 Y358:Y376 Y381:Y383 Y387 Y393:Y397 Y399:Y401 Y403:Y406">
    <cfRule type="expression" dxfId="26" priority="52">
      <formula>LEN(Y214)&gt;27</formula>
    </cfRule>
  </conditionalFormatting>
  <conditionalFormatting sqref="Y224:Y225 Y239:Y241 Y270:Y273 Y353 Y388:Y391">
    <cfRule type="expression" dxfId="25" priority="16">
      <formula>LEN(Y228)&gt;27</formula>
    </cfRule>
  </conditionalFormatting>
  <conditionalFormatting sqref="Y226 Y313:Y317">
    <cfRule type="expression" dxfId="24" priority="37">
      <formula>LEN(Y231)&gt;27</formula>
    </cfRule>
  </conditionalFormatting>
  <conditionalFormatting sqref="Y227 Y300:Y303">
    <cfRule type="expression" dxfId="23" priority="44">
      <formula>LEN(Y237)&gt;27</formula>
    </cfRule>
  </conditionalFormatting>
  <conditionalFormatting sqref="Y227">
    <cfRule type="expression" dxfId="22" priority="39">
      <formula>LEN(Y239)&gt;27</formula>
    </cfRule>
  </conditionalFormatting>
  <conditionalFormatting sqref="Y228:Y230">
    <cfRule type="expression" dxfId="21" priority="34">
      <formula>LEN(Y237)&gt;27</formula>
    </cfRule>
  </conditionalFormatting>
  <conditionalFormatting sqref="Y231">
    <cfRule type="expression" dxfId="20" priority="41">
      <formula>LEN(Y239)&gt;27</formula>
    </cfRule>
  </conditionalFormatting>
  <conditionalFormatting sqref="Y232">
    <cfRule type="expression" dxfId="19" priority="1">
      <formula>LEN(Y236)&gt;27</formula>
    </cfRule>
  </conditionalFormatting>
  <conditionalFormatting sqref="Y233">
    <cfRule type="expression" dxfId="18" priority="3">
      <formula>LEN(Y238)&gt;27</formula>
    </cfRule>
  </conditionalFormatting>
  <conditionalFormatting sqref="Y234">
    <cfRule type="expression" dxfId="17" priority="4">
      <formula>LEN(Y246)&gt;27</formula>
    </cfRule>
    <cfRule type="expression" dxfId="16" priority="5">
      <formula>LEN(Y244)&gt;27</formula>
    </cfRule>
  </conditionalFormatting>
  <conditionalFormatting sqref="Y235:Y236">
    <cfRule type="expression" dxfId="15" priority="2">
      <formula>LEN(Y244)&gt;27</formula>
    </cfRule>
  </conditionalFormatting>
  <conditionalFormatting sqref="Y242">
    <cfRule type="expression" dxfId="14" priority="6">
      <formula>LEN(Y247)&gt;27</formula>
    </cfRule>
    <cfRule type="expression" dxfId="13" priority="7">
      <formula>LEN(Y249)&gt;27</formula>
    </cfRule>
  </conditionalFormatting>
  <conditionalFormatting sqref="Y269">
    <cfRule type="expression" dxfId="12" priority="29">
      <formula>LEN(#REF!)&gt;27</formula>
    </cfRule>
  </conditionalFormatting>
  <conditionalFormatting sqref="Y298">
    <cfRule type="expression" dxfId="11" priority="45">
      <formula>LEN(Y309)&gt;27</formula>
    </cfRule>
  </conditionalFormatting>
  <conditionalFormatting sqref="Y299">
    <cfRule type="expression" dxfId="10" priority="51">
      <formula>LEN(#REF!)&gt;27</formula>
    </cfRule>
  </conditionalFormatting>
  <conditionalFormatting sqref="Y309 Y357 Y378 Y380">
    <cfRule type="expression" dxfId="9" priority="15">
      <formula>LEN(Y311)&gt;27</formula>
    </cfRule>
  </conditionalFormatting>
  <conditionalFormatting sqref="Y354">
    <cfRule type="expression" dxfId="8" priority="17">
      <formula>LEN(#REF!)&gt;27</formula>
    </cfRule>
  </conditionalFormatting>
  <conditionalFormatting sqref="Y377">
    <cfRule type="expression" dxfId="7" priority="33">
      <formula>LEN(#REF!)&gt;27</formula>
    </cfRule>
  </conditionalFormatting>
  <conditionalFormatting sqref="Y379">
    <cfRule type="expression" dxfId="6" priority="22">
      <formula>LEN(#REF!)&gt;27</formula>
    </cfRule>
  </conditionalFormatting>
  <conditionalFormatting sqref="Y384:Y385">
    <cfRule type="expression" dxfId="5" priority="26">
      <formula>LEN(#REF!)&gt;27</formula>
    </cfRule>
  </conditionalFormatting>
  <conditionalFormatting sqref="Y386">
    <cfRule type="expression" dxfId="4" priority="25">
      <formula>LEN(Y387)&gt;27</formula>
    </cfRule>
  </conditionalFormatting>
  <conditionalFormatting sqref="Y392">
    <cfRule type="expression" dxfId="3" priority="12">
      <formula>LEN(Y393)&gt;27</formula>
    </cfRule>
  </conditionalFormatting>
  <conditionalFormatting sqref="Y398">
    <cfRule type="expression" dxfId="2" priority="11">
      <formula>LEN(Y399)&gt;27</formula>
    </cfRule>
  </conditionalFormatting>
  <conditionalFormatting sqref="Y402">
    <cfRule type="expression" dxfId="1" priority="9">
      <formula>LEN(Y403)&gt;27</formula>
    </cfRule>
  </conditionalFormatting>
  <conditionalFormatting sqref="Y408">
    <cfRule type="expression" dxfId="0" priority="13">
      <formula>LEN(Y411)&gt;27</formula>
    </cfRule>
  </conditionalFormatting>
  <dataValidations count="1">
    <dataValidation type="list" allowBlank="1" showInputMessage="1" showErrorMessage="1" sqref="F527 F514:F521 F529" xr:uid="{00000000-0002-0000-0500-000000000000}">
      <formula1>"Intel,Motorola"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5FEF-AFA9-4CE8-9CBB-B5D490584F67}">
  <sheetPr>
    <outlinePr summaryBelow="0" summaryRight="0"/>
  </sheetPr>
  <dimension ref="A1:H4"/>
  <sheetViews>
    <sheetView workbookViewId="0">
      <selection sqref="A1:H1"/>
    </sheetView>
  </sheetViews>
  <sheetFormatPr defaultColWidth="8.125" defaultRowHeight="14.25" customHeight="1"/>
  <cols>
    <col min="1" max="1" width="17.875" style="254" customWidth="1"/>
    <col min="2" max="2" width="30.375" style="254" customWidth="1"/>
    <col min="3" max="3" width="45.125" style="254" customWidth="1"/>
    <col min="4" max="4" width="15" style="254" customWidth="1"/>
    <col min="5" max="5" width="12" style="254" customWidth="1"/>
  </cols>
  <sheetData>
    <row r="1" spans="1:8" ht="14.25" customHeight="1">
      <c r="A1" s="3363" t="s">
        <v>3926</v>
      </c>
      <c r="B1" s="3363"/>
      <c r="C1" s="3363"/>
      <c r="D1" s="3363"/>
      <c r="E1" s="3363"/>
      <c r="F1" s="3363"/>
      <c r="G1" s="3363"/>
      <c r="H1" s="3363"/>
    </row>
    <row r="2" spans="1:8" ht="14.25" customHeight="1">
      <c r="A2" s="1089" t="s">
        <v>3927</v>
      </c>
      <c r="B2" s="1089" t="s">
        <v>3928</v>
      </c>
      <c r="C2" s="1089" t="s">
        <v>3929</v>
      </c>
      <c r="D2" s="1089" t="s">
        <v>3930</v>
      </c>
      <c r="E2" s="1089" t="s">
        <v>3931</v>
      </c>
      <c r="F2" s="3359"/>
      <c r="G2" s="3359"/>
      <c r="H2" s="3359"/>
    </row>
    <row r="3" spans="1:8" ht="152.25" customHeight="1">
      <c r="A3" s="1089" t="s">
        <v>3932</v>
      </c>
      <c r="B3" s="1090" t="s">
        <v>3933</v>
      </c>
      <c r="C3" s="3150" t="s">
        <v>3934</v>
      </c>
      <c r="D3" s="3360" t="s">
        <v>3935</v>
      </c>
      <c r="E3" s="3360"/>
      <c r="F3" s="3359"/>
      <c r="G3" s="3359"/>
      <c r="H3" s="3359"/>
    </row>
    <row r="4" spans="1:8" ht="15" customHeight="1">
      <c r="A4" s="3361">
        <v>7</v>
      </c>
      <c r="B4" s="3362"/>
      <c r="C4" s="3362"/>
      <c r="D4" s="3362"/>
      <c r="E4" s="3362"/>
      <c r="F4" s="3362"/>
      <c r="G4" s="3362"/>
      <c r="H4" s="3362"/>
    </row>
  </sheetData>
  <mergeCells count="4">
    <mergeCell ref="F2:H3"/>
    <mergeCell ref="D3:E3"/>
    <mergeCell ref="A4:H4"/>
    <mergeCell ref="A1:H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46B7-AC9B-4EF5-AD79-F4DC642E7D45}">
  <sheetPr>
    <outlinePr summaryBelow="0" summaryRight="0"/>
  </sheetPr>
  <dimension ref="A1:AB475"/>
  <sheetViews>
    <sheetView workbookViewId="0">
      <pane xSplit="5" ySplit="4" topLeftCell="F5" activePane="bottomRight" state="frozen"/>
      <selection pane="topRight"/>
      <selection pane="bottomLeft"/>
      <selection pane="bottomRight" activeCell="F5" sqref="F5"/>
    </sheetView>
  </sheetViews>
  <sheetFormatPr defaultColWidth="9" defaultRowHeight="14.25" customHeight="1"/>
  <cols>
    <col min="1" max="1" width="34.625" style="254" customWidth="1"/>
    <col min="2" max="2" width="70.5" style="12" customWidth="1"/>
    <col min="3" max="3" width="29" style="254" customWidth="1"/>
    <col min="4" max="4" width="7.875" style="13" customWidth="1"/>
    <col min="5" max="5" width="5.625" style="12" customWidth="1"/>
    <col min="6" max="6" width="30.625" style="12" customWidth="1"/>
    <col min="7" max="7" width="46.5" style="14" customWidth="1"/>
    <col min="8" max="8" width="15" style="254" customWidth="1"/>
    <col min="9" max="9" width="19.5" style="15" customWidth="1"/>
    <col min="10" max="11" width="9" style="254" customWidth="1"/>
    <col min="12" max="12" width="14.625" style="254" customWidth="1"/>
    <col min="13" max="14" width="9" style="254" customWidth="1"/>
    <col min="15" max="16" width="14.125" style="3" customWidth="1"/>
    <col min="17" max="17" width="11.125" style="254" customWidth="1"/>
    <col min="18" max="18" width="11.625" style="254" customWidth="1"/>
    <col min="19" max="19" width="12.5" style="353" customWidth="1"/>
    <col min="20" max="20" width="7.125" style="254" customWidth="1"/>
    <col min="21" max="21" width="9" style="254" customWidth="1"/>
    <col min="22" max="22" width="8.625" style="254" customWidth="1"/>
    <col min="23" max="23" width="9" style="254" customWidth="1"/>
    <col min="24" max="24" width="15.125" style="254" customWidth="1"/>
    <col min="25" max="25" width="9" style="254" customWidth="1"/>
    <col min="26" max="26" width="28.5" style="14" customWidth="1"/>
    <col min="27" max="27" width="21.125" style="14" customWidth="1"/>
    <col min="28" max="28" width="26.375" style="312" customWidth="1"/>
  </cols>
  <sheetData>
    <row r="1" spans="1:28" ht="20.25" customHeight="1">
      <c r="A1" s="3408" t="s">
        <v>3936</v>
      </c>
      <c r="B1" s="3409"/>
      <c r="C1" s="3409"/>
      <c r="D1" s="3409"/>
      <c r="E1" s="3409"/>
      <c r="F1" s="3409"/>
      <c r="G1" s="3409"/>
      <c r="H1" s="3409"/>
      <c r="I1" s="3409"/>
      <c r="J1" s="3409"/>
      <c r="K1" s="3409"/>
      <c r="L1" s="3409"/>
      <c r="M1" s="3409"/>
      <c r="N1" s="3409"/>
      <c r="O1" s="3409"/>
      <c r="P1" s="3409"/>
      <c r="Q1" s="3409"/>
      <c r="R1" s="3409"/>
      <c r="S1" s="3409"/>
      <c r="T1" s="3409"/>
      <c r="U1" s="3409"/>
      <c r="V1" s="3409"/>
      <c r="W1" s="3409"/>
      <c r="X1" s="3409"/>
      <c r="Y1" s="3409"/>
      <c r="Z1" s="3409"/>
      <c r="AA1" s="3410"/>
    </row>
    <row r="2" spans="1:28" s="4" customFormat="1" ht="36.75" customHeight="1">
      <c r="A2" s="3385" t="s">
        <v>115</v>
      </c>
      <c r="B2" s="3386"/>
      <c r="C2" s="3387"/>
      <c r="D2" s="3398" t="s">
        <v>116</v>
      </c>
      <c r="E2" s="3373" t="s">
        <v>3937</v>
      </c>
      <c r="F2" s="3367" t="s">
        <v>3938</v>
      </c>
      <c r="G2" s="3368"/>
      <c r="H2" s="3367" t="s">
        <v>3939</v>
      </c>
      <c r="I2" s="3391"/>
      <c r="J2" s="3391"/>
      <c r="K2" s="3368"/>
      <c r="L2" s="3369" t="s">
        <v>3940</v>
      </c>
      <c r="M2" s="916" t="s">
        <v>3941</v>
      </c>
      <c r="N2" s="917"/>
      <c r="O2" s="918" t="s">
        <v>3942</v>
      </c>
      <c r="P2" s="916"/>
      <c r="Q2" s="916"/>
      <c r="R2" s="917"/>
      <c r="S2" s="919"/>
      <c r="T2" s="917"/>
      <c r="U2" s="917"/>
      <c r="V2" s="917"/>
      <c r="W2" s="917"/>
      <c r="X2" s="3380" t="s">
        <v>3943</v>
      </c>
      <c r="Y2" s="3377" t="s">
        <v>117</v>
      </c>
      <c r="Z2" s="3378"/>
      <c r="AA2" s="3379"/>
      <c r="AB2" s="313"/>
    </row>
    <row r="3" spans="1:28" s="4" customFormat="1" ht="15.75" customHeight="1">
      <c r="A3" s="3388"/>
      <c r="B3" s="3389"/>
      <c r="C3" s="3390"/>
      <c r="D3" s="3399"/>
      <c r="E3" s="3374"/>
      <c r="F3" s="3406" t="s">
        <v>3944</v>
      </c>
      <c r="G3" s="3369" t="s">
        <v>3945</v>
      </c>
      <c r="H3" s="3369" t="s">
        <v>3946</v>
      </c>
      <c r="I3" s="3369" t="s">
        <v>3947</v>
      </c>
      <c r="J3" s="3369" t="s">
        <v>3948</v>
      </c>
      <c r="K3" s="3369" t="s">
        <v>3949</v>
      </c>
      <c r="L3" s="3405"/>
      <c r="M3" s="3396" t="s">
        <v>3950</v>
      </c>
      <c r="N3" s="3392" t="s">
        <v>3951</v>
      </c>
      <c r="O3" s="3371" t="s">
        <v>3952</v>
      </c>
      <c r="P3" s="569"/>
      <c r="Q3" s="3394" t="s">
        <v>3953</v>
      </c>
      <c r="R3" s="3395"/>
      <c r="S3" s="3383" t="s">
        <v>3954</v>
      </c>
      <c r="T3" s="3392" t="s">
        <v>3955</v>
      </c>
      <c r="U3" s="3396" t="s">
        <v>3956</v>
      </c>
      <c r="V3" s="3367" t="s">
        <v>3957</v>
      </c>
      <c r="W3" s="3368"/>
      <c r="X3" s="3381"/>
      <c r="Y3" s="3392" t="s">
        <v>118</v>
      </c>
      <c r="Z3" s="3392" t="s">
        <v>3958</v>
      </c>
      <c r="AA3" s="3392" t="s">
        <v>3959</v>
      </c>
      <c r="AB3" s="313" t="s">
        <v>3960</v>
      </c>
    </row>
    <row r="4" spans="1:28" s="4" customFormat="1" ht="30.75" customHeight="1">
      <c r="A4" s="920" t="s">
        <v>121</v>
      </c>
      <c r="B4" s="921" t="s">
        <v>122</v>
      </c>
      <c r="C4" s="922" t="s">
        <v>123</v>
      </c>
      <c r="D4" s="3400"/>
      <c r="E4" s="3375"/>
      <c r="F4" s="3407"/>
      <c r="G4" s="3370"/>
      <c r="H4" s="3370"/>
      <c r="I4" s="3370"/>
      <c r="J4" s="3370"/>
      <c r="K4" s="3370"/>
      <c r="L4" s="3370"/>
      <c r="M4" s="3397"/>
      <c r="N4" s="3393"/>
      <c r="O4" s="3372"/>
      <c r="P4" s="202"/>
      <c r="Q4" s="923" t="s">
        <v>3961</v>
      </c>
      <c r="R4" s="923" t="s">
        <v>3962</v>
      </c>
      <c r="S4" s="3384"/>
      <c r="T4" s="3393"/>
      <c r="U4" s="3397"/>
      <c r="V4" s="924" t="s">
        <v>3963</v>
      </c>
      <c r="W4" s="924" t="s">
        <v>3964</v>
      </c>
      <c r="X4" s="3382"/>
      <c r="Y4" s="3393"/>
      <c r="Z4" s="3393"/>
      <c r="AA4" s="3393"/>
      <c r="AB4" s="313"/>
    </row>
    <row r="5" spans="1:28" ht="75.75" customHeight="1">
      <c r="A5" s="749" t="s">
        <v>3965</v>
      </c>
      <c r="B5" s="925" t="s">
        <v>3966</v>
      </c>
      <c r="C5" s="1061" t="s">
        <v>3967</v>
      </c>
      <c r="D5" s="750" t="s">
        <v>3968</v>
      </c>
      <c r="E5" s="925">
        <v>3</v>
      </c>
      <c r="F5" s="925" t="s">
        <v>3969</v>
      </c>
      <c r="G5" s="1126" t="s">
        <v>3970</v>
      </c>
      <c r="H5" s="927" t="s">
        <v>3969</v>
      </c>
      <c r="I5" s="928" t="s">
        <v>3971</v>
      </c>
      <c r="J5" s="926" t="s">
        <v>3972</v>
      </c>
      <c r="K5" s="926" t="s">
        <v>3973</v>
      </c>
      <c r="L5" s="926" t="s">
        <v>3974</v>
      </c>
      <c r="M5" s="926" t="s">
        <v>3975</v>
      </c>
      <c r="N5" s="926" t="s">
        <v>3975</v>
      </c>
      <c r="O5" s="926" t="s">
        <v>3976</v>
      </c>
      <c r="P5" s="926"/>
      <c r="Q5" s="929" t="s">
        <v>3977</v>
      </c>
      <c r="R5" s="929" t="s">
        <v>3977</v>
      </c>
      <c r="S5" s="930" t="s">
        <v>3978</v>
      </c>
      <c r="T5" s="926" t="s">
        <v>3974</v>
      </c>
      <c r="U5" s="926" t="s">
        <v>3974</v>
      </c>
      <c r="V5" s="926" t="s">
        <v>3974</v>
      </c>
      <c r="W5" s="926" t="s">
        <v>3974</v>
      </c>
      <c r="X5" s="926" t="s">
        <v>3979</v>
      </c>
      <c r="Y5" s="749" t="s">
        <v>3980</v>
      </c>
      <c r="Z5" s="752" t="s">
        <v>3981</v>
      </c>
      <c r="AA5" s="752" t="s">
        <v>3982</v>
      </c>
    </row>
    <row r="6" spans="1:28" ht="75.75" customHeight="1">
      <c r="A6" s="749" t="s">
        <v>3983</v>
      </c>
      <c r="B6" s="925" t="s">
        <v>3984</v>
      </c>
      <c r="C6" s="1061" t="s">
        <v>3985</v>
      </c>
      <c r="D6" s="750" t="s">
        <v>3986</v>
      </c>
      <c r="E6" s="925">
        <v>3</v>
      </c>
      <c r="F6" s="925" t="s">
        <v>3969</v>
      </c>
      <c r="G6" s="1126" t="s">
        <v>3987</v>
      </c>
      <c r="H6" s="927" t="s">
        <v>3969</v>
      </c>
      <c r="I6" s="928" t="s">
        <v>3971</v>
      </c>
      <c r="J6" s="926" t="s">
        <v>3972</v>
      </c>
      <c r="K6" s="926" t="s">
        <v>3973</v>
      </c>
      <c r="L6" s="926" t="s">
        <v>3974</v>
      </c>
      <c r="M6" s="926" t="s">
        <v>3975</v>
      </c>
      <c r="N6" s="926" t="s">
        <v>3975</v>
      </c>
      <c r="O6" s="926" t="s">
        <v>3974</v>
      </c>
      <c r="P6" s="926"/>
      <c r="Q6" s="929">
        <v>0</v>
      </c>
      <c r="R6" s="929">
        <v>0</v>
      </c>
      <c r="S6" s="930">
        <v>0</v>
      </c>
      <c r="T6" s="926" t="s">
        <v>3988</v>
      </c>
      <c r="U6" s="926" t="s">
        <v>3974</v>
      </c>
      <c r="V6" s="926" t="s">
        <v>3974</v>
      </c>
      <c r="W6" s="926" t="s">
        <v>3974</v>
      </c>
      <c r="X6" s="926" t="s">
        <v>3979</v>
      </c>
      <c r="Y6" s="749" t="s">
        <v>3980</v>
      </c>
      <c r="Z6" s="752" t="s">
        <v>3981</v>
      </c>
      <c r="AA6" s="752" t="s">
        <v>3989</v>
      </c>
    </row>
    <row r="7" spans="1:28" ht="75.75" customHeight="1">
      <c r="A7" s="749" t="s">
        <v>3990</v>
      </c>
      <c r="B7" s="925" t="s">
        <v>3991</v>
      </c>
      <c r="C7" s="1061" t="s">
        <v>3992</v>
      </c>
      <c r="D7" s="750" t="s">
        <v>3993</v>
      </c>
      <c r="E7" s="925">
        <v>3</v>
      </c>
      <c r="F7" s="925" t="s">
        <v>3994</v>
      </c>
      <c r="G7" s="1126" t="s">
        <v>3995</v>
      </c>
      <c r="H7" s="927" t="s">
        <v>3994</v>
      </c>
      <c r="I7" s="931" t="s">
        <v>3996</v>
      </c>
      <c r="J7" s="926" t="s">
        <v>3972</v>
      </c>
      <c r="K7" s="926" t="s">
        <v>3973</v>
      </c>
      <c r="L7" s="926" t="s">
        <v>3974</v>
      </c>
      <c r="M7" s="926" t="s">
        <v>3975</v>
      </c>
      <c r="N7" s="926" t="s">
        <v>3975</v>
      </c>
      <c r="O7" s="926" t="s">
        <v>3974</v>
      </c>
      <c r="P7" s="926"/>
      <c r="Q7" s="929" t="s">
        <v>3977</v>
      </c>
      <c r="R7" s="929" t="s">
        <v>3977</v>
      </c>
      <c r="S7" s="930" t="s">
        <v>3978</v>
      </c>
      <c r="T7" s="926" t="s">
        <v>3974</v>
      </c>
      <c r="U7" s="926" t="s">
        <v>3974</v>
      </c>
      <c r="V7" s="926" t="s">
        <v>3974</v>
      </c>
      <c r="W7" s="926" t="s">
        <v>3974</v>
      </c>
      <c r="X7" s="926" t="s">
        <v>3979</v>
      </c>
      <c r="Y7" s="749" t="s">
        <v>3980</v>
      </c>
      <c r="Z7" s="752" t="s">
        <v>3981</v>
      </c>
      <c r="AA7" s="752" t="s">
        <v>3997</v>
      </c>
    </row>
    <row r="8" spans="1:28" ht="75.75" customHeight="1">
      <c r="A8" s="749" t="s">
        <v>3998</v>
      </c>
      <c r="B8" s="925" t="s">
        <v>3999</v>
      </c>
      <c r="C8" s="1061" t="s">
        <v>4000</v>
      </c>
      <c r="D8" s="750" t="s">
        <v>4001</v>
      </c>
      <c r="E8" s="925">
        <v>1</v>
      </c>
      <c r="F8" s="925" t="s">
        <v>4002</v>
      </c>
      <c r="G8" s="1126" t="s">
        <v>4003</v>
      </c>
      <c r="H8" s="927" t="s">
        <v>4002</v>
      </c>
      <c r="I8" s="931" t="s">
        <v>4004</v>
      </c>
      <c r="J8" s="926" t="s">
        <v>3972</v>
      </c>
      <c r="K8" s="926" t="s">
        <v>3973</v>
      </c>
      <c r="L8" s="926" t="s">
        <v>3974</v>
      </c>
      <c r="M8" s="926" t="s">
        <v>3979</v>
      </c>
      <c r="N8" s="926" t="s">
        <v>3979</v>
      </c>
      <c r="O8" s="926" t="s">
        <v>3974</v>
      </c>
      <c r="P8" s="926"/>
      <c r="Q8" s="932">
        <v>1</v>
      </c>
      <c r="R8" s="932">
        <v>1</v>
      </c>
      <c r="S8" s="930" t="s">
        <v>3974</v>
      </c>
      <c r="T8" s="926" t="s">
        <v>3974</v>
      </c>
      <c r="U8" s="926" t="s">
        <v>3974</v>
      </c>
      <c r="V8" s="926" t="s">
        <v>3974</v>
      </c>
      <c r="W8" s="926" t="s">
        <v>3974</v>
      </c>
      <c r="X8" s="926" t="s">
        <v>3979</v>
      </c>
      <c r="Y8" s="749" t="s">
        <v>3980</v>
      </c>
      <c r="Z8" s="752" t="s">
        <v>3981</v>
      </c>
      <c r="AA8" s="752" t="s">
        <v>4005</v>
      </c>
    </row>
    <row r="9" spans="1:28" ht="75.75" customHeight="1">
      <c r="A9" s="893" t="s">
        <v>4006</v>
      </c>
      <c r="B9" s="933" t="s">
        <v>4007</v>
      </c>
      <c r="C9" s="893" t="s">
        <v>4008</v>
      </c>
      <c r="D9" s="876" t="s">
        <v>4009</v>
      </c>
      <c r="E9" s="933">
        <v>3</v>
      </c>
      <c r="F9" s="933" t="s">
        <v>3994</v>
      </c>
      <c r="G9" s="1126" t="s">
        <v>4010</v>
      </c>
      <c r="H9" s="935" t="s">
        <v>3994</v>
      </c>
      <c r="I9" s="936" t="s">
        <v>4011</v>
      </c>
      <c r="J9" s="934" t="s">
        <v>3972</v>
      </c>
      <c r="K9" s="934" t="s">
        <v>3973</v>
      </c>
      <c r="L9" s="934" t="s">
        <v>3974</v>
      </c>
      <c r="M9" s="893" t="s">
        <v>3975</v>
      </c>
      <c r="N9" s="934" t="s">
        <v>3975</v>
      </c>
      <c r="O9" s="926" t="s">
        <v>3974</v>
      </c>
      <c r="P9" s="926"/>
      <c r="Q9" s="932">
        <v>1</v>
      </c>
      <c r="R9" s="932">
        <v>1</v>
      </c>
      <c r="S9" s="930" t="s">
        <v>3974</v>
      </c>
      <c r="T9" s="926" t="s">
        <v>3974</v>
      </c>
      <c r="U9" s="926" t="s">
        <v>3974</v>
      </c>
      <c r="V9" s="926" t="s">
        <v>3974</v>
      </c>
      <c r="W9" s="926" t="s">
        <v>3974</v>
      </c>
      <c r="X9" s="926" t="s">
        <v>3975</v>
      </c>
      <c r="Y9" s="749" t="s">
        <v>3980</v>
      </c>
      <c r="Z9" s="752" t="s">
        <v>4012</v>
      </c>
      <c r="AA9" s="752" t="s">
        <v>4013</v>
      </c>
      <c r="AB9" s="314" t="s">
        <v>4014</v>
      </c>
    </row>
    <row r="10" spans="1:28" ht="75.75" customHeight="1">
      <c r="A10" s="749" t="s">
        <v>4015</v>
      </c>
      <c r="B10" s="925" t="s">
        <v>4016</v>
      </c>
      <c r="C10" s="1061" t="s">
        <v>4017</v>
      </c>
      <c r="D10" s="750" t="s">
        <v>4018</v>
      </c>
      <c r="E10" s="925">
        <v>3</v>
      </c>
      <c r="F10" s="925" t="s">
        <v>4002</v>
      </c>
      <c r="G10" s="1126" t="s">
        <v>4019</v>
      </c>
      <c r="H10" s="927" t="s">
        <v>4002</v>
      </c>
      <c r="I10" s="931" t="s">
        <v>4020</v>
      </c>
      <c r="J10" s="926" t="s">
        <v>3972</v>
      </c>
      <c r="K10" s="926" t="s">
        <v>3973</v>
      </c>
      <c r="L10" s="926" t="s">
        <v>3974</v>
      </c>
      <c r="M10" s="926" t="s">
        <v>3979</v>
      </c>
      <c r="N10" s="926" t="s">
        <v>3979</v>
      </c>
      <c r="O10" s="926" t="s">
        <v>3974</v>
      </c>
      <c r="P10" s="926"/>
      <c r="Q10" s="932">
        <v>1</v>
      </c>
      <c r="R10" s="932">
        <v>1</v>
      </c>
      <c r="S10" s="930" t="s">
        <v>3978</v>
      </c>
      <c r="T10" s="926" t="s">
        <v>3974</v>
      </c>
      <c r="U10" s="926" t="s">
        <v>3974</v>
      </c>
      <c r="V10" s="926" t="s">
        <v>3974</v>
      </c>
      <c r="W10" s="926" t="s">
        <v>3974</v>
      </c>
      <c r="X10" s="888" t="s">
        <v>3979</v>
      </c>
      <c r="Y10" s="749" t="s">
        <v>3980</v>
      </c>
      <c r="Z10" s="752" t="s">
        <v>4012</v>
      </c>
      <c r="AA10" s="752" t="s">
        <v>4021</v>
      </c>
      <c r="AB10" s="312" t="s">
        <v>4022</v>
      </c>
    </row>
    <row r="11" spans="1:28" ht="75.75" customHeight="1">
      <c r="A11" s="749" t="s">
        <v>4023</v>
      </c>
      <c r="B11" s="925" t="s">
        <v>4024</v>
      </c>
      <c r="C11" s="1061" t="s">
        <v>4025</v>
      </c>
      <c r="D11" s="750" t="s">
        <v>4026</v>
      </c>
      <c r="E11" s="925">
        <v>3</v>
      </c>
      <c r="F11" s="925" t="s">
        <v>4002</v>
      </c>
      <c r="G11" s="1126" t="s">
        <v>4027</v>
      </c>
      <c r="H11" s="927" t="s">
        <v>4002</v>
      </c>
      <c r="I11" s="931" t="s">
        <v>4020</v>
      </c>
      <c r="J11" s="926" t="s">
        <v>3972</v>
      </c>
      <c r="K11" s="926" t="s">
        <v>3973</v>
      </c>
      <c r="L11" s="926" t="s">
        <v>3974</v>
      </c>
      <c r="M11" s="926" t="s">
        <v>3979</v>
      </c>
      <c r="N11" s="926" t="s">
        <v>3979</v>
      </c>
      <c r="O11" s="926" t="s">
        <v>3974</v>
      </c>
      <c r="P11" s="926"/>
      <c r="Q11" s="932">
        <v>1</v>
      </c>
      <c r="R11" s="932">
        <v>1</v>
      </c>
      <c r="S11" s="930" t="s">
        <v>3978</v>
      </c>
      <c r="T11" s="926" t="s">
        <v>3974</v>
      </c>
      <c r="U11" s="926" t="s">
        <v>3974</v>
      </c>
      <c r="V11" s="926" t="s">
        <v>3974</v>
      </c>
      <c r="W11" s="926" t="s">
        <v>3974</v>
      </c>
      <c r="X11" s="888" t="s">
        <v>3979</v>
      </c>
      <c r="Y11" s="749" t="s">
        <v>3980</v>
      </c>
      <c r="Z11" s="752" t="s">
        <v>4012</v>
      </c>
      <c r="AA11" s="752" t="s">
        <v>4021</v>
      </c>
      <c r="AB11" s="312" t="s">
        <v>4028</v>
      </c>
    </row>
    <row r="12" spans="1:28" ht="75.75" customHeight="1">
      <c r="A12" s="749" t="s">
        <v>4029</v>
      </c>
      <c r="B12" s="925" t="s">
        <v>4030</v>
      </c>
      <c r="C12" s="1061" t="s">
        <v>4031</v>
      </c>
      <c r="D12" s="750" t="s">
        <v>4032</v>
      </c>
      <c r="E12" s="925">
        <v>2</v>
      </c>
      <c r="F12" s="925" t="s">
        <v>3969</v>
      </c>
      <c r="G12" s="752" t="s">
        <v>4033</v>
      </c>
      <c r="H12" s="937" t="s">
        <v>3969</v>
      </c>
      <c r="I12" s="938" t="s">
        <v>4034</v>
      </c>
      <c r="J12" s="939" t="s">
        <v>3972</v>
      </c>
      <c r="K12" s="939" t="s">
        <v>3973</v>
      </c>
      <c r="L12" s="939" t="s">
        <v>3974</v>
      </c>
      <c r="M12" s="926" t="s">
        <v>3979</v>
      </c>
      <c r="N12" s="939" t="s">
        <v>3975</v>
      </c>
      <c r="O12" s="926" t="s">
        <v>3974</v>
      </c>
      <c r="P12" s="926"/>
      <c r="Q12" s="940">
        <v>0</v>
      </c>
      <c r="R12" s="940">
        <v>0</v>
      </c>
      <c r="S12" s="941">
        <v>0</v>
      </c>
      <c r="T12" s="926" t="s">
        <v>3988</v>
      </c>
      <c r="U12" s="926" t="s">
        <v>3974</v>
      </c>
      <c r="V12" s="926" t="s">
        <v>3974</v>
      </c>
      <c r="W12" s="926" t="s">
        <v>3974</v>
      </c>
      <c r="X12" s="749" t="s">
        <v>3979</v>
      </c>
      <c r="Y12" s="749" t="s">
        <v>3980</v>
      </c>
      <c r="Z12" s="752" t="s">
        <v>4035</v>
      </c>
      <c r="AA12" s="752" t="s">
        <v>4036</v>
      </c>
    </row>
    <row r="13" spans="1:28" ht="75.75" customHeight="1">
      <c r="A13" s="749" t="s">
        <v>4037</v>
      </c>
      <c r="B13" s="925" t="s">
        <v>4038</v>
      </c>
      <c r="C13" s="1061" t="s">
        <v>4039</v>
      </c>
      <c r="D13" s="750" t="s">
        <v>4040</v>
      </c>
      <c r="E13" s="925">
        <v>2</v>
      </c>
      <c r="F13" s="925" t="s">
        <v>3969</v>
      </c>
      <c r="G13" s="752" t="s">
        <v>4041</v>
      </c>
      <c r="H13" s="937" t="s">
        <v>3969</v>
      </c>
      <c r="I13" s="938" t="s">
        <v>4042</v>
      </c>
      <c r="J13" s="939" t="s">
        <v>3972</v>
      </c>
      <c r="K13" s="939" t="s">
        <v>3973</v>
      </c>
      <c r="L13" s="939" t="s">
        <v>3974</v>
      </c>
      <c r="M13" s="926" t="s">
        <v>3979</v>
      </c>
      <c r="N13" s="939" t="s">
        <v>3975</v>
      </c>
      <c r="O13" s="926" t="s">
        <v>3974</v>
      </c>
      <c r="P13" s="926"/>
      <c r="Q13" s="940">
        <v>0</v>
      </c>
      <c r="R13" s="940">
        <v>0</v>
      </c>
      <c r="S13" s="941">
        <v>0</v>
      </c>
      <c r="T13" s="926" t="s">
        <v>3988</v>
      </c>
      <c r="U13" s="926" t="s">
        <v>3974</v>
      </c>
      <c r="V13" s="926" t="s">
        <v>3974</v>
      </c>
      <c r="W13" s="926" t="s">
        <v>3974</v>
      </c>
      <c r="X13" s="749" t="s">
        <v>3979</v>
      </c>
      <c r="Y13" s="749" t="s">
        <v>3980</v>
      </c>
      <c r="Z13" s="752" t="s">
        <v>4043</v>
      </c>
      <c r="AA13" s="752" t="s">
        <v>4036</v>
      </c>
    </row>
    <row r="14" spans="1:28" ht="75.75" customHeight="1">
      <c r="A14" s="749" t="s">
        <v>4044</v>
      </c>
      <c r="B14" s="925" t="s">
        <v>4045</v>
      </c>
      <c r="C14" s="1061" t="s">
        <v>4046</v>
      </c>
      <c r="D14" s="750" t="s">
        <v>4047</v>
      </c>
      <c r="E14" s="925">
        <v>2</v>
      </c>
      <c r="F14" s="925" t="s">
        <v>3969</v>
      </c>
      <c r="G14" s="752" t="s">
        <v>4048</v>
      </c>
      <c r="H14" s="937" t="s">
        <v>3969</v>
      </c>
      <c r="I14" s="938" t="s">
        <v>4049</v>
      </c>
      <c r="J14" s="939" t="s">
        <v>3972</v>
      </c>
      <c r="K14" s="939" t="s">
        <v>3973</v>
      </c>
      <c r="L14" s="939" t="s">
        <v>3974</v>
      </c>
      <c r="M14" s="926" t="s">
        <v>3979</v>
      </c>
      <c r="N14" s="939" t="s">
        <v>3975</v>
      </c>
      <c r="O14" s="926" t="s">
        <v>3974</v>
      </c>
      <c r="P14" s="926"/>
      <c r="Q14" s="940">
        <v>0</v>
      </c>
      <c r="R14" s="940">
        <v>0</v>
      </c>
      <c r="S14" s="941">
        <v>0</v>
      </c>
      <c r="T14" s="926" t="s">
        <v>3988</v>
      </c>
      <c r="U14" s="926" t="s">
        <v>3974</v>
      </c>
      <c r="V14" s="926" t="s">
        <v>3974</v>
      </c>
      <c r="W14" s="926" t="s">
        <v>3974</v>
      </c>
      <c r="X14" s="749" t="s">
        <v>3979</v>
      </c>
      <c r="Y14" s="749" t="s">
        <v>3980</v>
      </c>
      <c r="Z14" s="752" t="s">
        <v>4035</v>
      </c>
      <c r="AA14" s="752" t="s">
        <v>4036</v>
      </c>
    </row>
    <row r="15" spans="1:28" ht="75.75" customHeight="1">
      <c r="A15" s="749" t="s">
        <v>4050</v>
      </c>
      <c r="B15" s="925" t="s">
        <v>4051</v>
      </c>
      <c r="C15" s="1061" t="s">
        <v>4052</v>
      </c>
      <c r="D15" s="750" t="s">
        <v>4053</v>
      </c>
      <c r="E15" s="925">
        <v>2</v>
      </c>
      <c r="F15" s="925" t="s">
        <v>3969</v>
      </c>
      <c r="G15" s="752" t="s">
        <v>4054</v>
      </c>
      <c r="H15" s="937" t="s">
        <v>3969</v>
      </c>
      <c r="I15" s="938" t="s">
        <v>4055</v>
      </c>
      <c r="J15" s="939" t="s">
        <v>3972</v>
      </c>
      <c r="K15" s="939" t="s">
        <v>3973</v>
      </c>
      <c r="L15" s="939" t="s">
        <v>3974</v>
      </c>
      <c r="M15" s="926" t="s">
        <v>3979</v>
      </c>
      <c r="N15" s="926" t="s">
        <v>3975</v>
      </c>
      <c r="O15" s="926" t="s">
        <v>3974</v>
      </c>
      <c r="P15" s="926"/>
      <c r="Q15" s="932">
        <v>0</v>
      </c>
      <c r="R15" s="940">
        <v>0</v>
      </c>
      <c r="S15" s="930">
        <v>0</v>
      </c>
      <c r="T15" s="926" t="s">
        <v>3988</v>
      </c>
      <c r="U15" s="926" t="s">
        <v>3974</v>
      </c>
      <c r="V15" s="926" t="s">
        <v>3974</v>
      </c>
      <c r="W15" s="926" t="s">
        <v>3974</v>
      </c>
      <c r="X15" s="888" t="s">
        <v>3979</v>
      </c>
      <c r="Y15" s="749" t="s">
        <v>3980</v>
      </c>
      <c r="Z15" s="752" t="s">
        <v>4056</v>
      </c>
      <c r="AA15" s="752" t="s">
        <v>4036</v>
      </c>
    </row>
    <row r="16" spans="1:28" ht="75.75" customHeight="1">
      <c r="A16" s="749" t="s">
        <v>4057</v>
      </c>
      <c r="B16" s="925" t="s">
        <v>4058</v>
      </c>
      <c r="C16" s="1061" t="s">
        <v>4059</v>
      </c>
      <c r="D16" s="750" t="s">
        <v>4060</v>
      </c>
      <c r="E16" s="925">
        <v>1</v>
      </c>
      <c r="F16" s="925" t="s">
        <v>3969</v>
      </c>
      <c r="G16" s="752" t="s">
        <v>4061</v>
      </c>
      <c r="H16" s="937" t="s">
        <v>3969</v>
      </c>
      <c r="I16" s="938" t="s">
        <v>4034</v>
      </c>
      <c r="J16" s="939" t="s">
        <v>3972</v>
      </c>
      <c r="K16" s="939" t="s">
        <v>3973</v>
      </c>
      <c r="L16" s="939" t="s">
        <v>3974</v>
      </c>
      <c r="M16" s="926" t="s">
        <v>3979</v>
      </c>
      <c r="N16" s="926" t="s">
        <v>3979</v>
      </c>
      <c r="O16" s="926" t="s">
        <v>3974</v>
      </c>
      <c r="P16" s="926"/>
      <c r="Q16" s="932">
        <v>1</v>
      </c>
      <c r="R16" s="932">
        <v>1</v>
      </c>
      <c r="S16" s="930" t="s">
        <v>3974</v>
      </c>
      <c r="T16" s="926" t="s">
        <v>3974</v>
      </c>
      <c r="U16" s="926" t="s">
        <v>3974</v>
      </c>
      <c r="V16" s="926" t="s">
        <v>3974</v>
      </c>
      <c r="W16" s="926" t="s">
        <v>3974</v>
      </c>
      <c r="X16" s="888" t="s">
        <v>3979</v>
      </c>
      <c r="Y16" s="749" t="s">
        <v>3980</v>
      </c>
      <c r="Z16" s="752" t="s">
        <v>4062</v>
      </c>
      <c r="AA16" s="752" t="s">
        <v>4063</v>
      </c>
    </row>
    <row r="17" spans="1:28" ht="75.75" customHeight="1">
      <c r="A17" s="749" t="s">
        <v>4064</v>
      </c>
      <c r="B17" s="925" t="s">
        <v>4065</v>
      </c>
      <c r="C17" s="1061" t="s">
        <v>4066</v>
      </c>
      <c r="D17" s="750" t="s">
        <v>4067</v>
      </c>
      <c r="E17" s="925">
        <v>1</v>
      </c>
      <c r="F17" s="925" t="s">
        <v>3969</v>
      </c>
      <c r="G17" s="752" t="s">
        <v>4068</v>
      </c>
      <c r="H17" s="937" t="s">
        <v>3969</v>
      </c>
      <c r="I17" s="938" t="s">
        <v>4069</v>
      </c>
      <c r="J17" s="939" t="s">
        <v>3972</v>
      </c>
      <c r="K17" s="939" t="s">
        <v>3973</v>
      </c>
      <c r="L17" s="939" t="s">
        <v>3974</v>
      </c>
      <c r="M17" s="926" t="s">
        <v>3979</v>
      </c>
      <c r="N17" s="926" t="s">
        <v>3979</v>
      </c>
      <c r="O17" s="926" t="s">
        <v>3974</v>
      </c>
      <c r="P17" s="926"/>
      <c r="Q17" s="932">
        <v>1</v>
      </c>
      <c r="R17" s="932">
        <v>1</v>
      </c>
      <c r="S17" s="930" t="s">
        <v>3974</v>
      </c>
      <c r="T17" s="926" t="s">
        <v>3974</v>
      </c>
      <c r="U17" s="926" t="s">
        <v>3974</v>
      </c>
      <c r="V17" s="926" t="s">
        <v>3974</v>
      </c>
      <c r="W17" s="926" t="s">
        <v>3974</v>
      </c>
      <c r="X17" s="888" t="s">
        <v>3979</v>
      </c>
      <c r="Y17" s="749" t="s">
        <v>3980</v>
      </c>
      <c r="Z17" s="752" t="s">
        <v>4056</v>
      </c>
      <c r="AA17" s="752" t="s">
        <v>4063</v>
      </c>
    </row>
    <row r="18" spans="1:28" ht="75.75" customHeight="1">
      <c r="A18" s="749" t="s">
        <v>4070</v>
      </c>
      <c r="B18" s="925" t="s">
        <v>4071</v>
      </c>
      <c r="C18" s="1061" t="s">
        <v>4072</v>
      </c>
      <c r="D18" s="750" t="s">
        <v>4073</v>
      </c>
      <c r="E18" s="925">
        <v>1</v>
      </c>
      <c r="F18" s="925" t="s">
        <v>3969</v>
      </c>
      <c r="G18" s="752" t="s">
        <v>4074</v>
      </c>
      <c r="H18" s="937" t="s">
        <v>3969</v>
      </c>
      <c r="I18" s="938" t="s">
        <v>4075</v>
      </c>
      <c r="J18" s="939" t="s">
        <v>3972</v>
      </c>
      <c r="K18" s="939" t="s">
        <v>3973</v>
      </c>
      <c r="L18" s="939" t="s">
        <v>3974</v>
      </c>
      <c r="M18" s="926" t="s">
        <v>3979</v>
      </c>
      <c r="N18" s="926" t="s">
        <v>3979</v>
      </c>
      <c r="O18" s="926" t="s">
        <v>3974</v>
      </c>
      <c r="P18" s="926"/>
      <c r="Q18" s="932">
        <v>1</v>
      </c>
      <c r="R18" s="932">
        <v>1</v>
      </c>
      <c r="S18" s="930" t="s">
        <v>3974</v>
      </c>
      <c r="T18" s="926" t="s">
        <v>3974</v>
      </c>
      <c r="U18" s="926" t="s">
        <v>3974</v>
      </c>
      <c r="V18" s="926" t="s">
        <v>3974</v>
      </c>
      <c r="W18" s="926" t="s">
        <v>3974</v>
      </c>
      <c r="X18" s="888" t="s">
        <v>3979</v>
      </c>
      <c r="Y18" s="749" t="s">
        <v>3980</v>
      </c>
      <c r="Z18" s="752" t="s">
        <v>4056</v>
      </c>
      <c r="AA18" s="752" t="s">
        <v>4063</v>
      </c>
    </row>
    <row r="19" spans="1:28" ht="75.75" customHeight="1">
      <c r="A19" s="749" t="s">
        <v>4076</v>
      </c>
      <c r="B19" s="925" t="s">
        <v>4077</v>
      </c>
      <c r="C19" s="1061" t="s">
        <v>4078</v>
      </c>
      <c r="D19" s="750" t="s">
        <v>4079</v>
      </c>
      <c r="E19" s="925">
        <v>1</v>
      </c>
      <c r="F19" s="925" t="s">
        <v>3969</v>
      </c>
      <c r="G19" s="752" t="s">
        <v>4080</v>
      </c>
      <c r="H19" s="937" t="s">
        <v>3969</v>
      </c>
      <c r="I19" s="938" t="s">
        <v>4081</v>
      </c>
      <c r="J19" s="939" t="s">
        <v>3972</v>
      </c>
      <c r="K19" s="939" t="s">
        <v>3973</v>
      </c>
      <c r="L19" s="939" t="s">
        <v>3974</v>
      </c>
      <c r="M19" s="926" t="s">
        <v>3979</v>
      </c>
      <c r="N19" s="926" t="s">
        <v>3979</v>
      </c>
      <c r="O19" s="926" t="s">
        <v>3974</v>
      </c>
      <c r="P19" s="926"/>
      <c r="Q19" s="932">
        <v>1</v>
      </c>
      <c r="R19" s="932">
        <v>1</v>
      </c>
      <c r="S19" s="930" t="s">
        <v>3974</v>
      </c>
      <c r="T19" s="926" t="s">
        <v>3974</v>
      </c>
      <c r="U19" s="926" t="s">
        <v>3974</v>
      </c>
      <c r="V19" s="926" t="s">
        <v>3974</v>
      </c>
      <c r="W19" s="926" t="s">
        <v>3974</v>
      </c>
      <c r="X19" s="888" t="s">
        <v>3979</v>
      </c>
      <c r="Y19" s="749" t="s">
        <v>3980</v>
      </c>
      <c r="Z19" s="752" t="s">
        <v>4056</v>
      </c>
      <c r="AA19" s="752" t="s">
        <v>4063</v>
      </c>
    </row>
    <row r="20" spans="1:28" ht="81.75" customHeight="1">
      <c r="A20" s="749" t="s">
        <v>4082</v>
      </c>
      <c r="B20" s="925" t="s">
        <v>4083</v>
      </c>
      <c r="C20" s="1061" t="s">
        <v>4084</v>
      </c>
      <c r="D20" s="750" t="s">
        <v>4085</v>
      </c>
      <c r="E20" s="925">
        <v>3</v>
      </c>
      <c r="F20" s="925" t="s">
        <v>3969</v>
      </c>
      <c r="G20" s="752" t="s">
        <v>4086</v>
      </c>
      <c r="H20" s="937" t="s">
        <v>3969</v>
      </c>
      <c r="I20" s="938" t="s">
        <v>4087</v>
      </c>
      <c r="J20" s="939" t="s">
        <v>3972</v>
      </c>
      <c r="K20" s="939" t="s">
        <v>3973</v>
      </c>
      <c r="L20" s="939" t="s">
        <v>3974</v>
      </c>
      <c r="M20" s="939" t="s">
        <v>3974</v>
      </c>
      <c r="N20" s="926" t="s">
        <v>3975</v>
      </c>
      <c r="O20" s="926" t="s">
        <v>3974</v>
      </c>
      <c r="P20" s="926"/>
      <c r="Q20" s="932">
        <v>0</v>
      </c>
      <c r="R20" s="932">
        <v>0</v>
      </c>
      <c r="S20" s="930">
        <v>0</v>
      </c>
      <c r="T20" s="926" t="s">
        <v>3988</v>
      </c>
      <c r="U20" s="926" t="s">
        <v>3974</v>
      </c>
      <c r="V20" s="926" t="s">
        <v>3974</v>
      </c>
      <c r="W20" s="926" t="s">
        <v>3974</v>
      </c>
      <c r="X20" s="888" t="s">
        <v>3979</v>
      </c>
      <c r="Y20" s="749" t="s">
        <v>3980</v>
      </c>
      <c r="Z20" s="752" t="s">
        <v>4035</v>
      </c>
      <c r="AA20" s="752" t="s">
        <v>4036</v>
      </c>
    </row>
    <row r="21" spans="1:28" ht="75.75" customHeight="1">
      <c r="A21" s="749" t="s">
        <v>4088</v>
      </c>
      <c r="B21" s="925" t="s">
        <v>4089</v>
      </c>
      <c r="C21" s="1061" t="s">
        <v>4090</v>
      </c>
      <c r="D21" s="750" t="s">
        <v>4091</v>
      </c>
      <c r="E21" s="925">
        <v>1</v>
      </c>
      <c r="F21" s="925" t="s">
        <v>3969</v>
      </c>
      <c r="G21" s="752" t="s">
        <v>4092</v>
      </c>
      <c r="H21" s="937" t="s">
        <v>3969</v>
      </c>
      <c r="I21" s="938" t="s">
        <v>4093</v>
      </c>
      <c r="J21" s="939" t="s">
        <v>3972</v>
      </c>
      <c r="K21" s="939" t="s">
        <v>3973</v>
      </c>
      <c r="L21" s="939" t="s">
        <v>3974</v>
      </c>
      <c r="M21" s="939" t="s">
        <v>3974</v>
      </c>
      <c r="N21" s="926" t="s">
        <v>3979</v>
      </c>
      <c r="O21" s="926" t="s">
        <v>3974</v>
      </c>
      <c r="P21" s="926"/>
      <c r="Q21" s="932">
        <v>1</v>
      </c>
      <c r="R21" s="932">
        <v>1</v>
      </c>
      <c r="S21" s="930" t="s">
        <v>3974</v>
      </c>
      <c r="T21" s="926" t="s">
        <v>3974</v>
      </c>
      <c r="U21" s="926" t="s">
        <v>3974</v>
      </c>
      <c r="V21" s="926" t="s">
        <v>3974</v>
      </c>
      <c r="W21" s="926" t="s">
        <v>3974</v>
      </c>
      <c r="X21" s="888" t="s">
        <v>3979</v>
      </c>
      <c r="Y21" s="749" t="s">
        <v>3980</v>
      </c>
      <c r="Z21" s="752" t="s">
        <v>4056</v>
      </c>
      <c r="AA21" s="752" t="s">
        <v>4063</v>
      </c>
    </row>
    <row r="22" spans="1:28" ht="75.75" customHeight="1">
      <c r="A22" s="749" t="s">
        <v>4094</v>
      </c>
      <c r="B22" s="925" t="s">
        <v>4095</v>
      </c>
      <c r="C22" s="1061" t="s">
        <v>4096</v>
      </c>
      <c r="D22" s="750" t="s">
        <v>4097</v>
      </c>
      <c r="E22" s="925">
        <v>3</v>
      </c>
      <c r="F22" s="925" t="s">
        <v>4098</v>
      </c>
      <c r="G22" s="752" t="s">
        <v>4099</v>
      </c>
      <c r="H22" s="937" t="s">
        <v>4100</v>
      </c>
      <c r="I22" s="938" t="s">
        <v>4101</v>
      </c>
      <c r="J22" s="939" t="s">
        <v>3972</v>
      </c>
      <c r="K22" s="939" t="s">
        <v>3973</v>
      </c>
      <c r="L22" s="939" t="s">
        <v>3974</v>
      </c>
      <c r="M22" s="888" t="s">
        <v>3975</v>
      </c>
      <c r="N22" s="888" t="s">
        <v>3975</v>
      </c>
      <c r="O22" s="926" t="s">
        <v>3974</v>
      </c>
      <c r="P22" s="926"/>
      <c r="Q22" s="932">
        <v>1</v>
      </c>
      <c r="R22" s="932">
        <v>1</v>
      </c>
      <c r="S22" s="930">
        <v>0</v>
      </c>
      <c r="T22" s="926" t="s">
        <v>3974</v>
      </c>
      <c r="U22" s="926" t="s">
        <v>3974</v>
      </c>
      <c r="V22" s="926" t="s">
        <v>3974</v>
      </c>
      <c r="W22" s="926" t="s">
        <v>3974</v>
      </c>
      <c r="X22" s="926" t="s">
        <v>3979</v>
      </c>
      <c r="Y22" s="749" t="s">
        <v>3980</v>
      </c>
      <c r="Z22" s="752" t="s">
        <v>4102</v>
      </c>
      <c r="AA22" s="752" t="s">
        <v>4103</v>
      </c>
    </row>
    <row r="23" spans="1:28" ht="75.75" customHeight="1">
      <c r="A23" s="749" t="s">
        <v>4104</v>
      </c>
      <c r="B23" s="925" t="s">
        <v>4105</v>
      </c>
      <c r="C23" s="1061" t="s">
        <v>4106</v>
      </c>
      <c r="D23" s="750" t="s">
        <v>4107</v>
      </c>
      <c r="E23" s="925">
        <v>3</v>
      </c>
      <c r="F23" s="925" t="s">
        <v>4098</v>
      </c>
      <c r="G23" s="752" t="s">
        <v>4108</v>
      </c>
      <c r="H23" s="937" t="s">
        <v>4100</v>
      </c>
      <c r="I23" s="938" t="s">
        <v>4109</v>
      </c>
      <c r="J23" s="939" t="s">
        <v>3972</v>
      </c>
      <c r="K23" s="939" t="s">
        <v>3973</v>
      </c>
      <c r="L23" s="939" t="s">
        <v>3974</v>
      </c>
      <c r="M23" s="939" t="s">
        <v>3974</v>
      </c>
      <c r="N23" s="888" t="s">
        <v>3975</v>
      </c>
      <c r="O23" s="926" t="s">
        <v>3974</v>
      </c>
      <c r="P23" s="926"/>
      <c r="Q23" s="932">
        <v>0</v>
      </c>
      <c r="R23" s="932">
        <v>0</v>
      </c>
      <c r="S23" s="930">
        <v>0</v>
      </c>
      <c r="T23" s="926" t="s">
        <v>3988</v>
      </c>
      <c r="U23" s="926" t="s">
        <v>3974</v>
      </c>
      <c r="V23" s="926" t="s">
        <v>3974</v>
      </c>
      <c r="W23" s="926" t="s">
        <v>3974</v>
      </c>
      <c r="X23" s="926" t="s">
        <v>3979</v>
      </c>
      <c r="Y23" s="749" t="s">
        <v>3980</v>
      </c>
      <c r="Z23" s="752" t="s">
        <v>4110</v>
      </c>
      <c r="AA23" s="752" t="s">
        <v>4111</v>
      </c>
    </row>
    <row r="24" spans="1:28" s="1175" customFormat="1" ht="33.950000000000003" customHeight="1">
      <c r="A24" s="1057" t="s">
        <v>4112</v>
      </c>
      <c r="B24" s="987" t="s">
        <v>4113</v>
      </c>
      <c r="C24" s="1057" t="s">
        <v>4114</v>
      </c>
      <c r="D24" s="1176" t="s">
        <v>4115</v>
      </c>
      <c r="E24" s="987">
        <v>1</v>
      </c>
      <c r="F24" s="985" t="s">
        <v>4116</v>
      </c>
      <c r="G24" s="1056" t="s">
        <v>4117</v>
      </c>
      <c r="H24" s="1057"/>
      <c r="I24" s="1183" t="s">
        <v>4118</v>
      </c>
      <c r="J24" s="970" t="s">
        <v>3972</v>
      </c>
      <c r="K24" s="970" t="s">
        <v>3973</v>
      </c>
      <c r="L24" s="995" t="s">
        <v>3974</v>
      </c>
      <c r="M24" s="970" t="s">
        <v>3974</v>
      </c>
      <c r="N24" s="970" t="s">
        <v>3974</v>
      </c>
      <c r="O24" s="956" t="s">
        <v>3974</v>
      </c>
      <c r="P24" s="956"/>
      <c r="Q24" s="957">
        <v>1</v>
      </c>
      <c r="R24" s="957">
        <v>1</v>
      </c>
      <c r="S24" s="996" t="s">
        <v>3974</v>
      </c>
      <c r="T24" s="956" t="s">
        <v>3974</v>
      </c>
      <c r="U24" s="956" t="s">
        <v>3974</v>
      </c>
      <c r="V24" s="956" t="s">
        <v>3974</v>
      </c>
      <c r="W24" s="956" t="s">
        <v>3974</v>
      </c>
      <c r="X24" s="956" t="s">
        <v>3979</v>
      </c>
      <c r="Y24" s="1060" t="s">
        <v>3980</v>
      </c>
      <c r="Z24" s="1024" t="s">
        <v>4119</v>
      </c>
      <c r="AA24" s="1024" t="s">
        <v>4120</v>
      </c>
      <c r="AB24" s="1184"/>
    </row>
    <row r="25" spans="1:28" ht="75.75" customHeight="1">
      <c r="A25" s="749" t="s">
        <v>4121</v>
      </c>
      <c r="B25" s="925" t="s">
        <v>4122</v>
      </c>
      <c r="C25" s="1061" t="s">
        <v>4123</v>
      </c>
      <c r="D25" s="750" t="s">
        <v>4124</v>
      </c>
      <c r="E25" s="925">
        <v>2</v>
      </c>
      <c r="F25" s="925" t="s">
        <v>4125</v>
      </c>
      <c r="G25" s="752" t="s">
        <v>4126</v>
      </c>
      <c r="H25" s="937" t="s">
        <v>4127</v>
      </c>
      <c r="I25" s="938" t="s">
        <v>4128</v>
      </c>
      <c r="J25" s="939" t="s">
        <v>3972</v>
      </c>
      <c r="K25" s="939" t="s">
        <v>3973</v>
      </c>
      <c r="L25" s="939" t="s">
        <v>3974</v>
      </c>
      <c r="M25" s="939" t="s">
        <v>3974</v>
      </c>
      <c r="N25" s="939" t="s">
        <v>3974</v>
      </c>
      <c r="O25" s="926" t="s">
        <v>3974</v>
      </c>
      <c r="P25" s="926"/>
      <c r="Q25" s="940">
        <v>0</v>
      </c>
      <c r="R25" s="932">
        <v>0</v>
      </c>
      <c r="S25" s="930" t="s">
        <v>4129</v>
      </c>
      <c r="T25" s="926" t="s">
        <v>3974</v>
      </c>
      <c r="U25" s="926" t="s">
        <v>3974</v>
      </c>
      <c r="V25" s="926" t="s">
        <v>3974</v>
      </c>
      <c r="W25" s="926" t="s">
        <v>3974</v>
      </c>
      <c r="X25" s="926" t="s">
        <v>3979</v>
      </c>
      <c r="Y25" s="749" t="s">
        <v>3980</v>
      </c>
      <c r="Z25" s="752" t="s">
        <v>4130</v>
      </c>
      <c r="AA25" s="752" t="s">
        <v>4131</v>
      </c>
    </row>
    <row r="26" spans="1:28" ht="75.75" customHeight="1">
      <c r="A26" s="749" t="s">
        <v>4132</v>
      </c>
      <c r="B26" s="16" t="s">
        <v>4133</v>
      </c>
      <c r="C26" s="1061" t="s">
        <v>4134</v>
      </c>
      <c r="D26" s="750" t="s">
        <v>4135</v>
      </c>
      <c r="E26" s="925">
        <v>2</v>
      </c>
      <c r="F26" s="925" t="s">
        <v>4136</v>
      </c>
      <c r="G26" s="752" t="s">
        <v>4137</v>
      </c>
      <c r="H26" s="937" t="s">
        <v>4138</v>
      </c>
      <c r="I26" s="938" t="s">
        <v>4139</v>
      </c>
      <c r="J26" s="939" t="s">
        <v>3972</v>
      </c>
      <c r="K26" s="939" t="s">
        <v>3973</v>
      </c>
      <c r="L26" s="939" t="s">
        <v>3974</v>
      </c>
      <c r="M26" s="939" t="s">
        <v>3974</v>
      </c>
      <c r="N26" s="939" t="s">
        <v>3974</v>
      </c>
      <c r="O26" s="926" t="s">
        <v>3974</v>
      </c>
      <c r="P26" s="926"/>
      <c r="Q26" s="932">
        <v>1</v>
      </c>
      <c r="R26" s="932">
        <v>1</v>
      </c>
      <c r="S26" s="930" t="s">
        <v>3978</v>
      </c>
      <c r="T26" s="926" t="s">
        <v>3974</v>
      </c>
      <c r="U26" s="926" t="s">
        <v>3974</v>
      </c>
      <c r="V26" s="926" t="s">
        <v>3974</v>
      </c>
      <c r="W26" s="926" t="s">
        <v>3974</v>
      </c>
      <c r="X26" s="926" t="s">
        <v>3979</v>
      </c>
      <c r="Y26" s="749" t="s">
        <v>3980</v>
      </c>
      <c r="Z26" s="752" t="s">
        <v>4140</v>
      </c>
      <c r="AA26" s="752" t="s">
        <v>4141</v>
      </c>
    </row>
    <row r="27" spans="1:28" s="3" customFormat="1" ht="27" customHeight="1">
      <c r="A27" s="893" t="s">
        <v>4142</v>
      </c>
      <c r="B27" s="933" t="s">
        <v>4143</v>
      </c>
      <c r="C27" s="893" t="s">
        <v>4144</v>
      </c>
      <c r="D27" s="876" t="s">
        <v>4145</v>
      </c>
      <c r="E27" s="933">
        <v>1</v>
      </c>
      <c r="F27" s="942" t="s">
        <v>4116</v>
      </c>
      <c r="G27" s="895" t="s">
        <v>4146</v>
      </c>
      <c r="H27" s="893"/>
      <c r="I27" s="943" t="s">
        <v>4147</v>
      </c>
      <c r="J27" s="939" t="s">
        <v>3972</v>
      </c>
      <c r="K27" s="939" t="s">
        <v>3973</v>
      </c>
      <c r="L27" s="934" t="s">
        <v>3974</v>
      </c>
      <c r="M27" s="939" t="s">
        <v>3974</v>
      </c>
      <c r="N27" s="939" t="s">
        <v>3974</v>
      </c>
      <c r="O27" s="926" t="s">
        <v>3974</v>
      </c>
      <c r="P27" s="926"/>
      <c r="Q27" s="945">
        <v>1</v>
      </c>
      <c r="R27" s="945">
        <v>1</v>
      </c>
      <c r="S27" s="944" t="s">
        <v>3974</v>
      </c>
      <c r="T27" s="926" t="s">
        <v>3974</v>
      </c>
      <c r="U27" s="926" t="s">
        <v>3974</v>
      </c>
      <c r="V27" s="926" t="s">
        <v>3974</v>
      </c>
      <c r="W27" s="926" t="s">
        <v>3974</v>
      </c>
      <c r="X27" s="926" t="s">
        <v>3979</v>
      </c>
      <c r="Y27" s="749" t="s">
        <v>3980</v>
      </c>
      <c r="Z27" s="752" t="s">
        <v>4148</v>
      </c>
      <c r="AA27" s="752" t="s">
        <v>4120</v>
      </c>
      <c r="AB27" s="315"/>
    </row>
    <row r="28" spans="1:28" s="5" customFormat="1" ht="75.75" customHeight="1">
      <c r="A28" s="888" t="s">
        <v>4149</v>
      </c>
      <c r="B28" s="3151" t="s">
        <v>4150</v>
      </c>
      <c r="C28" s="1027" t="s">
        <v>4151</v>
      </c>
      <c r="D28" s="946" t="s">
        <v>4152</v>
      </c>
      <c r="E28" s="947">
        <v>0</v>
      </c>
      <c r="F28" s="947" t="s">
        <v>4153</v>
      </c>
      <c r="G28" s="948" t="s">
        <v>4154</v>
      </c>
      <c r="H28" s="927" t="s">
        <v>4153</v>
      </c>
      <c r="I28" s="928" t="s">
        <v>4155</v>
      </c>
      <c r="J28" s="926" t="s">
        <v>3972</v>
      </c>
      <c r="K28" s="926" t="s">
        <v>3973</v>
      </c>
      <c r="L28" s="926" t="s">
        <v>3974</v>
      </c>
      <c r="M28" s="926" t="s">
        <v>3974</v>
      </c>
      <c r="N28" s="926" t="s">
        <v>3974</v>
      </c>
      <c r="O28" s="926" t="s">
        <v>3974</v>
      </c>
      <c r="P28" s="926"/>
      <c r="Q28" s="932">
        <v>1</v>
      </c>
      <c r="R28" s="932">
        <v>1</v>
      </c>
      <c r="S28" s="949" t="s">
        <v>3974</v>
      </c>
      <c r="T28" s="926" t="s">
        <v>3974</v>
      </c>
      <c r="U28" s="926" t="s">
        <v>3974</v>
      </c>
      <c r="V28" s="926" t="s">
        <v>3974</v>
      </c>
      <c r="W28" s="926" t="s">
        <v>3974</v>
      </c>
      <c r="X28" s="926" t="s">
        <v>3979</v>
      </c>
      <c r="Y28" s="888" t="s">
        <v>3980</v>
      </c>
      <c r="Z28" s="948" t="s">
        <v>4156</v>
      </c>
      <c r="AA28" s="948" t="s">
        <v>4157</v>
      </c>
      <c r="AB28" s="316"/>
    </row>
    <row r="29" spans="1:28" s="5" customFormat="1" ht="75.75" customHeight="1">
      <c r="A29" s="888" t="s">
        <v>4158</v>
      </c>
      <c r="B29" s="3152" t="s">
        <v>4159</v>
      </c>
      <c r="C29" s="1027" t="s">
        <v>4160</v>
      </c>
      <c r="D29" s="946" t="s">
        <v>4161</v>
      </c>
      <c r="E29" s="947">
        <v>0</v>
      </c>
      <c r="F29" s="947" t="s">
        <v>4153</v>
      </c>
      <c r="G29" s="948" t="s">
        <v>4154</v>
      </c>
      <c r="H29" s="927" t="s">
        <v>4153</v>
      </c>
      <c r="I29" s="928" t="s">
        <v>4155</v>
      </c>
      <c r="J29" s="926" t="s">
        <v>3972</v>
      </c>
      <c r="K29" s="926" t="s">
        <v>3973</v>
      </c>
      <c r="L29" s="926" t="s">
        <v>3974</v>
      </c>
      <c r="M29" s="926" t="s">
        <v>3974</v>
      </c>
      <c r="N29" s="926" t="s">
        <v>3974</v>
      </c>
      <c r="O29" s="926" t="s">
        <v>3974</v>
      </c>
      <c r="P29" s="926"/>
      <c r="Q29" s="932">
        <v>1</v>
      </c>
      <c r="R29" s="932">
        <v>1</v>
      </c>
      <c r="S29" s="949" t="s">
        <v>3974</v>
      </c>
      <c r="T29" s="926" t="s">
        <v>3974</v>
      </c>
      <c r="U29" s="926" t="s">
        <v>3974</v>
      </c>
      <c r="V29" s="926" t="s">
        <v>3974</v>
      </c>
      <c r="W29" s="926" t="s">
        <v>3974</v>
      </c>
      <c r="X29" s="926" t="s">
        <v>3979</v>
      </c>
      <c r="Y29" s="888" t="s">
        <v>3980</v>
      </c>
      <c r="Z29" s="948" t="s">
        <v>4162</v>
      </c>
      <c r="AA29" s="948" t="s">
        <v>4157</v>
      </c>
      <c r="AB29" s="316"/>
    </row>
    <row r="30" spans="1:28" s="6" customFormat="1" ht="75.75" customHeight="1">
      <c r="A30" s="950" t="s">
        <v>4163</v>
      </c>
      <c r="B30" s="951" t="s">
        <v>904</v>
      </c>
      <c r="C30" s="950" t="s">
        <v>4164</v>
      </c>
      <c r="D30" s="952" t="s">
        <v>4165</v>
      </c>
      <c r="E30" s="951">
        <v>0</v>
      </c>
      <c r="F30" s="951" t="s">
        <v>4153</v>
      </c>
      <c r="G30" s="953" t="s">
        <v>4166</v>
      </c>
      <c r="H30" s="954" t="s">
        <v>4153</v>
      </c>
      <c r="I30" s="955" t="s">
        <v>4167</v>
      </c>
      <c r="J30" s="956" t="s">
        <v>3972</v>
      </c>
      <c r="K30" s="956" t="s">
        <v>3973</v>
      </c>
      <c r="L30" s="956" t="s">
        <v>3974</v>
      </c>
      <c r="M30" s="950" t="s">
        <v>3979</v>
      </c>
      <c r="N30" s="950" t="s">
        <v>3979</v>
      </c>
      <c r="O30" s="926" t="s">
        <v>3974</v>
      </c>
      <c r="P30" s="926"/>
      <c r="Q30" s="957">
        <v>1</v>
      </c>
      <c r="R30" s="957">
        <v>1</v>
      </c>
      <c r="S30" s="958" t="s">
        <v>3974</v>
      </c>
      <c r="T30" s="926" t="s">
        <v>3974</v>
      </c>
      <c r="U30" s="926" t="s">
        <v>3974</v>
      </c>
      <c r="V30" s="926" t="s">
        <v>3974</v>
      </c>
      <c r="W30" s="926" t="s">
        <v>3974</v>
      </c>
      <c r="X30" s="956" t="s">
        <v>3979</v>
      </c>
      <c r="Y30" s="950" t="s">
        <v>3974</v>
      </c>
      <c r="Z30" s="953" t="s">
        <v>4168</v>
      </c>
      <c r="AA30" s="953" t="s">
        <v>4157</v>
      </c>
      <c r="AB30" s="317"/>
    </row>
    <row r="31" spans="1:28" s="6" customFormat="1" ht="75.75" customHeight="1">
      <c r="A31" s="950" t="s">
        <v>4169</v>
      </c>
      <c r="B31" s="951" t="s">
        <v>904</v>
      </c>
      <c r="C31" s="950" t="s">
        <v>4170</v>
      </c>
      <c r="D31" s="952" t="s">
        <v>4171</v>
      </c>
      <c r="E31" s="951">
        <v>0</v>
      </c>
      <c r="F31" s="951" t="s">
        <v>4153</v>
      </c>
      <c r="G31" s="953" t="s">
        <v>4166</v>
      </c>
      <c r="H31" s="954" t="s">
        <v>4153</v>
      </c>
      <c r="I31" s="955" t="s">
        <v>4167</v>
      </c>
      <c r="J31" s="956" t="s">
        <v>3972</v>
      </c>
      <c r="K31" s="956" t="s">
        <v>3973</v>
      </c>
      <c r="L31" s="956" t="s">
        <v>3974</v>
      </c>
      <c r="M31" s="950" t="s">
        <v>3979</v>
      </c>
      <c r="N31" s="950" t="s">
        <v>3979</v>
      </c>
      <c r="O31" s="926" t="s">
        <v>3974</v>
      </c>
      <c r="P31" s="926"/>
      <c r="Q31" s="957">
        <v>1</v>
      </c>
      <c r="R31" s="957">
        <v>1</v>
      </c>
      <c r="S31" s="958" t="s">
        <v>3974</v>
      </c>
      <c r="T31" s="926" t="s">
        <v>3974</v>
      </c>
      <c r="U31" s="926" t="s">
        <v>3974</v>
      </c>
      <c r="V31" s="926" t="s">
        <v>3974</v>
      </c>
      <c r="W31" s="926" t="s">
        <v>3974</v>
      </c>
      <c r="X31" s="956" t="s">
        <v>3979</v>
      </c>
      <c r="Y31" s="950" t="s">
        <v>3974</v>
      </c>
      <c r="Z31" s="953" t="s">
        <v>4168</v>
      </c>
      <c r="AA31" s="953" t="s">
        <v>4157</v>
      </c>
      <c r="AB31" s="317"/>
    </row>
    <row r="32" spans="1:28" s="7" customFormat="1" ht="27.75" customHeight="1">
      <c r="A32" s="960" t="s">
        <v>4172</v>
      </c>
      <c r="B32" s="962" t="s">
        <v>4173</v>
      </c>
      <c r="C32" s="960" t="s">
        <v>4174</v>
      </c>
      <c r="D32" s="750" t="s">
        <v>4175</v>
      </c>
      <c r="E32" s="1092">
        <v>1</v>
      </c>
      <c r="F32" s="1092" t="s">
        <v>4176</v>
      </c>
      <c r="G32" s="961" t="s">
        <v>4177</v>
      </c>
      <c r="H32" s="993" t="s">
        <v>4100</v>
      </c>
      <c r="I32" s="1016" t="s">
        <v>4178</v>
      </c>
      <c r="J32" s="960" t="s">
        <v>3974</v>
      </c>
      <c r="K32" s="960" t="s">
        <v>4179</v>
      </c>
      <c r="L32" s="978" t="s">
        <v>3974</v>
      </c>
      <c r="M32" s="1061" t="s">
        <v>3979</v>
      </c>
      <c r="N32" s="1061" t="s">
        <v>3979</v>
      </c>
      <c r="O32" s="978" t="s">
        <v>3974</v>
      </c>
      <c r="P32" s="978"/>
      <c r="Q32" s="940">
        <v>1</v>
      </c>
      <c r="R32" s="940">
        <v>1</v>
      </c>
      <c r="S32" s="941" t="s">
        <v>3974</v>
      </c>
      <c r="T32" s="978" t="s">
        <v>3974</v>
      </c>
      <c r="U32" s="978" t="s">
        <v>3974</v>
      </c>
      <c r="V32" s="978" t="s">
        <v>3974</v>
      </c>
      <c r="W32" s="978" t="s">
        <v>3974</v>
      </c>
      <c r="X32" s="978" t="s">
        <v>3979</v>
      </c>
      <c r="Y32" s="1061" t="s">
        <v>3974</v>
      </c>
      <c r="Z32" s="961" t="s">
        <v>4180</v>
      </c>
      <c r="AA32" s="961" t="s">
        <v>4181</v>
      </c>
      <c r="AB32" s="208"/>
    </row>
    <row r="33" spans="1:28" s="7" customFormat="1" ht="30.75" customHeight="1">
      <c r="A33" s="3401" t="s">
        <v>4182</v>
      </c>
      <c r="B33" s="962" t="s">
        <v>4183</v>
      </c>
      <c r="C33" s="960" t="s">
        <v>4184</v>
      </c>
      <c r="D33" s="750" t="s">
        <v>4185</v>
      </c>
      <c r="E33" s="962">
        <v>3</v>
      </c>
      <c r="F33" s="1127" t="s">
        <v>4186</v>
      </c>
      <c r="G33" s="961" t="s">
        <v>4187</v>
      </c>
      <c r="H33" s="978" t="s">
        <v>4186</v>
      </c>
      <c r="I33" s="1016" t="s">
        <v>4188</v>
      </c>
      <c r="J33" s="960" t="s">
        <v>3974</v>
      </c>
      <c r="K33" s="960" t="s">
        <v>4179</v>
      </c>
      <c r="L33" s="978" t="s">
        <v>3974</v>
      </c>
      <c r="M33" s="960" t="s">
        <v>3974</v>
      </c>
      <c r="N33" s="960" t="s">
        <v>3974</v>
      </c>
      <c r="O33" s="940" t="s">
        <v>3976</v>
      </c>
      <c r="P33" s="940"/>
      <c r="Q33" s="940" t="s">
        <v>3974</v>
      </c>
      <c r="R33" s="940" t="s">
        <v>3974</v>
      </c>
      <c r="S33" s="964" t="s">
        <v>3974</v>
      </c>
      <c r="T33" s="940" t="s">
        <v>3974</v>
      </c>
      <c r="U33" s="978" t="s">
        <v>3974</v>
      </c>
      <c r="V33" s="978" t="s">
        <v>3974</v>
      </c>
      <c r="W33" s="978" t="s">
        <v>3974</v>
      </c>
      <c r="X33" s="940" t="s">
        <v>3974</v>
      </c>
      <c r="Y33" s="1061" t="s">
        <v>3980</v>
      </c>
      <c r="Z33" s="961" t="s">
        <v>4189</v>
      </c>
      <c r="AA33" s="961" t="s">
        <v>4190</v>
      </c>
      <c r="AB33" s="208"/>
    </row>
    <row r="34" spans="1:28" s="7" customFormat="1" ht="15.75" customHeight="1">
      <c r="A34" s="3402"/>
      <c r="B34" s="962" t="s">
        <v>4191</v>
      </c>
      <c r="C34" s="960" t="s">
        <v>4192</v>
      </c>
      <c r="D34" s="750" t="s">
        <v>4193</v>
      </c>
      <c r="E34" s="962">
        <v>3</v>
      </c>
      <c r="F34" s="960" t="s">
        <v>4194</v>
      </c>
      <c r="G34" s="961" t="s">
        <v>4195</v>
      </c>
      <c r="H34" s="960" t="s">
        <v>3974</v>
      </c>
      <c r="I34" s="1016" t="s">
        <v>4188</v>
      </c>
      <c r="J34" s="960" t="s">
        <v>3974</v>
      </c>
      <c r="K34" s="960" t="s">
        <v>4179</v>
      </c>
      <c r="L34" s="978" t="s">
        <v>3974</v>
      </c>
      <c r="M34" s="960" t="s">
        <v>3974</v>
      </c>
      <c r="N34" s="960" t="s">
        <v>3974</v>
      </c>
      <c r="O34" s="978" t="s">
        <v>3974</v>
      </c>
      <c r="P34" s="978"/>
      <c r="Q34" s="960" t="s">
        <v>3974</v>
      </c>
      <c r="R34" s="960" t="s">
        <v>3974</v>
      </c>
      <c r="S34" s="965" t="s">
        <v>3974</v>
      </c>
      <c r="T34" s="960" t="s">
        <v>3974</v>
      </c>
      <c r="U34" s="978" t="s">
        <v>3974</v>
      </c>
      <c r="V34" s="978" t="s">
        <v>3974</v>
      </c>
      <c r="W34" s="978" t="s">
        <v>3974</v>
      </c>
      <c r="X34" s="960" t="s">
        <v>3974</v>
      </c>
      <c r="Y34" s="960" t="s">
        <v>3974</v>
      </c>
      <c r="Z34" s="961" t="s">
        <v>4189</v>
      </c>
      <c r="AA34" s="961" t="s">
        <v>4190</v>
      </c>
      <c r="AB34" s="208"/>
    </row>
    <row r="35" spans="1:28" s="8" customFormat="1" ht="27.75" customHeight="1">
      <c r="A35" s="3403"/>
      <c r="B35" s="966" t="s">
        <v>4196</v>
      </c>
      <c r="C35" s="967" t="s">
        <v>4197</v>
      </c>
      <c r="D35" s="837" t="s">
        <v>4198</v>
      </c>
      <c r="E35" s="966">
        <v>3</v>
      </c>
      <c r="F35" s="967" t="s">
        <v>4199</v>
      </c>
      <c r="G35" s="968" t="s">
        <v>4200</v>
      </c>
      <c r="H35" s="967" t="s">
        <v>4199</v>
      </c>
      <c r="I35" s="969" t="s">
        <v>4201</v>
      </c>
      <c r="J35" s="967" t="s">
        <v>3974</v>
      </c>
      <c r="K35" s="967" t="s">
        <v>4179</v>
      </c>
      <c r="L35" s="970" t="s">
        <v>3974</v>
      </c>
      <c r="M35" s="967" t="s">
        <v>3974</v>
      </c>
      <c r="N35" s="967" t="s">
        <v>3974</v>
      </c>
      <c r="O35" s="970" t="s">
        <v>3974</v>
      </c>
      <c r="P35" s="970"/>
      <c r="Q35" s="967" t="s">
        <v>3974</v>
      </c>
      <c r="R35" s="967" t="s">
        <v>3974</v>
      </c>
      <c r="S35" s="971" t="s">
        <v>3974</v>
      </c>
      <c r="T35" s="967" t="s">
        <v>3974</v>
      </c>
      <c r="U35" s="970" t="s">
        <v>3974</v>
      </c>
      <c r="V35" s="970" t="s">
        <v>3974</v>
      </c>
      <c r="W35" s="970" t="s">
        <v>3974</v>
      </c>
      <c r="X35" s="967" t="s">
        <v>3974</v>
      </c>
      <c r="Y35" s="967" t="s">
        <v>3974</v>
      </c>
      <c r="Z35" s="968" t="s">
        <v>4202</v>
      </c>
      <c r="AA35" s="968" t="s">
        <v>4203</v>
      </c>
      <c r="AB35" s="318"/>
    </row>
    <row r="36" spans="1:28" s="7" customFormat="1" ht="75.75" customHeight="1">
      <c r="A36" s="1011" t="s">
        <v>4204</v>
      </c>
      <c r="B36" s="962" t="s">
        <v>4205</v>
      </c>
      <c r="C36" s="960" t="s">
        <v>4206</v>
      </c>
      <c r="D36" s="750" t="s">
        <v>4207</v>
      </c>
      <c r="E36" s="962">
        <v>2</v>
      </c>
      <c r="F36" s="960" t="s">
        <v>3994</v>
      </c>
      <c r="G36" s="978" t="s">
        <v>4208</v>
      </c>
      <c r="H36" s="960" t="s">
        <v>3994</v>
      </c>
      <c r="I36" s="1005" t="s">
        <v>4209</v>
      </c>
      <c r="J36" s="978" t="s">
        <v>3972</v>
      </c>
      <c r="K36" s="978" t="s">
        <v>3973</v>
      </c>
      <c r="L36" s="978" t="s">
        <v>3974</v>
      </c>
      <c r="M36" s="978" t="s">
        <v>3979</v>
      </c>
      <c r="N36" s="978" t="s">
        <v>3979</v>
      </c>
      <c r="O36" s="978" t="s">
        <v>3974</v>
      </c>
      <c r="P36" s="978"/>
      <c r="Q36" s="940">
        <v>1</v>
      </c>
      <c r="R36" s="940">
        <v>1</v>
      </c>
      <c r="S36" s="941" t="s">
        <v>3974</v>
      </c>
      <c r="T36" s="978" t="s">
        <v>3974</v>
      </c>
      <c r="U36" s="978" t="s">
        <v>3974</v>
      </c>
      <c r="V36" s="978" t="s">
        <v>3974</v>
      </c>
      <c r="W36" s="978" t="s">
        <v>3974</v>
      </c>
      <c r="X36" s="978" t="s">
        <v>3979</v>
      </c>
      <c r="Y36" s="1061" t="s">
        <v>3980</v>
      </c>
      <c r="Z36" s="752" t="s">
        <v>3981</v>
      </c>
      <c r="AA36" s="752" t="s">
        <v>4210</v>
      </c>
      <c r="AB36" s="208"/>
    </row>
    <row r="37" spans="1:28" s="7" customFormat="1" ht="75.75" customHeight="1">
      <c r="A37" s="1011" t="s">
        <v>4211</v>
      </c>
      <c r="B37" s="962" t="s">
        <v>4212</v>
      </c>
      <c r="C37" s="960" t="s">
        <v>4213</v>
      </c>
      <c r="D37" s="750" t="s">
        <v>4214</v>
      </c>
      <c r="E37" s="962">
        <v>0</v>
      </c>
      <c r="F37" s="960" t="s">
        <v>3994</v>
      </c>
      <c r="G37" s="978" t="s">
        <v>4215</v>
      </c>
      <c r="H37" s="960" t="s">
        <v>3994</v>
      </c>
      <c r="I37" s="1005" t="s">
        <v>4216</v>
      </c>
      <c r="J37" s="978" t="s">
        <v>3972</v>
      </c>
      <c r="K37" s="978" t="s">
        <v>3973</v>
      </c>
      <c r="L37" s="978" t="s">
        <v>3974</v>
      </c>
      <c r="M37" s="978" t="s">
        <v>3979</v>
      </c>
      <c r="N37" s="978" t="s">
        <v>3979</v>
      </c>
      <c r="O37" s="978" t="s">
        <v>3974</v>
      </c>
      <c r="P37" s="978"/>
      <c r="Q37" s="940">
        <v>1</v>
      </c>
      <c r="R37" s="940">
        <v>1</v>
      </c>
      <c r="S37" s="941" t="s">
        <v>3974</v>
      </c>
      <c r="T37" s="978" t="s">
        <v>3974</v>
      </c>
      <c r="U37" s="978" t="s">
        <v>3974</v>
      </c>
      <c r="V37" s="978" t="s">
        <v>3974</v>
      </c>
      <c r="W37" s="978" t="s">
        <v>3974</v>
      </c>
      <c r="X37" s="978" t="s">
        <v>3979</v>
      </c>
      <c r="Y37" s="1061" t="s">
        <v>3980</v>
      </c>
      <c r="Z37" s="752" t="s">
        <v>3981</v>
      </c>
      <c r="AA37" s="752" t="s">
        <v>4217</v>
      </c>
      <c r="AB37" s="208"/>
    </row>
    <row r="38" spans="1:28" s="7" customFormat="1" ht="75.75" customHeight="1">
      <c r="A38" s="1011" t="s">
        <v>4218</v>
      </c>
      <c r="B38" s="962" t="s">
        <v>4219</v>
      </c>
      <c r="C38" s="960" t="s">
        <v>4220</v>
      </c>
      <c r="D38" s="750" t="s">
        <v>4221</v>
      </c>
      <c r="E38" s="962">
        <v>1</v>
      </c>
      <c r="F38" s="960" t="s">
        <v>3994</v>
      </c>
      <c r="G38" s="1126" t="s">
        <v>4222</v>
      </c>
      <c r="H38" s="960" t="s">
        <v>3994</v>
      </c>
      <c r="I38" s="1005" t="s">
        <v>4223</v>
      </c>
      <c r="J38" s="978" t="s">
        <v>3972</v>
      </c>
      <c r="K38" s="978" t="s">
        <v>3973</v>
      </c>
      <c r="L38" s="978" t="s">
        <v>3974</v>
      </c>
      <c r="M38" s="978" t="s">
        <v>3979</v>
      </c>
      <c r="N38" s="978" t="s">
        <v>3979</v>
      </c>
      <c r="O38" s="978" t="s">
        <v>3974</v>
      </c>
      <c r="P38" s="978"/>
      <c r="Q38" s="940">
        <v>1</v>
      </c>
      <c r="R38" s="940">
        <v>1</v>
      </c>
      <c r="S38" s="941" t="s">
        <v>3974</v>
      </c>
      <c r="T38" s="978" t="s">
        <v>3974</v>
      </c>
      <c r="U38" s="978" t="s">
        <v>3974</v>
      </c>
      <c r="V38" s="978" t="s">
        <v>3974</v>
      </c>
      <c r="W38" s="978" t="s">
        <v>3974</v>
      </c>
      <c r="X38" s="978" t="s">
        <v>3979</v>
      </c>
      <c r="Y38" s="1061" t="s">
        <v>3980</v>
      </c>
      <c r="Z38" s="752" t="s">
        <v>3981</v>
      </c>
      <c r="AA38" s="752" t="s">
        <v>4224</v>
      </c>
      <c r="AB38" s="208"/>
    </row>
    <row r="39" spans="1:28" s="7" customFormat="1" ht="75.75" customHeight="1">
      <c r="A39" s="972" t="s">
        <v>4225</v>
      </c>
      <c r="B39" s="962" t="s">
        <v>4226</v>
      </c>
      <c r="C39" s="960" t="s">
        <v>4227</v>
      </c>
      <c r="D39" s="750" t="s">
        <v>4228</v>
      </c>
      <c r="E39" s="962">
        <v>1</v>
      </c>
      <c r="F39" s="960" t="s">
        <v>4002</v>
      </c>
      <c r="G39" s="1126" t="s">
        <v>4229</v>
      </c>
      <c r="H39" s="960" t="s">
        <v>4002</v>
      </c>
      <c r="I39" s="973" t="s">
        <v>4230</v>
      </c>
      <c r="J39" s="939" t="s">
        <v>3972</v>
      </c>
      <c r="K39" s="939" t="s">
        <v>3973</v>
      </c>
      <c r="L39" s="939" t="s">
        <v>3974</v>
      </c>
      <c r="M39" s="926" t="s">
        <v>3979</v>
      </c>
      <c r="N39" s="926" t="s">
        <v>3975</v>
      </c>
      <c r="O39" s="926" t="s">
        <v>3974</v>
      </c>
      <c r="P39" s="926"/>
      <c r="Q39" s="932">
        <v>1</v>
      </c>
      <c r="R39" s="932">
        <v>1</v>
      </c>
      <c r="S39" s="974" t="s">
        <v>3974</v>
      </c>
      <c r="T39" s="926" t="s">
        <v>3974</v>
      </c>
      <c r="U39" s="926" t="s">
        <v>3974</v>
      </c>
      <c r="V39" s="926" t="s">
        <v>3974</v>
      </c>
      <c r="W39" s="926" t="s">
        <v>3974</v>
      </c>
      <c r="X39" s="926" t="s">
        <v>3979</v>
      </c>
      <c r="Y39" s="888" t="s">
        <v>3980</v>
      </c>
      <c r="Z39" s="948" t="s">
        <v>3981</v>
      </c>
      <c r="AA39" s="752" t="s">
        <v>4231</v>
      </c>
      <c r="AB39" s="200"/>
    </row>
    <row r="40" spans="1:28" s="7" customFormat="1" ht="75.75" customHeight="1">
      <c r="A40" s="972" t="s">
        <v>4232</v>
      </c>
      <c r="B40" s="962" t="s">
        <v>4233</v>
      </c>
      <c r="C40" s="960" t="s">
        <v>4234</v>
      </c>
      <c r="D40" s="750" t="s">
        <v>4235</v>
      </c>
      <c r="E40" s="962">
        <v>0</v>
      </c>
      <c r="F40" s="960" t="s">
        <v>3994</v>
      </c>
      <c r="G40" s="1164" t="s">
        <v>4236</v>
      </c>
      <c r="H40" s="960" t="s">
        <v>3994</v>
      </c>
      <c r="I40" s="973" t="s">
        <v>4237</v>
      </c>
      <c r="J40" s="939" t="s">
        <v>3972</v>
      </c>
      <c r="K40" s="939" t="s">
        <v>3973</v>
      </c>
      <c r="L40" s="939" t="s">
        <v>3974</v>
      </c>
      <c r="M40" s="939" t="s">
        <v>3979</v>
      </c>
      <c r="N40" s="939" t="s">
        <v>3979</v>
      </c>
      <c r="O40" s="926" t="s">
        <v>3974</v>
      </c>
      <c r="P40" s="926"/>
      <c r="Q40" s="940">
        <v>1</v>
      </c>
      <c r="R40" s="940">
        <v>1</v>
      </c>
      <c r="S40" s="941" t="s">
        <v>3974</v>
      </c>
      <c r="T40" s="926" t="s">
        <v>3974</v>
      </c>
      <c r="U40" s="926" t="s">
        <v>3974</v>
      </c>
      <c r="V40" s="926" t="s">
        <v>3974</v>
      </c>
      <c r="W40" s="926" t="s">
        <v>3974</v>
      </c>
      <c r="X40" s="975" t="s">
        <v>3975</v>
      </c>
      <c r="Y40" s="749" t="s">
        <v>3980</v>
      </c>
      <c r="Z40" s="752" t="s">
        <v>3981</v>
      </c>
      <c r="AA40" s="752" t="s">
        <v>4238</v>
      </c>
      <c r="AB40" s="200"/>
    </row>
    <row r="41" spans="1:28" s="7" customFormat="1" ht="75.75" customHeight="1">
      <c r="A41" s="972" t="s">
        <v>4239</v>
      </c>
      <c r="B41" s="962" t="s">
        <v>4240</v>
      </c>
      <c r="C41" s="960" t="s">
        <v>4241</v>
      </c>
      <c r="D41" s="750" t="s">
        <v>4242</v>
      </c>
      <c r="E41" s="962">
        <v>1</v>
      </c>
      <c r="F41" s="960" t="s">
        <v>3994</v>
      </c>
      <c r="G41" s="1126" t="s">
        <v>4243</v>
      </c>
      <c r="H41" s="960" t="s">
        <v>3994</v>
      </c>
      <c r="I41" s="973" t="s">
        <v>4244</v>
      </c>
      <c r="J41" s="939" t="s">
        <v>3972</v>
      </c>
      <c r="K41" s="939" t="s">
        <v>3973</v>
      </c>
      <c r="L41" s="939" t="s">
        <v>3974</v>
      </c>
      <c r="M41" s="939" t="s">
        <v>3979</v>
      </c>
      <c r="N41" s="939" t="s">
        <v>3979</v>
      </c>
      <c r="O41" s="926" t="s">
        <v>3974</v>
      </c>
      <c r="P41" s="926"/>
      <c r="Q41" s="940">
        <v>1</v>
      </c>
      <c r="R41" s="940">
        <v>1</v>
      </c>
      <c r="S41" s="941" t="s">
        <v>3974</v>
      </c>
      <c r="T41" s="926" t="s">
        <v>3974</v>
      </c>
      <c r="U41" s="926" t="s">
        <v>3974</v>
      </c>
      <c r="V41" s="926" t="s">
        <v>3974</v>
      </c>
      <c r="W41" s="926" t="s">
        <v>3974</v>
      </c>
      <c r="X41" s="975" t="s">
        <v>3975</v>
      </c>
      <c r="Y41" s="749" t="s">
        <v>3980</v>
      </c>
      <c r="Z41" s="752" t="s">
        <v>3981</v>
      </c>
      <c r="AA41" s="752" t="s">
        <v>4245</v>
      </c>
      <c r="AB41" s="200"/>
    </row>
    <row r="42" spans="1:28" s="7" customFormat="1" ht="75.75" customHeight="1">
      <c r="A42" s="972" t="s">
        <v>4246</v>
      </c>
      <c r="B42" s="962" t="s">
        <v>4247</v>
      </c>
      <c r="C42" s="960" t="s">
        <v>4248</v>
      </c>
      <c r="D42" s="750" t="s">
        <v>4249</v>
      </c>
      <c r="E42" s="962">
        <v>0</v>
      </c>
      <c r="F42" s="960" t="s">
        <v>3994</v>
      </c>
      <c r="G42" s="1126" t="s">
        <v>4250</v>
      </c>
      <c r="H42" s="960" t="s">
        <v>3994</v>
      </c>
      <c r="I42" s="973" t="s">
        <v>4251</v>
      </c>
      <c r="J42" s="939" t="s">
        <v>3972</v>
      </c>
      <c r="K42" s="939" t="s">
        <v>3973</v>
      </c>
      <c r="L42" s="939" t="s">
        <v>3974</v>
      </c>
      <c r="M42" s="939" t="s">
        <v>3979</v>
      </c>
      <c r="N42" s="939" t="s">
        <v>3979</v>
      </c>
      <c r="O42" s="926" t="s">
        <v>3974</v>
      </c>
      <c r="P42" s="926"/>
      <c r="Q42" s="940">
        <v>1</v>
      </c>
      <c r="R42" s="940">
        <v>1</v>
      </c>
      <c r="S42" s="941" t="s">
        <v>3974</v>
      </c>
      <c r="T42" s="926" t="s">
        <v>3974</v>
      </c>
      <c r="U42" s="926" t="s">
        <v>3974</v>
      </c>
      <c r="V42" s="926" t="s">
        <v>3974</v>
      </c>
      <c r="W42" s="926" t="s">
        <v>3974</v>
      </c>
      <c r="X42" s="975" t="s">
        <v>3975</v>
      </c>
      <c r="Y42" s="749" t="s">
        <v>3980</v>
      </c>
      <c r="Z42" s="752" t="s">
        <v>3981</v>
      </c>
      <c r="AA42" s="752" t="s">
        <v>4252</v>
      </c>
      <c r="AB42" s="200"/>
    </row>
    <row r="43" spans="1:28" s="7" customFormat="1" ht="41.25" customHeight="1">
      <c r="A43" s="972" t="s">
        <v>4253</v>
      </c>
      <c r="B43" s="962" t="s">
        <v>4254</v>
      </c>
      <c r="C43" s="976" t="s">
        <v>4255</v>
      </c>
      <c r="D43" s="750" t="s">
        <v>4256</v>
      </c>
      <c r="E43" s="962">
        <v>2</v>
      </c>
      <c r="F43" s="942" t="s">
        <v>4116</v>
      </c>
      <c r="G43" s="961" t="s">
        <v>4257</v>
      </c>
      <c r="H43" s="926" t="s">
        <v>4116</v>
      </c>
      <c r="I43" s="963" t="s">
        <v>4258</v>
      </c>
      <c r="J43" s="960" t="s">
        <v>3974</v>
      </c>
      <c r="K43" s="960" t="s">
        <v>4179</v>
      </c>
      <c r="L43" s="939" t="s">
        <v>3974</v>
      </c>
      <c r="M43" s="939" t="s">
        <v>3979</v>
      </c>
      <c r="N43" s="939" t="s">
        <v>3979</v>
      </c>
      <c r="O43" s="926" t="s">
        <v>3974</v>
      </c>
      <c r="P43" s="926"/>
      <c r="Q43" s="940">
        <v>1</v>
      </c>
      <c r="R43" s="940">
        <v>1</v>
      </c>
      <c r="S43" s="941" t="s">
        <v>3974</v>
      </c>
      <c r="T43" s="926" t="s">
        <v>3974</v>
      </c>
      <c r="U43" s="926" t="s">
        <v>3974</v>
      </c>
      <c r="V43" s="926" t="s">
        <v>3974</v>
      </c>
      <c r="W43" s="926" t="s">
        <v>3974</v>
      </c>
      <c r="X43" s="975" t="s">
        <v>3979</v>
      </c>
      <c r="Y43" s="749" t="s">
        <v>3980</v>
      </c>
      <c r="Z43" s="752" t="s">
        <v>4259</v>
      </c>
      <c r="AA43" s="961" t="s">
        <v>4260</v>
      </c>
      <c r="AB43" s="200"/>
    </row>
    <row r="44" spans="1:28" s="7" customFormat="1" ht="41.25" customHeight="1">
      <c r="A44" s="972" t="s">
        <v>4261</v>
      </c>
      <c r="B44" s="962" t="s">
        <v>4262</v>
      </c>
      <c r="C44" s="976" t="s">
        <v>4263</v>
      </c>
      <c r="D44" s="750" t="s">
        <v>4264</v>
      </c>
      <c r="E44" s="962">
        <v>2</v>
      </c>
      <c r="F44" s="942" t="s">
        <v>4116</v>
      </c>
      <c r="G44" s="961" t="s">
        <v>4265</v>
      </c>
      <c r="H44" s="926" t="s">
        <v>4116</v>
      </c>
      <c r="I44" s="963" t="s">
        <v>4258</v>
      </c>
      <c r="J44" s="960" t="s">
        <v>3974</v>
      </c>
      <c r="K44" s="960" t="s">
        <v>4179</v>
      </c>
      <c r="L44" s="939" t="s">
        <v>3974</v>
      </c>
      <c r="M44" s="939" t="s">
        <v>3979</v>
      </c>
      <c r="N44" s="939" t="s">
        <v>3979</v>
      </c>
      <c r="O44" s="926" t="s">
        <v>3974</v>
      </c>
      <c r="P44" s="926"/>
      <c r="Q44" s="940">
        <v>1</v>
      </c>
      <c r="R44" s="940">
        <v>1</v>
      </c>
      <c r="S44" s="941" t="s">
        <v>3974</v>
      </c>
      <c r="T44" s="926" t="s">
        <v>3974</v>
      </c>
      <c r="U44" s="926" t="s">
        <v>3974</v>
      </c>
      <c r="V44" s="926" t="s">
        <v>3974</v>
      </c>
      <c r="W44" s="926" t="s">
        <v>3974</v>
      </c>
      <c r="X44" s="975" t="s">
        <v>3979</v>
      </c>
      <c r="Y44" s="749" t="s">
        <v>3980</v>
      </c>
      <c r="Z44" s="752" t="s">
        <v>4266</v>
      </c>
      <c r="AA44" s="752" t="s">
        <v>4267</v>
      </c>
      <c r="AB44" s="200"/>
    </row>
    <row r="45" spans="1:28" s="7" customFormat="1" ht="41.25" customHeight="1">
      <c r="A45" s="972" t="s">
        <v>4268</v>
      </c>
      <c r="B45" s="962" t="s">
        <v>4269</v>
      </c>
      <c r="C45" s="976" t="s">
        <v>4270</v>
      </c>
      <c r="D45" s="750" t="s">
        <v>4271</v>
      </c>
      <c r="E45" s="962">
        <v>2</v>
      </c>
      <c r="F45" s="942" t="s">
        <v>4116</v>
      </c>
      <c r="G45" s="961" t="s">
        <v>4272</v>
      </c>
      <c r="H45" s="926" t="s">
        <v>4116</v>
      </c>
      <c r="I45" s="963" t="s">
        <v>4258</v>
      </c>
      <c r="J45" s="960" t="s">
        <v>3974</v>
      </c>
      <c r="K45" s="960" t="s">
        <v>4179</v>
      </c>
      <c r="L45" s="939" t="s">
        <v>3974</v>
      </c>
      <c r="M45" s="939" t="s">
        <v>3979</v>
      </c>
      <c r="N45" s="939" t="s">
        <v>3979</v>
      </c>
      <c r="O45" s="926" t="s">
        <v>3974</v>
      </c>
      <c r="P45" s="926"/>
      <c r="Q45" s="940">
        <v>1</v>
      </c>
      <c r="R45" s="940">
        <v>1</v>
      </c>
      <c r="S45" s="941" t="s">
        <v>3974</v>
      </c>
      <c r="T45" s="926" t="s">
        <v>3974</v>
      </c>
      <c r="U45" s="926" t="s">
        <v>3974</v>
      </c>
      <c r="V45" s="926" t="s">
        <v>3974</v>
      </c>
      <c r="W45" s="926" t="s">
        <v>3974</v>
      </c>
      <c r="X45" s="975" t="s">
        <v>3979</v>
      </c>
      <c r="Y45" s="749" t="s">
        <v>3980</v>
      </c>
      <c r="Z45" s="961" t="s">
        <v>4273</v>
      </c>
      <c r="AA45" s="961" t="s">
        <v>4274</v>
      </c>
      <c r="AB45" s="200"/>
    </row>
    <row r="46" spans="1:28" s="7" customFormat="1" ht="41.25" customHeight="1">
      <c r="A46" s="972" t="s">
        <v>4275</v>
      </c>
      <c r="B46" s="962" t="s">
        <v>4276</v>
      </c>
      <c r="C46" s="976" t="s">
        <v>4277</v>
      </c>
      <c r="D46" s="750" t="s">
        <v>4278</v>
      </c>
      <c r="E46" s="962">
        <v>2</v>
      </c>
      <c r="F46" s="942" t="s">
        <v>4116</v>
      </c>
      <c r="G46" s="961" t="s">
        <v>4257</v>
      </c>
      <c r="H46" s="926" t="s">
        <v>4116</v>
      </c>
      <c r="I46" s="963" t="s">
        <v>4258</v>
      </c>
      <c r="J46" s="960" t="s">
        <v>3974</v>
      </c>
      <c r="K46" s="960" t="s">
        <v>4179</v>
      </c>
      <c r="L46" s="939" t="s">
        <v>3974</v>
      </c>
      <c r="M46" s="939" t="s">
        <v>3979</v>
      </c>
      <c r="N46" s="939" t="s">
        <v>3979</v>
      </c>
      <c r="O46" s="926" t="s">
        <v>3974</v>
      </c>
      <c r="P46" s="571"/>
      <c r="Q46" s="572">
        <v>0.5</v>
      </c>
      <c r="R46" s="940">
        <v>1</v>
      </c>
      <c r="S46" s="941" t="s">
        <v>3974</v>
      </c>
      <c r="T46" s="926" t="s">
        <v>3974</v>
      </c>
      <c r="U46" s="926" t="s">
        <v>3974</v>
      </c>
      <c r="V46" s="926" t="s">
        <v>3974</v>
      </c>
      <c r="W46" s="926" t="s">
        <v>3974</v>
      </c>
      <c r="X46" s="975" t="s">
        <v>3979</v>
      </c>
      <c r="Y46" s="749" t="s">
        <v>3980</v>
      </c>
      <c r="Z46" s="752" t="s">
        <v>4259</v>
      </c>
      <c r="AA46" s="961" t="s">
        <v>4260</v>
      </c>
      <c r="AB46" s="200"/>
    </row>
    <row r="47" spans="1:28" s="7" customFormat="1" ht="41.25" customHeight="1">
      <c r="A47" s="570" t="s">
        <v>4279</v>
      </c>
      <c r="B47" s="573" t="s">
        <v>4280</v>
      </c>
      <c r="C47" s="574" t="s">
        <v>4281</v>
      </c>
      <c r="D47" s="562" t="s">
        <v>4282</v>
      </c>
      <c r="E47" s="573">
        <v>2</v>
      </c>
      <c r="F47" s="942" t="s">
        <v>4116</v>
      </c>
      <c r="G47" s="575" t="s">
        <v>4265</v>
      </c>
      <c r="H47" s="926" t="s">
        <v>4116</v>
      </c>
      <c r="I47" s="576" t="s">
        <v>4258</v>
      </c>
      <c r="J47" s="577" t="s">
        <v>3974</v>
      </c>
      <c r="K47" s="577" t="s">
        <v>4179</v>
      </c>
      <c r="L47" s="578" t="s">
        <v>3974</v>
      </c>
      <c r="M47" s="578" t="s">
        <v>3979</v>
      </c>
      <c r="N47" s="578" t="s">
        <v>3979</v>
      </c>
      <c r="O47" s="926" t="s">
        <v>3974</v>
      </c>
      <c r="P47" s="571"/>
      <c r="Q47" s="572">
        <v>0.5</v>
      </c>
      <c r="R47" s="572">
        <v>1</v>
      </c>
      <c r="S47" s="941" t="s">
        <v>3974</v>
      </c>
      <c r="T47" s="926" t="s">
        <v>3974</v>
      </c>
      <c r="U47" s="926" t="s">
        <v>3974</v>
      </c>
      <c r="V47" s="926" t="s">
        <v>3974</v>
      </c>
      <c r="W47" s="926" t="s">
        <v>3974</v>
      </c>
      <c r="X47" s="975" t="s">
        <v>3979</v>
      </c>
      <c r="Y47" s="749" t="s">
        <v>3980</v>
      </c>
      <c r="Z47" s="752" t="s">
        <v>4266</v>
      </c>
      <c r="AA47" s="752" t="s">
        <v>4267</v>
      </c>
      <c r="AB47" s="200"/>
    </row>
    <row r="48" spans="1:28" s="7" customFormat="1" ht="41.25" customHeight="1">
      <c r="A48" s="17" t="s">
        <v>4283</v>
      </c>
      <c r="B48" s="18" t="s">
        <v>4284</v>
      </c>
      <c r="C48" s="976" t="s">
        <v>4285</v>
      </c>
      <c r="D48" s="19" t="s">
        <v>4286</v>
      </c>
      <c r="E48" s="18">
        <v>2</v>
      </c>
      <c r="F48" s="942" t="s">
        <v>4116</v>
      </c>
      <c r="G48" s="21" t="s">
        <v>4272</v>
      </c>
      <c r="H48" s="926" t="s">
        <v>4116</v>
      </c>
      <c r="I48" s="25" t="s">
        <v>4258</v>
      </c>
      <c r="J48" s="20" t="s">
        <v>3974</v>
      </c>
      <c r="K48" s="20" t="s">
        <v>4179</v>
      </c>
      <c r="L48" s="476" t="s">
        <v>3974</v>
      </c>
      <c r="M48" s="476" t="s">
        <v>3979</v>
      </c>
      <c r="N48" s="476" t="s">
        <v>3979</v>
      </c>
      <c r="O48" s="926" t="s">
        <v>3974</v>
      </c>
      <c r="P48" s="477"/>
      <c r="Q48" s="26">
        <v>0.5</v>
      </c>
      <c r="R48" s="26">
        <v>1</v>
      </c>
      <c r="S48" s="977" t="s">
        <v>3974</v>
      </c>
      <c r="T48" s="926" t="s">
        <v>3974</v>
      </c>
      <c r="U48" s="926" t="s">
        <v>3974</v>
      </c>
      <c r="V48" s="926" t="s">
        <v>3974</v>
      </c>
      <c r="W48" s="926" t="s">
        <v>3974</v>
      </c>
      <c r="X48" s="975" t="s">
        <v>3979</v>
      </c>
      <c r="Y48" s="749" t="s">
        <v>3980</v>
      </c>
      <c r="Z48" s="961" t="s">
        <v>4273</v>
      </c>
      <c r="AA48" s="961" t="s">
        <v>4274</v>
      </c>
      <c r="AB48" s="200"/>
    </row>
    <row r="49" spans="1:28" s="7" customFormat="1" ht="75.75" customHeight="1">
      <c r="A49" s="17" t="s">
        <v>4287</v>
      </c>
      <c r="B49" s="18" t="s">
        <v>4288</v>
      </c>
      <c r="C49" s="976" t="s">
        <v>4289</v>
      </c>
      <c r="D49" s="19" t="s">
        <v>4290</v>
      </c>
      <c r="E49" s="18">
        <v>1</v>
      </c>
      <c r="F49" s="960" t="s">
        <v>3994</v>
      </c>
      <c r="G49" s="926" t="s">
        <v>4291</v>
      </c>
      <c r="H49" s="960" t="s">
        <v>3994</v>
      </c>
      <c r="I49" s="973" t="s">
        <v>4292</v>
      </c>
      <c r="J49" s="939" t="s">
        <v>3972</v>
      </c>
      <c r="K49" s="939" t="s">
        <v>3973</v>
      </c>
      <c r="L49" s="939" t="s">
        <v>3974</v>
      </c>
      <c r="M49" s="939" t="s">
        <v>3979</v>
      </c>
      <c r="N49" s="939" t="s">
        <v>3979</v>
      </c>
      <c r="O49" s="926" t="s">
        <v>3974</v>
      </c>
      <c r="P49" s="926"/>
      <c r="Q49" s="940">
        <v>1</v>
      </c>
      <c r="R49" s="940">
        <v>1</v>
      </c>
      <c r="S49" s="941" t="s">
        <v>3974</v>
      </c>
      <c r="T49" s="926" t="s">
        <v>3974</v>
      </c>
      <c r="U49" s="926" t="s">
        <v>3974</v>
      </c>
      <c r="V49" s="926" t="s">
        <v>3974</v>
      </c>
      <c r="W49" s="926" t="s">
        <v>3974</v>
      </c>
      <c r="X49" s="975" t="s">
        <v>3975</v>
      </c>
      <c r="Y49" s="749" t="s">
        <v>3980</v>
      </c>
      <c r="Z49" s="752" t="s">
        <v>4293</v>
      </c>
      <c r="AA49" s="752" t="s">
        <v>4294</v>
      </c>
      <c r="AB49" s="200"/>
    </row>
    <row r="50" spans="1:28" s="7" customFormat="1" ht="41.25" customHeight="1">
      <c r="A50" s="305" t="s">
        <v>128</v>
      </c>
      <c r="B50" s="306" t="s">
        <v>4295</v>
      </c>
      <c r="C50" s="307" t="s">
        <v>130</v>
      </c>
      <c r="D50" s="19" t="s">
        <v>4296</v>
      </c>
      <c r="E50" s="18">
        <v>1</v>
      </c>
      <c r="F50" s="942" t="s">
        <v>4116</v>
      </c>
      <c r="G50" s="21" t="s">
        <v>4297</v>
      </c>
      <c r="H50" s="478"/>
      <c r="I50" s="25" t="s">
        <v>4298</v>
      </c>
      <c r="J50" s="20" t="s">
        <v>3974</v>
      </c>
      <c r="K50" s="20" t="s">
        <v>4179</v>
      </c>
      <c r="L50" s="476" t="s">
        <v>3974</v>
      </c>
      <c r="M50" s="926" t="s">
        <v>3979</v>
      </c>
      <c r="N50" s="926" t="s">
        <v>3979</v>
      </c>
      <c r="O50" s="926" t="s">
        <v>3974</v>
      </c>
      <c r="P50" s="477"/>
      <c r="Q50" s="940">
        <v>1</v>
      </c>
      <c r="R50" s="940">
        <v>1</v>
      </c>
      <c r="S50" s="977" t="s">
        <v>3974</v>
      </c>
      <c r="T50" s="926" t="s">
        <v>3974</v>
      </c>
      <c r="U50" s="926" t="s">
        <v>3974</v>
      </c>
      <c r="V50" s="926" t="s">
        <v>3974</v>
      </c>
      <c r="W50" s="926" t="s">
        <v>3974</v>
      </c>
      <c r="X50" s="975" t="s">
        <v>3979</v>
      </c>
      <c r="Y50" s="749" t="s">
        <v>3980</v>
      </c>
      <c r="Z50" s="961" t="s">
        <v>4299</v>
      </c>
      <c r="AA50" s="961" t="s">
        <v>4300</v>
      </c>
      <c r="AB50" s="200"/>
    </row>
    <row r="51" spans="1:28" s="7" customFormat="1" ht="41.25" customHeight="1">
      <c r="A51" s="23" t="s">
        <v>4301</v>
      </c>
      <c r="B51" s="18" t="s">
        <v>4302</v>
      </c>
      <c r="C51" s="959" t="s">
        <v>4303</v>
      </c>
      <c r="D51" s="19" t="s">
        <v>4304</v>
      </c>
      <c r="E51" s="18">
        <v>1</v>
      </c>
      <c r="F51" s="942" t="s">
        <v>4116</v>
      </c>
      <c r="G51" s="21" t="s">
        <v>4305</v>
      </c>
      <c r="H51" s="478"/>
      <c r="I51" s="25" t="s">
        <v>4298</v>
      </c>
      <c r="J51" s="20" t="s">
        <v>3974</v>
      </c>
      <c r="K51" s="20" t="s">
        <v>4179</v>
      </c>
      <c r="L51" s="476" t="s">
        <v>3974</v>
      </c>
      <c r="M51" s="926" t="s">
        <v>3979</v>
      </c>
      <c r="N51" s="926" t="s">
        <v>3979</v>
      </c>
      <c r="O51" s="926" t="s">
        <v>3974</v>
      </c>
      <c r="P51" s="477"/>
      <c r="Q51" s="940">
        <v>1</v>
      </c>
      <c r="R51" s="940">
        <v>1</v>
      </c>
      <c r="S51" s="977" t="s">
        <v>3974</v>
      </c>
      <c r="T51" s="926" t="s">
        <v>3974</v>
      </c>
      <c r="U51" s="926" t="s">
        <v>3974</v>
      </c>
      <c r="V51" s="926" t="s">
        <v>3974</v>
      </c>
      <c r="W51" s="926" t="s">
        <v>3974</v>
      </c>
      <c r="X51" s="975" t="s">
        <v>3979</v>
      </c>
      <c r="Y51" s="749" t="s">
        <v>3980</v>
      </c>
      <c r="Z51" s="961" t="s">
        <v>4306</v>
      </c>
      <c r="AA51" s="961" t="s">
        <v>4307</v>
      </c>
      <c r="AB51" s="200"/>
    </row>
    <row r="52" spans="1:28" s="7" customFormat="1" ht="41.25" customHeight="1">
      <c r="A52" s="23" t="s">
        <v>4308</v>
      </c>
      <c r="B52" s="18" t="s">
        <v>4309</v>
      </c>
      <c r="C52" s="959" t="s">
        <v>4310</v>
      </c>
      <c r="D52" s="19" t="s">
        <v>4311</v>
      </c>
      <c r="E52" s="18">
        <v>1</v>
      </c>
      <c r="F52" s="942" t="s">
        <v>4116</v>
      </c>
      <c r="G52" s="21" t="s">
        <v>4312</v>
      </c>
      <c r="H52" s="478"/>
      <c r="I52" s="25" t="s">
        <v>4298</v>
      </c>
      <c r="J52" s="20" t="s">
        <v>3974</v>
      </c>
      <c r="K52" s="20" t="s">
        <v>4179</v>
      </c>
      <c r="L52" s="476" t="s">
        <v>3974</v>
      </c>
      <c r="M52" s="926" t="s">
        <v>3979</v>
      </c>
      <c r="N52" s="926" t="s">
        <v>3979</v>
      </c>
      <c r="O52" s="926" t="s">
        <v>3974</v>
      </c>
      <c r="P52" s="477"/>
      <c r="Q52" s="940">
        <v>1</v>
      </c>
      <c r="R52" s="940">
        <v>1</v>
      </c>
      <c r="S52" s="977" t="s">
        <v>3974</v>
      </c>
      <c r="T52" s="926" t="s">
        <v>3974</v>
      </c>
      <c r="U52" s="926" t="s">
        <v>3974</v>
      </c>
      <c r="V52" s="926" t="s">
        <v>3974</v>
      </c>
      <c r="W52" s="926" t="s">
        <v>3974</v>
      </c>
      <c r="X52" s="975" t="s">
        <v>3979</v>
      </c>
      <c r="Y52" s="749" t="s">
        <v>3980</v>
      </c>
      <c r="Z52" s="961" t="s">
        <v>4313</v>
      </c>
      <c r="AA52" s="961" t="s">
        <v>4307</v>
      </c>
      <c r="AB52" s="200"/>
    </row>
    <row r="53" spans="1:28" s="7" customFormat="1" ht="54.75" customHeight="1">
      <c r="A53" s="23" t="s">
        <v>4314</v>
      </c>
      <c r="B53" s="3153" t="s">
        <v>4315</v>
      </c>
      <c r="C53" s="959" t="s">
        <v>4316</v>
      </c>
      <c r="D53" s="19" t="s">
        <v>4317</v>
      </c>
      <c r="E53" s="18">
        <v>1</v>
      </c>
      <c r="F53" s="942" t="s">
        <v>4116</v>
      </c>
      <c r="G53" s="21" t="s">
        <v>4318</v>
      </c>
      <c r="H53" s="478"/>
      <c r="I53" s="21" t="s">
        <v>4319</v>
      </c>
      <c r="J53" s="20" t="s">
        <v>3974</v>
      </c>
      <c r="K53" s="20" t="s">
        <v>4179</v>
      </c>
      <c r="L53" s="476" t="s">
        <v>3974</v>
      </c>
      <c r="M53" s="926" t="s">
        <v>3979</v>
      </c>
      <c r="N53" s="926" t="s">
        <v>3979</v>
      </c>
      <c r="O53" s="926" t="s">
        <v>3974</v>
      </c>
      <c r="P53" s="477"/>
      <c r="Q53" s="940">
        <v>1</v>
      </c>
      <c r="R53" s="940">
        <v>1</v>
      </c>
      <c r="S53" s="977" t="s">
        <v>3974</v>
      </c>
      <c r="T53" s="926" t="s">
        <v>3974</v>
      </c>
      <c r="U53" s="926" t="s">
        <v>3974</v>
      </c>
      <c r="V53" s="926" t="s">
        <v>3974</v>
      </c>
      <c r="W53" s="926" t="s">
        <v>3974</v>
      </c>
      <c r="X53" s="975" t="s">
        <v>3979</v>
      </c>
      <c r="Y53" s="749" t="s">
        <v>3980</v>
      </c>
      <c r="Z53" s="961" t="s">
        <v>4320</v>
      </c>
      <c r="AA53" s="961" t="s">
        <v>4307</v>
      </c>
      <c r="AB53" s="200"/>
    </row>
    <row r="54" spans="1:28" s="7" customFormat="1" ht="15.75" customHeight="1">
      <c r="A54" s="24" t="s">
        <v>4321</v>
      </c>
      <c r="B54" s="18" t="s">
        <v>4322</v>
      </c>
      <c r="C54" s="885" t="s">
        <v>4323</v>
      </c>
      <c r="D54" s="19" t="s">
        <v>4324</v>
      </c>
      <c r="E54" s="18">
        <v>0</v>
      </c>
      <c r="F54" s="942" t="s">
        <v>4116</v>
      </c>
      <c r="G54" s="1107" t="s">
        <v>4323</v>
      </c>
      <c r="H54" s="478"/>
      <c r="I54" s="25"/>
      <c r="J54" s="20"/>
      <c r="K54" s="20"/>
      <c r="L54" s="476"/>
      <c r="M54" s="926" t="s">
        <v>3979</v>
      </c>
      <c r="N54" s="926" t="s">
        <v>3979</v>
      </c>
      <c r="O54" s="926" t="s">
        <v>3974</v>
      </c>
      <c r="P54" s="477"/>
      <c r="Q54" s="26"/>
      <c r="R54" s="26"/>
      <c r="S54" s="977"/>
      <c r="T54" s="926" t="s">
        <v>3974</v>
      </c>
      <c r="U54" s="926" t="s">
        <v>3974</v>
      </c>
      <c r="V54" s="926" t="s">
        <v>3974</v>
      </c>
      <c r="W54" s="926" t="s">
        <v>3974</v>
      </c>
      <c r="X54" s="975"/>
      <c r="Y54" s="749"/>
      <c r="Z54" s="961" t="s">
        <v>4325</v>
      </c>
      <c r="AA54" s="961" t="s">
        <v>4326</v>
      </c>
      <c r="AB54" s="200"/>
    </row>
    <row r="55" spans="1:28" s="7" customFormat="1" ht="27.75" customHeight="1">
      <c r="A55" s="24" t="s">
        <v>4327</v>
      </c>
      <c r="B55" s="18" t="s">
        <v>4328</v>
      </c>
      <c r="C55" s="885" t="s">
        <v>4329</v>
      </c>
      <c r="D55" s="19" t="s">
        <v>4330</v>
      </c>
      <c r="E55" s="18">
        <v>0</v>
      </c>
      <c r="F55" s="942" t="s">
        <v>4116</v>
      </c>
      <c r="G55" s="1107" t="s">
        <v>4329</v>
      </c>
      <c r="H55" s="478"/>
      <c r="I55" s="25"/>
      <c r="J55" s="20"/>
      <c r="K55" s="20"/>
      <c r="L55" s="476"/>
      <c r="M55" s="926" t="s">
        <v>3979</v>
      </c>
      <c r="N55" s="926" t="s">
        <v>3979</v>
      </c>
      <c r="O55" s="926" t="s">
        <v>3974</v>
      </c>
      <c r="P55" s="477"/>
      <c r="Q55" s="26"/>
      <c r="R55" s="26"/>
      <c r="S55" s="977"/>
      <c r="T55" s="926" t="s">
        <v>3974</v>
      </c>
      <c r="U55" s="926" t="s">
        <v>3974</v>
      </c>
      <c r="V55" s="926" t="s">
        <v>3974</v>
      </c>
      <c r="W55" s="926" t="s">
        <v>3974</v>
      </c>
      <c r="X55" s="975"/>
      <c r="Y55" s="749"/>
      <c r="Z55" s="961" t="s">
        <v>4331</v>
      </c>
      <c r="AA55" s="961" t="s">
        <v>4332</v>
      </c>
      <c r="AB55" s="200"/>
    </row>
    <row r="56" spans="1:28" s="7" customFormat="1" ht="15.75" customHeight="1">
      <c r="A56" s="24" t="s">
        <v>4333</v>
      </c>
      <c r="B56" s="18" t="s">
        <v>4334</v>
      </c>
      <c r="C56" s="885" t="s">
        <v>4335</v>
      </c>
      <c r="D56" s="19" t="s">
        <v>4336</v>
      </c>
      <c r="E56" s="18">
        <v>0</v>
      </c>
      <c r="F56" s="942" t="s">
        <v>4116</v>
      </c>
      <c r="G56" s="1107" t="s">
        <v>4335</v>
      </c>
      <c r="H56" s="478"/>
      <c r="I56" s="25"/>
      <c r="J56" s="20"/>
      <c r="K56" s="20"/>
      <c r="L56" s="476"/>
      <c r="M56" s="926" t="s">
        <v>3979</v>
      </c>
      <c r="N56" s="926" t="s">
        <v>3979</v>
      </c>
      <c r="O56" s="926" t="s">
        <v>3974</v>
      </c>
      <c r="P56" s="477"/>
      <c r="Q56" s="26"/>
      <c r="R56" s="26"/>
      <c r="S56" s="977"/>
      <c r="T56" s="926" t="s">
        <v>3974</v>
      </c>
      <c r="U56" s="926" t="s">
        <v>3974</v>
      </c>
      <c r="V56" s="926" t="s">
        <v>3974</v>
      </c>
      <c r="W56" s="926" t="s">
        <v>3974</v>
      </c>
      <c r="X56" s="975"/>
      <c r="Y56" s="749"/>
      <c r="Z56" s="961" t="s">
        <v>4337</v>
      </c>
      <c r="AA56" s="961" t="s">
        <v>4338</v>
      </c>
      <c r="AB56" s="200"/>
    </row>
    <row r="57" spans="1:28" s="7" customFormat="1" ht="15.75" customHeight="1">
      <c r="A57" s="24" t="s">
        <v>144</v>
      </c>
      <c r="B57" s="18" t="s">
        <v>4339</v>
      </c>
      <c r="C57" s="885" t="s">
        <v>4340</v>
      </c>
      <c r="D57" s="19" t="s">
        <v>4341</v>
      </c>
      <c r="E57" s="18">
        <v>0</v>
      </c>
      <c r="F57" s="942" t="s">
        <v>4116</v>
      </c>
      <c r="G57" s="1107" t="s">
        <v>4340</v>
      </c>
      <c r="H57" s="478"/>
      <c r="I57" s="25"/>
      <c r="J57" s="20"/>
      <c r="K57" s="20"/>
      <c r="L57" s="476"/>
      <c r="M57" s="926" t="s">
        <v>3979</v>
      </c>
      <c r="N57" s="926" t="s">
        <v>3979</v>
      </c>
      <c r="O57" s="926" t="s">
        <v>3974</v>
      </c>
      <c r="P57" s="477"/>
      <c r="Q57" s="26"/>
      <c r="R57" s="26"/>
      <c r="S57" s="977"/>
      <c r="T57" s="926" t="s">
        <v>3974</v>
      </c>
      <c r="U57" s="926" t="s">
        <v>3974</v>
      </c>
      <c r="V57" s="926" t="s">
        <v>3974</v>
      </c>
      <c r="W57" s="926" t="s">
        <v>3974</v>
      </c>
      <c r="X57" s="975"/>
      <c r="Y57" s="749"/>
      <c r="Z57" s="961" t="s">
        <v>4342</v>
      </c>
      <c r="AA57" s="961" t="s">
        <v>4343</v>
      </c>
      <c r="AB57" s="200"/>
    </row>
    <row r="58" spans="1:28" s="7" customFormat="1" ht="27.75" customHeight="1">
      <c r="A58" s="24" t="s">
        <v>148</v>
      </c>
      <c r="B58" s="18" t="s">
        <v>4344</v>
      </c>
      <c r="C58" s="885" t="s">
        <v>4345</v>
      </c>
      <c r="D58" s="19" t="s">
        <v>4346</v>
      </c>
      <c r="E58" s="18">
        <v>0</v>
      </c>
      <c r="F58" s="942" t="s">
        <v>4116</v>
      </c>
      <c r="G58" s="1107" t="s">
        <v>4345</v>
      </c>
      <c r="H58" s="478"/>
      <c r="I58" s="25"/>
      <c r="J58" s="20"/>
      <c r="K58" s="20"/>
      <c r="L58" s="476"/>
      <c r="M58" s="926" t="s">
        <v>3979</v>
      </c>
      <c r="N58" s="926" t="s">
        <v>3979</v>
      </c>
      <c r="O58" s="926" t="s">
        <v>3974</v>
      </c>
      <c r="P58" s="477"/>
      <c r="Q58" s="26"/>
      <c r="R58" s="26"/>
      <c r="S58" s="977"/>
      <c r="T58" s="926" t="s">
        <v>3974</v>
      </c>
      <c r="U58" s="926" t="s">
        <v>3974</v>
      </c>
      <c r="V58" s="926" t="s">
        <v>3974</v>
      </c>
      <c r="W58" s="926" t="s">
        <v>3974</v>
      </c>
      <c r="X58" s="975"/>
      <c r="Y58" s="749"/>
      <c r="Z58" s="961" t="s">
        <v>4347</v>
      </c>
      <c r="AA58" s="961" t="s">
        <v>4348</v>
      </c>
      <c r="AB58" s="200"/>
    </row>
    <row r="59" spans="1:28" s="7" customFormat="1" ht="15.75" customHeight="1">
      <c r="A59" s="24"/>
      <c r="B59" s="18" t="s">
        <v>4349</v>
      </c>
      <c r="C59" s="885" t="s">
        <v>4350</v>
      </c>
      <c r="D59" s="19" t="s">
        <v>4351</v>
      </c>
      <c r="E59" s="18">
        <v>0</v>
      </c>
      <c r="F59" s="942" t="s">
        <v>4116</v>
      </c>
      <c r="G59" s="1107" t="s">
        <v>4350</v>
      </c>
      <c r="H59" s="478"/>
      <c r="I59" s="25"/>
      <c r="J59" s="20"/>
      <c r="K59" s="20"/>
      <c r="L59" s="476"/>
      <c r="M59" s="926" t="s">
        <v>3979</v>
      </c>
      <c r="N59" s="926" t="s">
        <v>3979</v>
      </c>
      <c r="O59" s="926" t="s">
        <v>3974</v>
      </c>
      <c r="P59" s="477"/>
      <c r="Q59" s="26"/>
      <c r="R59" s="26"/>
      <c r="S59" s="977"/>
      <c r="T59" s="926" t="s">
        <v>3974</v>
      </c>
      <c r="U59" s="926" t="s">
        <v>3974</v>
      </c>
      <c r="V59" s="926" t="s">
        <v>3974</v>
      </c>
      <c r="W59" s="926" t="s">
        <v>3974</v>
      </c>
      <c r="X59" s="975"/>
      <c r="Y59" s="749"/>
      <c r="Z59" s="961" t="s">
        <v>4325</v>
      </c>
      <c r="AA59" s="961" t="s">
        <v>4326</v>
      </c>
      <c r="AB59" s="200"/>
    </row>
    <row r="60" spans="1:28" s="7" customFormat="1" ht="15.75" customHeight="1">
      <c r="A60" s="24"/>
      <c r="B60" s="18" t="s">
        <v>4352</v>
      </c>
      <c r="C60" s="885" t="s">
        <v>4353</v>
      </c>
      <c r="D60" s="19" t="s">
        <v>4354</v>
      </c>
      <c r="E60" s="18">
        <v>0</v>
      </c>
      <c r="F60" s="942" t="s">
        <v>4116</v>
      </c>
      <c r="G60" s="1107" t="s">
        <v>4353</v>
      </c>
      <c r="H60" s="478"/>
      <c r="I60" s="25"/>
      <c r="J60" s="20"/>
      <c r="K60" s="20"/>
      <c r="L60" s="476"/>
      <c r="M60" s="926" t="s">
        <v>3979</v>
      </c>
      <c r="N60" s="926" t="s">
        <v>3979</v>
      </c>
      <c r="O60" s="926" t="s">
        <v>3974</v>
      </c>
      <c r="P60" s="477"/>
      <c r="Q60" s="26"/>
      <c r="R60" s="26"/>
      <c r="S60" s="977"/>
      <c r="T60" s="926" t="s">
        <v>3974</v>
      </c>
      <c r="U60" s="926" t="s">
        <v>3974</v>
      </c>
      <c r="V60" s="926" t="s">
        <v>3974</v>
      </c>
      <c r="W60" s="926" t="s">
        <v>3974</v>
      </c>
      <c r="X60" s="975"/>
      <c r="Y60" s="749"/>
      <c r="Z60" s="961" t="s">
        <v>4325</v>
      </c>
      <c r="AA60" s="961" t="s">
        <v>4326</v>
      </c>
      <c r="AB60" s="200"/>
    </row>
    <row r="61" spans="1:28" s="7" customFormat="1" ht="27.75" customHeight="1">
      <c r="A61" s="24"/>
      <c r="B61" s="419" t="s">
        <v>4355</v>
      </c>
      <c r="C61" s="885" t="s">
        <v>4356</v>
      </c>
      <c r="D61" s="19" t="s">
        <v>4357</v>
      </c>
      <c r="E61" s="18">
        <v>0</v>
      </c>
      <c r="F61" s="942" t="s">
        <v>4116</v>
      </c>
      <c r="G61" s="1107" t="s">
        <v>4356</v>
      </c>
      <c r="H61" s="478"/>
      <c r="I61" s="25"/>
      <c r="J61" s="20"/>
      <c r="K61" s="20"/>
      <c r="L61" s="476"/>
      <c r="M61" s="926" t="s">
        <v>3979</v>
      </c>
      <c r="N61" s="926" t="s">
        <v>3979</v>
      </c>
      <c r="O61" s="926" t="s">
        <v>3974</v>
      </c>
      <c r="P61" s="477"/>
      <c r="Q61" s="26"/>
      <c r="R61" s="26"/>
      <c r="S61" s="977"/>
      <c r="T61" s="926" t="s">
        <v>3974</v>
      </c>
      <c r="U61" s="926" t="s">
        <v>3974</v>
      </c>
      <c r="V61" s="926" t="s">
        <v>3974</v>
      </c>
      <c r="W61" s="926" t="s">
        <v>3974</v>
      </c>
      <c r="X61" s="975"/>
      <c r="Y61" s="749"/>
      <c r="Z61" s="961" t="s">
        <v>4331</v>
      </c>
      <c r="AA61" s="961" t="s">
        <v>4332</v>
      </c>
      <c r="AB61" s="200"/>
    </row>
    <row r="62" spans="1:28" s="7" customFormat="1" ht="15.75" customHeight="1">
      <c r="A62" s="24" t="s">
        <v>164</v>
      </c>
      <c r="B62" s="18" t="s">
        <v>4358</v>
      </c>
      <c r="C62" s="885" t="s">
        <v>4359</v>
      </c>
      <c r="D62" s="19" t="s">
        <v>4360</v>
      </c>
      <c r="E62" s="18">
        <v>0</v>
      </c>
      <c r="F62" s="942" t="s">
        <v>4116</v>
      </c>
      <c r="G62" s="1107" t="s">
        <v>4359</v>
      </c>
      <c r="H62" s="478"/>
      <c r="I62" s="25"/>
      <c r="J62" s="20"/>
      <c r="K62" s="20"/>
      <c r="L62" s="476"/>
      <c r="M62" s="926" t="s">
        <v>3979</v>
      </c>
      <c r="N62" s="926" t="s">
        <v>3979</v>
      </c>
      <c r="O62" s="926" t="s">
        <v>3974</v>
      </c>
      <c r="P62" s="477"/>
      <c r="Q62" s="26"/>
      <c r="R62" s="26"/>
      <c r="S62" s="977"/>
      <c r="T62" s="926" t="s">
        <v>3974</v>
      </c>
      <c r="U62" s="926" t="s">
        <v>3974</v>
      </c>
      <c r="V62" s="926" t="s">
        <v>3974</v>
      </c>
      <c r="W62" s="926" t="s">
        <v>3974</v>
      </c>
      <c r="X62" s="975"/>
      <c r="Y62" s="749"/>
      <c r="Z62" s="961" t="s">
        <v>4337</v>
      </c>
      <c r="AA62" s="961" t="s">
        <v>4338</v>
      </c>
      <c r="AB62" s="200"/>
    </row>
    <row r="63" spans="1:28" s="7" customFormat="1" ht="15.75" customHeight="1">
      <c r="A63" s="24" t="s">
        <v>168</v>
      </c>
      <c r="B63" s="18" t="s">
        <v>4361</v>
      </c>
      <c r="C63" s="885" t="s">
        <v>4362</v>
      </c>
      <c r="D63" s="19" t="s">
        <v>4363</v>
      </c>
      <c r="E63" s="18">
        <v>0</v>
      </c>
      <c r="F63" s="942" t="s">
        <v>4116</v>
      </c>
      <c r="G63" s="1107" t="s">
        <v>4362</v>
      </c>
      <c r="H63" s="478"/>
      <c r="I63" s="25"/>
      <c r="J63" s="20"/>
      <c r="K63" s="20"/>
      <c r="L63" s="476"/>
      <c r="M63" s="926" t="s">
        <v>3979</v>
      </c>
      <c r="N63" s="926" t="s">
        <v>3979</v>
      </c>
      <c r="O63" s="926" t="s">
        <v>3974</v>
      </c>
      <c r="P63" s="477"/>
      <c r="Q63" s="26"/>
      <c r="R63" s="26"/>
      <c r="S63" s="977"/>
      <c r="T63" s="926" t="s">
        <v>3974</v>
      </c>
      <c r="U63" s="926" t="s">
        <v>3974</v>
      </c>
      <c r="V63" s="926" t="s">
        <v>3974</v>
      </c>
      <c r="W63" s="926" t="s">
        <v>3974</v>
      </c>
      <c r="X63" s="975"/>
      <c r="Y63" s="749"/>
      <c r="Z63" s="961" t="s">
        <v>4342</v>
      </c>
      <c r="AA63" s="961" t="s">
        <v>4343</v>
      </c>
      <c r="AB63" s="200"/>
    </row>
    <row r="64" spans="1:28" s="7" customFormat="1" ht="27.75" customHeight="1">
      <c r="A64" s="24" t="s">
        <v>172</v>
      </c>
      <c r="B64" s="18" t="s">
        <v>4364</v>
      </c>
      <c r="C64" s="885" t="s">
        <v>4365</v>
      </c>
      <c r="D64" s="19" t="s">
        <v>4366</v>
      </c>
      <c r="E64" s="18">
        <v>0</v>
      </c>
      <c r="F64" s="942" t="s">
        <v>4116</v>
      </c>
      <c r="G64" s="1107" t="s">
        <v>4365</v>
      </c>
      <c r="H64" s="478"/>
      <c r="I64" s="25"/>
      <c r="J64" s="20"/>
      <c r="K64" s="20"/>
      <c r="L64" s="476"/>
      <c r="M64" s="926" t="s">
        <v>3979</v>
      </c>
      <c r="N64" s="926" t="s">
        <v>3979</v>
      </c>
      <c r="O64" s="926" t="s">
        <v>3974</v>
      </c>
      <c r="P64" s="477"/>
      <c r="Q64" s="26"/>
      <c r="R64" s="26"/>
      <c r="S64" s="977"/>
      <c r="T64" s="926" t="s">
        <v>3974</v>
      </c>
      <c r="U64" s="926" t="s">
        <v>3974</v>
      </c>
      <c r="V64" s="926" t="s">
        <v>3974</v>
      </c>
      <c r="W64" s="926" t="s">
        <v>3974</v>
      </c>
      <c r="X64" s="975"/>
      <c r="Y64" s="749"/>
      <c r="Z64" s="961" t="s">
        <v>4347</v>
      </c>
      <c r="AA64" s="961" t="s">
        <v>4348</v>
      </c>
      <c r="AB64" s="200"/>
    </row>
    <row r="65" spans="1:28" s="7" customFormat="1" ht="15.75" customHeight="1">
      <c r="A65" s="24" t="s">
        <v>176</v>
      </c>
      <c r="B65" s="962" t="s">
        <v>4367</v>
      </c>
      <c r="C65" s="866" t="s">
        <v>4368</v>
      </c>
      <c r="D65" s="19" t="s">
        <v>4369</v>
      </c>
      <c r="E65" s="18">
        <v>0</v>
      </c>
      <c r="F65" s="942" t="s">
        <v>4116</v>
      </c>
      <c r="G65" s="718" t="s">
        <v>4368</v>
      </c>
      <c r="H65" s="478"/>
      <c r="I65" s="25"/>
      <c r="J65" s="20"/>
      <c r="K65" s="20"/>
      <c r="L65" s="476"/>
      <c r="M65" s="926" t="s">
        <v>3979</v>
      </c>
      <c r="N65" s="926" t="s">
        <v>3979</v>
      </c>
      <c r="O65" s="926" t="s">
        <v>3974</v>
      </c>
      <c r="P65" s="477"/>
      <c r="Q65" s="26"/>
      <c r="R65" s="26"/>
      <c r="S65" s="977"/>
      <c r="T65" s="926" t="s">
        <v>3974</v>
      </c>
      <c r="U65" s="926" t="s">
        <v>3974</v>
      </c>
      <c r="V65" s="926" t="s">
        <v>3974</v>
      </c>
      <c r="W65" s="926" t="s">
        <v>3974</v>
      </c>
      <c r="X65" s="975"/>
      <c r="Y65" s="749"/>
      <c r="Z65" s="961" t="s">
        <v>4325</v>
      </c>
      <c r="AA65" s="961" t="s">
        <v>4326</v>
      </c>
      <c r="AB65" s="200"/>
    </row>
    <row r="66" spans="1:28" s="1144" customFormat="1" ht="15.75" customHeight="1">
      <c r="A66" s="1182" t="s">
        <v>4370</v>
      </c>
      <c r="B66" s="962" t="s">
        <v>4371</v>
      </c>
      <c r="C66" s="1182" t="s">
        <v>4372</v>
      </c>
      <c r="D66" s="1116" t="s">
        <v>4373</v>
      </c>
      <c r="E66" s="962">
        <v>0</v>
      </c>
      <c r="F66" s="1127"/>
      <c r="G66" s="1182" t="s">
        <v>4374</v>
      </c>
      <c r="H66" s="978"/>
      <c r="I66" s="1016"/>
      <c r="J66" s="1182"/>
      <c r="K66" s="1182"/>
      <c r="L66" s="978"/>
      <c r="M66" s="978" t="s">
        <v>3979</v>
      </c>
      <c r="N66" s="978" t="s">
        <v>3979</v>
      </c>
      <c r="O66" s="978" t="s">
        <v>3974</v>
      </c>
      <c r="P66" s="480"/>
      <c r="Q66" s="940"/>
      <c r="R66" s="940"/>
      <c r="S66" s="977"/>
      <c r="T66" s="978" t="s">
        <v>3974</v>
      </c>
      <c r="U66" s="978" t="s">
        <v>3974</v>
      </c>
      <c r="V66" s="978" t="s">
        <v>3974</v>
      </c>
      <c r="W66" s="978" t="s">
        <v>3974</v>
      </c>
      <c r="X66" s="975"/>
      <c r="Y66" s="1181"/>
      <c r="Z66" s="1412" t="s">
        <v>4375</v>
      </c>
      <c r="AA66" s="1412" t="s">
        <v>4376</v>
      </c>
      <c r="AB66" s="208"/>
    </row>
    <row r="67" spans="1:28" s="1144" customFormat="1" ht="14.25" customHeight="1">
      <c r="A67" s="1182" t="s">
        <v>4377</v>
      </c>
      <c r="B67" s="962" t="s">
        <v>4378</v>
      </c>
      <c r="C67" s="1182" t="s">
        <v>4379</v>
      </c>
      <c r="D67" s="1116" t="s">
        <v>4380</v>
      </c>
      <c r="E67" s="962">
        <v>0</v>
      </c>
      <c r="F67" s="1127"/>
      <c r="G67" s="1182" t="s">
        <v>4381</v>
      </c>
      <c r="H67" s="978"/>
      <c r="I67" s="1016"/>
      <c r="J67" s="1182"/>
      <c r="K67" s="1182"/>
      <c r="L67" s="978"/>
      <c r="M67" s="978" t="s">
        <v>3979</v>
      </c>
      <c r="N67" s="978" t="s">
        <v>3979</v>
      </c>
      <c r="O67" s="978" t="s">
        <v>3974</v>
      </c>
      <c r="P67" s="480"/>
      <c r="Q67" s="940"/>
      <c r="R67" s="940"/>
      <c r="S67" s="977"/>
      <c r="T67" s="978" t="s">
        <v>3974</v>
      </c>
      <c r="U67" s="978" t="s">
        <v>3974</v>
      </c>
      <c r="V67" s="978" t="s">
        <v>3974</v>
      </c>
      <c r="W67" s="978" t="s">
        <v>3974</v>
      </c>
      <c r="X67" s="975"/>
      <c r="Y67" s="1181"/>
      <c r="Z67" s="1412" t="s">
        <v>4375</v>
      </c>
      <c r="AA67" s="1412" t="s">
        <v>4376</v>
      </c>
      <c r="AB67" s="208"/>
    </row>
    <row r="68" spans="1:28" s="1144" customFormat="1" ht="14.25" customHeight="1">
      <c r="A68" s="1182" t="s">
        <v>4382</v>
      </c>
      <c r="B68" s="962" t="s">
        <v>4383</v>
      </c>
      <c r="C68" s="1182" t="s">
        <v>4384</v>
      </c>
      <c r="D68" s="1116" t="s">
        <v>4385</v>
      </c>
      <c r="E68" s="962">
        <v>0</v>
      </c>
      <c r="F68" s="1127"/>
      <c r="G68" s="1182" t="s">
        <v>4386</v>
      </c>
      <c r="H68" s="978"/>
      <c r="I68" s="1016"/>
      <c r="J68" s="1182"/>
      <c r="K68" s="1182"/>
      <c r="L68" s="978"/>
      <c r="M68" s="978" t="s">
        <v>3979</v>
      </c>
      <c r="N68" s="978" t="s">
        <v>3979</v>
      </c>
      <c r="O68" s="978" t="s">
        <v>3974</v>
      </c>
      <c r="P68" s="480"/>
      <c r="Q68" s="940"/>
      <c r="R68" s="940"/>
      <c r="S68" s="977"/>
      <c r="T68" s="978" t="s">
        <v>3974</v>
      </c>
      <c r="U68" s="978" t="s">
        <v>3974</v>
      </c>
      <c r="V68" s="978" t="s">
        <v>3974</v>
      </c>
      <c r="W68" s="978" t="s">
        <v>3974</v>
      </c>
      <c r="X68" s="975"/>
      <c r="Y68" s="1181"/>
      <c r="Z68" s="1412" t="s">
        <v>4375</v>
      </c>
      <c r="AA68" s="1412" t="s">
        <v>4376</v>
      </c>
      <c r="AB68" s="208"/>
    </row>
    <row r="69" spans="1:28" s="7" customFormat="1" ht="81.75" customHeight="1">
      <c r="A69" s="24" t="s">
        <v>215</v>
      </c>
      <c r="B69" s="1012" t="s">
        <v>4387</v>
      </c>
      <c r="C69" s="961" t="s">
        <v>4388</v>
      </c>
      <c r="D69" s="19" t="s">
        <v>4389</v>
      </c>
      <c r="E69" s="18">
        <v>2</v>
      </c>
      <c r="F69" s="942" t="s">
        <v>4116</v>
      </c>
      <c r="G69" s="21" t="s">
        <v>4390</v>
      </c>
      <c r="H69" s="478"/>
      <c r="I69" s="25" t="s">
        <v>4391</v>
      </c>
      <c r="J69" s="20" t="s">
        <v>3974</v>
      </c>
      <c r="K69" s="978" t="s">
        <v>3973</v>
      </c>
      <c r="L69" s="939" t="s">
        <v>3974</v>
      </c>
      <c r="M69" s="939" t="s">
        <v>3979</v>
      </c>
      <c r="N69" s="939" t="s">
        <v>3979</v>
      </c>
      <c r="O69" s="926" t="s">
        <v>3974</v>
      </c>
      <c r="P69" s="477"/>
      <c r="Q69" s="940">
        <v>1</v>
      </c>
      <c r="R69" s="940">
        <v>1</v>
      </c>
      <c r="S69" s="977"/>
      <c r="T69" s="926" t="s">
        <v>3974</v>
      </c>
      <c r="U69" s="926" t="s">
        <v>3974</v>
      </c>
      <c r="V69" s="926" t="s">
        <v>3974</v>
      </c>
      <c r="W69" s="926" t="s">
        <v>3974</v>
      </c>
      <c r="X69" s="975" t="s">
        <v>3979</v>
      </c>
      <c r="Y69" s="749" t="s">
        <v>3980</v>
      </c>
      <c r="Z69" s="752" t="s">
        <v>4392</v>
      </c>
      <c r="AA69" s="752" t="s">
        <v>4393</v>
      </c>
      <c r="AB69" s="200"/>
    </row>
    <row r="70" spans="1:28" s="7" customFormat="1" ht="81.75" customHeight="1">
      <c r="A70" s="24" t="s">
        <v>219</v>
      </c>
      <c r="B70" s="3154" t="s">
        <v>4394</v>
      </c>
      <c r="C70" s="961" t="s">
        <v>4395</v>
      </c>
      <c r="D70" s="19" t="s">
        <v>4396</v>
      </c>
      <c r="E70" s="18">
        <v>2</v>
      </c>
      <c r="F70" s="942" t="s">
        <v>4116</v>
      </c>
      <c r="G70" s="21" t="s">
        <v>4397</v>
      </c>
      <c r="H70" s="478"/>
      <c r="I70" s="25" t="s">
        <v>4398</v>
      </c>
      <c r="J70" s="20" t="s">
        <v>3974</v>
      </c>
      <c r="K70" s="939" t="s">
        <v>3973</v>
      </c>
      <c r="L70" s="939" t="s">
        <v>3974</v>
      </c>
      <c r="M70" s="939" t="s">
        <v>3979</v>
      </c>
      <c r="N70" s="939" t="s">
        <v>3979</v>
      </c>
      <c r="O70" s="926" t="s">
        <v>3974</v>
      </c>
      <c r="P70" s="477"/>
      <c r="Q70" s="940">
        <v>1</v>
      </c>
      <c r="R70" s="940">
        <v>1</v>
      </c>
      <c r="S70" s="977"/>
      <c r="T70" s="926" t="s">
        <v>3974</v>
      </c>
      <c r="U70" s="926" t="s">
        <v>3974</v>
      </c>
      <c r="V70" s="926" t="s">
        <v>3974</v>
      </c>
      <c r="W70" s="926" t="s">
        <v>3974</v>
      </c>
      <c r="X70" s="975" t="s">
        <v>3979</v>
      </c>
      <c r="Y70" s="749" t="s">
        <v>3980</v>
      </c>
      <c r="Z70" s="752" t="s">
        <v>4392</v>
      </c>
      <c r="AA70" s="752" t="s">
        <v>4393</v>
      </c>
      <c r="AB70" s="200"/>
    </row>
    <row r="71" spans="1:28" s="7" customFormat="1" ht="15.75" customHeight="1">
      <c r="A71" s="24" t="s">
        <v>4399</v>
      </c>
      <c r="B71" s="962" t="s">
        <v>4400</v>
      </c>
      <c r="C71" s="960" t="s">
        <v>4401</v>
      </c>
      <c r="D71" s="19" t="s">
        <v>4402</v>
      </c>
      <c r="E71" s="18">
        <v>1</v>
      </c>
      <c r="F71" s="942" t="s">
        <v>4116</v>
      </c>
      <c r="G71" s="1126" t="s">
        <v>4403</v>
      </c>
      <c r="H71" s="478"/>
      <c r="I71" s="25"/>
      <c r="J71" s="20"/>
      <c r="K71" s="20"/>
      <c r="L71" s="476"/>
      <c r="M71" s="476"/>
      <c r="N71" s="476"/>
      <c r="O71" s="926" t="s">
        <v>3974</v>
      </c>
      <c r="P71" s="477"/>
      <c r="Q71" s="26"/>
      <c r="R71" s="26"/>
      <c r="S71" s="977"/>
      <c r="T71" s="926" t="s">
        <v>3974</v>
      </c>
      <c r="U71" s="926" t="s">
        <v>3974</v>
      </c>
      <c r="V71" s="926" t="s">
        <v>3974</v>
      </c>
      <c r="W71" s="926" t="s">
        <v>3974</v>
      </c>
      <c r="X71" s="975"/>
      <c r="Y71" s="749"/>
      <c r="Z71" s="961"/>
      <c r="AA71" s="961"/>
      <c r="AB71" s="200"/>
    </row>
    <row r="72" spans="1:28" s="7" customFormat="1" ht="27.75" customHeight="1">
      <c r="A72" s="24" t="s">
        <v>4404</v>
      </c>
      <c r="B72" s="962" t="s">
        <v>4405</v>
      </c>
      <c r="C72" s="960" t="s">
        <v>4406</v>
      </c>
      <c r="D72" s="19" t="s">
        <v>4407</v>
      </c>
      <c r="E72" s="18">
        <v>2</v>
      </c>
      <c r="F72" s="942" t="s">
        <v>4116</v>
      </c>
      <c r="G72" s="1108" t="s">
        <v>4406</v>
      </c>
      <c r="H72" s="478"/>
      <c r="I72" s="25"/>
      <c r="J72" s="20"/>
      <c r="K72" s="20"/>
      <c r="L72" s="476"/>
      <c r="M72" s="480"/>
      <c r="N72" s="480"/>
      <c r="O72" s="926"/>
      <c r="P72" s="477"/>
      <c r="Q72" s="26"/>
      <c r="R72" s="26"/>
      <c r="S72" s="977"/>
      <c r="T72" s="926"/>
      <c r="U72" s="926"/>
      <c r="V72" s="926"/>
      <c r="W72" s="926"/>
      <c r="X72" s="975"/>
      <c r="Y72" s="749"/>
      <c r="Z72" s="961" t="s">
        <v>4408</v>
      </c>
      <c r="AA72" s="961" t="s">
        <v>4409</v>
      </c>
      <c r="AB72" s="200"/>
    </row>
    <row r="73" spans="1:28" s="7" customFormat="1" ht="27.75" customHeight="1">
      <c r="A73" s="24"/>
      <c r="B73" s="962" t="s">
        <v>4410</v>
      </c>
      <c r="C73" s="960" t="s">
        <v>4411</v>
      </c>
      <c r="D73" s="19" t="s">
        <v>4412</v>
      </c>
      <c r="E73" s="18">
        <v>2</v>
      </c>
      <c r="F73" s="942" t="s">
        <v>4116</v>
      </c>
      <c r="G73" s="1108" t="s">
        <v>4411</v>
      </c>
      <c r="H73" s="478"/>
      <c r="I73" s="25"/>
      <c r="J73" s="20"/>
      <c r="K73" s="20"/>
      <c r="L73" s="476"/>
      <c r="M73" s="480"/>
      <c r="N73" s="480"/>
      <c r="O73" s="926"/>
      <c r="P73" s="477"/>
      <c r="Q73" s="26"/>
      <c r="R73" s="26"/>
      <c r="S73" s="977"/>
      <c r="T73" s="926"/>
      <c r="U73" s="926"/>
      <c r="V73" s="926"/>
      <c r="W73" s="926"/>
      <c r="X73" s="975"/>
      <c r="Y73" s="749"/>
      <c r="Z73" s="961" t="s">
        <v>4413</v>
      </c>
      <c r="AA73" s="961" t="s">
        <v>4414</v>
      </c>
      <c r="AB73" s="200"/>
    </row>
    <row r="74" spans="1:28" s="7" customFormat="1" ht="15.75" customHeight="1">
      <c r="A74" s="24"/>
      <c r="B74" s="962" t="s">
        <v>4415</v>
      </c>
      <c r="C74" s="960" t="s">
        <v>4416</v>
      </c>
      <c r="D74" s="19" t="s">
        <v>4417</v>
      </c>
      <c r="E74" s="18">
        <v>2</v>
      </c>
      <c r="F74" s="942" t="s">
        <v>4116</v>
      </c>
      <c r="G74" s="1108" t="s">
        <v>4416</v>
      </c>
      <c r="H74" s="478"/>
      <c r="I74" s="25"/>
      <c r="J74" s="20"/>
      <c r="K74" s="20"/>
      <c r="L74" s="476"/>
      <c r="M74" s="480"/>
      <c r="N74" s="480"/>
      <c r="O74" s="926"/>
      <c r="P74" s="477"/>
      <c r="Q74" s="26"/>
      <c r="R74" s="26"/>
      <c r="S74" s="977"/>
      <c r="T74" s="926"/>
      <c r="U74" s="926"/>
      <c r="V74" s="926"/>
      <c r="W74" s="926"/>
      <c r="X74" s="975"/>
      <c r="Y74" s="749"/>
      <c r="Z74" s="961" t="s">
        <v>4418</v>
      </c>
      <c r="AA74" s="961" t="s">
        <v>4419</v>
      </c>
      <c r="AB74" s="200"/>
    </row>
    <row r="75" spans="1:28" s="7" customFormat="1" ht="27.75" customHeight="1">
      <c r="A75" s="24"/>
      <c r="B75" s="962" t="s">
        <v>4420</v>
      </c>
      <c r="C75" s="960" t="s">
        <v>4421</v>
      </c>
      <c r="D75" s="19" t="s">
        <v>4422</v>
      </c>
      <c r="E75" s="18">
        <v>2</v>
      </c>
      <c r="F75" s="942" t="s">
        <v>4116</v>
      </c>
      <c r="G75" s="1108" t="s">
        <v>4421</v>
      </c>
      <c r="H75" s="478"/>
      <c r="I75" s="25"/>
      <c r="J75" s="20"/>
      <c r="K75" s="20"/>
      <c r="L75" s="476"/>
      <c r="M75" s="480"/>
      <c r="N75" s="480"/>
      <c r="O75" s="926"/>
      <c r="P75" s="477"/>
      <c r="Q75" s="26"/>
      <c r="R75" s="26"/>
      <c r="S75" s="977"/>
      <c r="T75" s="926"/>
      <c r="U75" s="926"/>
      <c r="V75" s="926"/>
      <c r="W75" s="926"/>
      <c r="X75" s="975"/>
      <c r="Y75" s="749"/>
      <c r="Z75" s="961" t="s">
        <v>4423</v>
      </c>
      <c r="AA75" s="961" t="s">
        <v>4424</v>
      </c>
      <c r="AB75" s="200"/>
    </row>
    <row r="76" spans="1:28" s="7" customFormat="1" ht="27.75" customHeight="1">
      <c r="A76" s="24"/>
      <c r="B76" s="962" t="s">
        <v>4425</v>
      </c>
      <c r="C76" s="960" t="s">
        <v>4426</v>
      </c>
      <c r="D76" s="19" t="s">
        <v>4427</v>
      </c>
      <c r="E76" s="18">
        <v>2</v>
      </c>
      <c r="F76" s="942" t="s">
        <v>4116</v>
      </c>
      <c r="G76" s="1108" t="s">
        <v>4426</v>
      </c>
      <c r="H76" s="478"/>
      <c r="I76" s="25"/>
      <c r="J76" s="20"/>
      <c r="K76" s="20"/>
      <c r="L76" s="476"/>
      <c r="M76" s="480"/>
      <c r="N76" s="480"/>
      <c r="O76" s="926"/>
      <c r="P76" s="477"/>
      <c r="Q76" s="26"/>
      <c r="R76" s="26"/>
      <c r="S76" s="977"/>
      <c r="T76" s="926"/>
      <c r="U76" s="926"/>
      <c r="V76" s="926"/>
      <c r="W76" s="926"/>
      <c r="X76" s="975"/>
      <c r="Y76" s="749"/>
      <c r="Z76" s="961" t="s">
        <v>4408</v>
      </c>
      <c r="AA76" s="961" t="s">
        <v>4409</v>
      </c>
      <c r="AB76" s="200"/>
    </row>
    <row r="77" spans="1:28" s="7" customFormat="1" ht="27.75" customHeight="1">
      <c r="A77" s="24"/>
      <c r="B77" s="962" t="s">
        <v>4428</v>
      </c>
      <c r="C77" s="960" t="s">
        <v>4429</v>
      </c>
      <c r="D77" s="19" t="s">
        <v>4430</v>
      </c>
      <c r="E77" s="18">
        <v>2</v>
      </c>
      <c r="F77" s="942" t="s">
        <v>4116</v>
      </c>
      <c r="G77" s="1108" t="s">
        <v>4429</v>
      </c>
      <c r="H77" s="478"/>
      <c r="I77" s="25"/>
      <c r="J77" s="20"/>
      <c r="K77" s="20"/>
      <c r="L77" s="476"/>
      <c r="M77" s="480"/>
      <c r="N77" s="480"/>
      <c r="O77" s="926"/>
      <c r="P77" s="477"/>
      <c r="Q77" s="26"/>
      <c r="R77" s="26"/>
      <c r="S77" s="977"/>
      <c r="T77" s="926"/>
      <c r="U77" s="926"/>
      <c r="V77" s="926"/>
      <c r="W77" s="926"/>
      <c r="X77" s="975"/>
      <c r="Y77" s="749"/>
      <c r="Z77" s="961" t="s">
        <v>4413</v>
      </c>
      <c r="AA77" s="961" t="s">
        <v>4414</v>
      </c>
      <c r="AB77" s="200"/>
    </row>
    <row r="78" spans="1:28" s="7" customFormat="1" ht="15.75" customHeight="1">
      <c r="A78" s="24"/>
      <c r="B78" s="962" t="s">
        <v>4431</v>
      </c>
      <c r="C78" s="960" t="s">
        <v>4432</v>
      </c>
      <c r="D78" s="19" t="s">
        <v>4433</v>
      </c>
      <c r="E78" s="18">
        <v>2</v>
      </c>
      <c r="F78" s="942" t="s">
        <v>4116</v>
      </c>
      <c r="G78" s="1108" t="s">
        <v>4432</v>
      </c>
      <c r="H78" s="478"/>
      <c r="I78" s="25"/>
      <c r="J78" s="20"/>
      <c r="K78" s="20"/>
      <c r="L78" s="476"/>
      <c r="M78" s="480"/>
      <c r="N78" s="480"/>
      <c r="O78" s="926"/>
      <c r="P78" s="477"/>
      <c r="Q78" s="26"/>
      <c r="R78" s="26"/>
      <c r="S78" s="977"/>
      <c r="T78" s="926"/>
      <c r="U78" s="926"/>
      <c r="V78" s="926"/>
      <c r="W78" s="926"/>
      <c r="X78" s="975"/>
      <c r="Y78" s="749"/>
      <c r="Z78" s="961" t="s">
        <v>4418</v>
      </c>
      <c r="AA78" s="961" t="s">
        <v>4419</v>
      </c>
      <c r="AB78" s="200"/>
    </row>
    <row r="79" spans="1:28" s="7" customFormat="1" ht="27.75" customHeight="1">
      <c r="A79" s="24"/>
      <c r="B79" s="962" t="s">
        <v>4434</v>
      </c>
      <c r="C79" s="960" t="s">
        <v>4435</v>
      </c>
      <c r="D79" s="750" t="s">
        <v>4436</v>
      </c>
      <c r="E79" s="962">
        <v>2</v>
      </c>
      <c r="F79" s="942" t="s">
        <v>4116</v>
      </c>
      <c r="G79" s="1108" t="s">
        <v>4435</v>
      </c>
      <c r="H79" s="478"/>
      <c r="I79" s="25"/>
      <c r="J79" s="20"/>
      <c r="K79" s="20"/>
      <c r="L79" s="476"/>
      <c r="M79" s="480"/>
      <c r="N79" s="480"/>
      <c r="O79" s="926"/>
      <c r="P79" s="477"/>
      <c r="Q79" s="26"/>
      <c r="R79" s="26"/>
      <c r="S79" s="977"/>
      <c r="T79" s="926"/>
      <c r="U79" s="926"/>
      <c r="V79" s="926"/>
      <c r="W79" s="926"/>
      <c r="X79" s="975"/>
      <c r="Y79" s="749"/>
      <c r="Z79" s="961" t="s">
        <v>4423</v>
      </c>
      <c r="AA79" s="961" t="s">
        <v>4424</v>
      </c>
      <c r="AB79" s="200"/>
    </row>
    <row r="80" spans="1:28" ht="15.75" customHeight="1">
      <c r="A80" s="27"/>
      <c r="B80" s="28" t="s">
        <v>4437</v>
      </c>
      <c r="C80" s="990" t="s">
        <v>4438</v>
      </c>
      <c r="D80" s="750" t="s">
        <v>4439</v>
      </c>
      <c r="E80" s="962">
        <v>2</v>
      </c>
      <c r="F80" s="942" t="s">
        <v>4116</v>
      </c>
      <c r="G80" s="1105" t="s">
        <v>4438</v>
      </c>
      <c r="H80" s="478"/>
      <c r="I80" s="401"/>
      <c r="J80" s="400"/>
      <c r="K80" s="978"/>
      <c r="L80" s="29"/>
      <c r="M80" s="939"/>
      <c r="N80" s="939"/>
      <c r="O80" s="926"/>
      <c r="P80" s="477"/>
      <c r="Q80" s="31"/>
      <c r="R80" s="31"/>
      <c r="S80" s="930"/>
      <c r="T80" s="926"/>
      <c r="U80" s="926"/>
      <c r="V80" s="926"/>
      <c r="W80" s="926"/>
      <c r="X80" s="979"/>
      <c r="Y80" s="888"/>
      <c r="Z80" s="1209" t="s">
        <v>4440</v>
      </c>
      <c r="AA80" s="1210" t="s">
        <v>4441</v>
      </c>
      <c r="AB80" s="308"/>
    </row>
    <row r="81" spans="1:28" ht="15.75" customHeight="1">
      <c r="A81" s="27"/>
      <c r="B81" s="28" t="s">
        <v>4442</v>
      </c>
      <c r="C81" s="990" t="s">
        <v>4443</v>
      </c>
      <c r="D81" s="750" t="s">
        <v>4444</v>
      </c>
      <c r="E81" s="962">
        <v>2</v>
      </c>
      <c r="F81" s="942" t="s">
        <v>4116</v>
      </c>
      <c r="G81" s="1105" t="s">
        <v>4443</v>
      </c>
      <c r="H81" s="478"/>
      <c r="I81" s="401"/>
      <c r="J81" s="400"/>
      <c r="K81" s="978"/>
      <c r="L81" s="29"/>
      <c r="M81" s="939"/>
      <c r="N81" s="939"/>
      <c r="O81" s="926"/>
      <c r="P81" s="477"/>
      <c r="Q81" s="31"/>
      <c r="R81" s="31"/>
      <c r="S81" s="930"/>
      <c r="T81" s="926"/>
      <c r="U81" s="926"/>
      <c r="V81" s="926"/>
      <c r="W81" s="926"/>
      <c r="X81" s="979"/>
      <c r="Y81" s="888"/>
      <c r="Z81" s="1211" t="s">
        <v>4440</v>
      </c>
      <c r="AA81" s="1212" t="s">
        <v>4441</v>
      </c>
      <c r="AB81" s="308"/>
    </row>
    <row r="82" spans="1:28" ht="15.75" customHeight="1">
      <c r="A82" s="27"/>
      <c r="B82" s="28" t="s">
        <v>4445</v>
      </c>
      <c r="C82" s="990" t="s">
        <v>4446</v>
      </c>
      <c r="D82" s="750" t="s">
        <v>4447</v>
      </c>
      <c r="E82" s="962">
        <v>2</v>
      </c>
      <c r="F82" s="942" t="s">
        <v>4116</v>
      </c>
      <c r="G82" s="1105" t="s">
        <v>4446</v>
      </c>
      <c r="H82" s="478"/>
      <c r="I82" s="401"/>
      <c r="J82" s="400"/>
      <c r="K82" s="978"/>
      <c r="L82" s="29"/>
      <c r="M82" s="939"/>
      <c r="N82" s="939"/>
      <c r="O82" s="926"/>
      <c r="P82" s="477"/>
      <c r="Q82" s="31"/>
      <c r="R82" s="31"/>
      <c r="S82" s="930"/>
      <c r="T82" s="926"/>
      <c r="U82" s="926"/>
      <c r="V82" s="926"/>
      <c r="W82" s="926"/>
      <c r="X82" s="979"/>
      <c r="Y82" s="888"/>
      <c r="Z82" s="1211" t="s">
        <v>4440</v>
      </c>
      <c r="AA82" s="1212" t="s">
        <v>4441</v>
      </c>
      <c r="AB82" s="308"/>
    </row>
    <row r="83" spans="1:28" ht="60.75" customHeight="1">
      <c r="A83" s="27" t="s">
        <v>4448</v>
      </c>
      <c r="B83" s="28" t="s">
        <v>4449</v>
      </c>
      <c r="C83" s="990" t="s">
        <v>4450</v>
      </c>
      <c r="D83" s="19" t="s">
        <v>4451</v>
      </c>
      <c r="E83" s="962">
        <v>1</v>
      </c>
      <c r="F83" s="942" t="s">
        <v>4116</v>
      </c>
      <c r="G83" s="1191" t="s">
        <v>4452</v>
      </c>
      <c r="H83" s="478" t="s">
        <v>4453</v>
      </c>
      <c r="I83" s="401" t="s">
        <v>4453</v>
      </c>
      <c r="J83" s="978" t="s">
        <v>3972</v>
      </c>
      <c r="K83" s="978" t="s">
        <v>3973</v>
      </c>
      <c r="L83" s="978" t="s">
        <v>3974</v>
      </c>
      <c r="M83" s="978" t="s">
        <v>3974</v>
      </c>
      <c r="N83" s="978" t="s">
        <v>3974</v>
      </c>
      <c r="O83" s="978" t="s">
        <v>3974</v>
      </c>
      <c r="P83" s="477"/>
      <c r="Q83" s="932">
        <v>1</v>
      </c>
      <c r="R83" s="932">
        <v>1</v>
      </c>
      <c r="S83" s="926" t="s">
        <v>3974</v>
      </c>
      <c r="T83" s="926" t="s">
        <v>3974</v>
      </c>
      <c r="U83" s="926" t="s">
        <v>3974</v>
      </c>
      <c r="V83" s="926" t="s">
        <v>3974</v>
      </c>
      <c r="W83" s="926" t="s">
        <v>3974</v>
      </c>
      <c r="X83" s="979" t="s">
        <v>3979</v>
      </c>
      <c r="Y83" s="1113" t="s">
        <v>3980</v>
      </c>
      <c r="Z83" s="926" t="s">
        <v>4454</v>
      </c>
      <c r="AA83" s="398" t="s">
        <v>4453</v>
      </c>
      <c r="AB83" s="308"/>
    </row>
    <row r="84" spans="1:28" ht="60.75" customHeight="1">
      <c r="A84" s="27" t="s">
        <v>2398</v>
      </c>
      <c r="B84" s="28" t="s">
        <v>2399</v>
      </c>
      <c r="C84" s="990" t="s">
        <v>4455</v>
      </c>
      <c r="D84" s="19" t="s">
        <v>4456</v>
      </c>
      <c r="E84" s="962">
        <v>2</v>
      </c>
      <c r="F84" s="479" t="s">
        <v>4457</v>
      </c>
      <c r="G84" s="1399" t="s">
        <v>4458</v>
      </c>
      <c r="H84" s="478" t="s">
        <v>4457</v>
      </c>
      <c r="I84" s="401" t="s">
        <v>4459</v>
      </c>
      <c r="J84" s="400" t="s">
        <v>3972</v>
      </c>
      <c r="K84" s="978" t="s">
        <v>3974</v>
      </c>
      <c r="L84" s="29" t="s">
        <v>4460</v>
      </c>
      <c r="M84" s="939" t="s">
        <v>3974</v>
      </c>
      <c r="N84" s="939" t="s">
        <v>3974</v>
      </c>
      <c r="O84" s="926" t="s">
        <v>3974</v>
      </c>
      <c r="P84" s="477"/>
      <c r="Q84" s="31">
        <v>1</v>
      </c>
      <c r="R84" s="31">
        <v>1</v>
      </c>
      <c r="S84" s="930" t="s">
        <v>3978</v>
      </c>
      <c r="T84" s="926" t="s">
        <v>3974</v>
      </c>
      <c r="U84" s="926" t="s">
        <v>3974</v>
      </c>
      <c r="V84" s="926" t="s">
        <v>3974</v>
      </c>
      <c r="W84" s="926" t="s">
        <v>3974</v>
      </c>
      <c r="X84" s="979" t="s">
        <v>3979</v>
      </c>
      <c r="Y84" s="888" t="s">
        <v>3980</v>
      </c>
      <c r="Z84" s="3155" t="s">
        <v>4461</v>
      </c>
      <c r="AA84" s="398" t="s">
        <v>4462</v>
      </c>
      <c r="AB84" s="308"/>
    </row>
    <row r="85" spans="1:28" ht="75.75" customHeight="1">
      <c r="A85" s="27" t="s">
        <v>2401</v>
      </c>
      <c r="B85" s="28" t="s">
        <v>2402</v>
      </c>
      <c r="C85" s="990" t="s">
        <v>4463</v>
      </c>
      <c r="D85" s="19" t="s">
        <v>4464</v>
      </c>
      <c r="E85" s="28">
        <v>2</v>
      </c>
      <c r="F85" s="479" t="s">
        <v>4457</v>
      </c>
      <c r="G85" s="29" t="s">
        <v>4465</v>
      </c>
      <c r="H85" s="478" t="s">
        <v>4457</v>
      </c>
      <c r="I85" s="29" t="s">
        <v>4459</v>
      </c>
      <c r="J85" s="476" t="s">
        <v>3972</v>
      </c>
      <c r="K85" s="476" t="s">
        <v>3973</v>
      </c>
      <c r="L85" s="29" t="s">
        <v>4460</v>
      </c>
      <c r="M85" s="939" t="s">
        <v>3974</v>
      </c>
      <c r="N85" s="939" t="s">
        <v>3974</v>
      </c>
      <c r="O85" s="926" t="s">
        <v>3974</v>
      </c>
      <c r="P85" s="477"/>
      <c r="Q85" s="31">
        <v>1</v>
      </c>
      <c r="R85" s="31">
        <v>1</v>
      </c>
      <c r="S85" s="930" t="s">
        <v>3978</v>
      </c>
      <c r="T85" s="926" t="s">
        <v>3974</v>
      </c>
      <c r="U85" s="926" t="s">
        <v>3974</v>
      </c>
      <c r="V85" s="926" t="s">
        <v>3974</v>
      </c>
      <c r="W85" s="926" t="s">
        <v>3974</v>
      </c>
      <c r="X85" s="979" t="s">
        <v>3979</v>
      </c>
      <c r="Y85" s="888" t="s">
        <v>3980</v>
      </c>
      <c r="Z85" s="3156" t="s">
        <v>4461</v>
      </c>
      <c r="AA85" s="398" t="s">
        <v>4462</v>
      </c>
      <c r="AB85" s="316"/>
    </row>
    <row r="86" spans="1:28" ht="135.75" customHeight="1">
      <c r="A86" s="27" t="s">
        <v>4466</v>
      </c>
      <c r="B86" s="3157" t="s">
        <v>4467</v>
      </c>
      <c r="C86" s="990" t="s">
        <v>4468</v>
      </c>
      <c r="D86" s="19" t="s">
        <v>4469</v>
      </c>
      <c r="E86" s="28">
        <v>2</v>
      </c>
      <c r="F86" s="479" t="s">
        <v>4457</v>
      </c>
      <c r="G86" s="29" t="s">
        <v>4470</v>
      </c>
      <c r="H86" s="478" t="s">
        <v>4457</v>
      </c>
      <c r="I86" s="397" t="s">
        <v>4471</v>
      </c>
      <c r="J86" s="476" t="s">
        <v>3972</v>
      </c>
      <c r="K86" s="476" t="s">
        <v>3973</v>
      </c>
      <c r="L86" s="398" t="s">
        <v>4471</v>
      </c>
      <c r="M86" s="939" t="s">
        <v>3974</v>
      </c>
      <c r="N86" s="939" t="s">
        <v>3974</v>
      </c>
      <c r="O86" s="926" t="s">
        <v>3974</v>
      </c>
      <c r="P86" s="477"/>
      <c r="Q86" s="31">
        <v>1</v>
      </c>
      <c r="R86" s="31">
        <v>1</v>
      </c>
      <c r="S86" s="930" t="s">
        <v>3978</v>
      </c>
      <c r="T86" s="926" t="s">
        <v>3974</v>
      </c>
      <c r="U86" s="926" t="s">
        <v>3974</v>
      </c>
      <c r="V86" s="926" t="s">
        <v>3974</v>
      </c>
      <c r="W86" s="926" t="s">
        <v>3974</v>
      </c>
      <c r="X86" s="979" t="s">
        <v>3979</v>
      </c>
      <c r="Y86" s="888" t="s">
        <v>3980</v>
      </c>
      <c r="Z86" s="3158" t="s">
        <v>4472</v>
      </c>
      <c r="AA86" s="948" t="s">
        <v>4473</v>
      </c>
      <c r="AB86" s="316" t="s">
        <v>4474</v>
      </c>
    </row>
    <row r="87" spans="1:28" ht="81.75" customHeight="1">
      <c r="A87" s="27" t="s">
        <v>4475</v>
      </c>
      <c r="B87" s="28" t="s">
        <v>2408</v>
      </c>
      <c r="C87" s="990" t="s">
        <v>4476</v>
      </c>
      <c r="D87" s="19" t="s">
        <v>4477</v>
      </c>
      <c r="E87" s="28">
        <v>2</v>
      </c>
      <c r="F87" s="479" t="s">
        <v>4457</v>
      </c>
      <c r="G87" s="397" t="s">
        <v>4478</v>
      </c>
      <c r="H87" s="478" t="s">
        <v>4457</v>
      </c>
      <c r="I87" s="29" t="s">
        <v>4459</v>
      </c>
      <c r="J87" s="476" t="s">
        <v>3972</v>
      </c>
      <c r="K87" s="476" t="s">
        <v>3973</v>
      </c>
      <c r="L87" s="29" t="s">
        <v>4460</v>
      </c>
      <c r="M87" s="939" t="s">
        <v>3974</v>
      </c>
      <c r="N87" s="939" t="s">
        <v>3974</v>
      </c>
      <c r="O87" s="926" t="s">
        <v>3974</v>
      </c>
      <c r="P87" s="477"/>
      <c r="Q87" s="31">
        <v>1</v>
      </c>
      <c r="R87" s="31">
        <v>1</v>
      </c>
      <c r="S87" s="930" t="s">
        <v>3978</v>
      </c>
      <c r="T87" s="926" t="s">
        <v>3974</v>
      </c>
      <c r="U87" s="926" t="s">
        <v>3974</v>
      </c>
      <c r="V87" s="926" t="s">
        <v>3974</v>
      </c>
      <c r="W87" s="926" t="s">
        <v>3974</v>
      </c>
      <c r="X87" s="979" t="s">
        <v>3979</v>
      </c>
      <c r="Y87" s="888" t="s">
        <v>3980</v>
      </c>
      <c r="Z87" s="3159" t="s">
        <v>4472</v>
      </c>
      <c r="AA87" s="948" t="s">
        <v>4473</v>
      </c>
      <c r="AB87" s="316"/>
    </row>
    <row r="88" spans="1:28" ht="75.75" customHeight="1">
      <c r="A88" s="27" t="s">
        <v>2410</v>
      </c>
      <c r="B88" s="28" t="s">
        <v>2411</v>
      </c>
      <c r="C88" s="990" t="s">
        <v>4479</v>
      </c>
      <c r="D88" s="19" t="s">
        <v>4480</v>
      </c>
      <c r="E88" s="28">
        <v>2</v>
      </c>
      <c r="F88" s="479" t="s">
        <v>4116</v>
      </c>
      <c r="G88" s="210" t="s">
        <v>4481</v>
      </c>
      <c r="H88" s="478" t="s">
        <v>4116</v>
      </c>
      <c r="I88" s="29" t="s">
        <v>4459</v>
      </c>
      <c r="J88" s="476" t="s">
        <v>3972</v>
      </c>
      <c r="K88" s="476" t="s">
        <v>3973</v>
      </c>
      <c r="L88" s="29" t="s">
        <v>4460</v>
      </c>
      <c r="M88" s="32" t="s">
        <v>3979</v>
      </c>
      <c r="N88" s="32" t="s">
        <v>3979</v>
      </c>
      <c r="O88" s="926" t="s">
        <v>3974</v>
      </c>
      <c r="P88" s="477"/>
      <c r="Q88" s="31">
        <v>1</v>
      </c>
      <c r="R88" s="31">
        <v>1</v>
      </c>
      <c r="S88" s="930" t="s">
        <v>3978</v>
      </c>
      <c r="T88" s="926" t="s">
        <v>3974</v>
      </c>
      <c r="U88" s="926" t="s">
        <v>3974</v>
      </c>
      <c r="V88" s="926" t="s">
        <v>3974</v>
      </c>
      <c r="W88" s="926" t="s">
        <v>3974</v>
      </c>
      <c r="X88" s="979" t="s">
        <v>3979</v>
      </c>
      <c r="Y88" s="888" t="s">
        <v>3980</v>
      </c>
      <c r="Z88" s="3160" t="s">
        <v>4482</v>
      </c>
      <c r="AA88" s="948" t="s">
        <v>4483</v>
      </c>
      <c r="AB88" s="316"/>
    </row>
    <row r="89" spans="1:28" ht="75.75" customHeight="1">
      <c r="A89" s="27" t="s">
        <v>2413</v>
      </c>
      <c r="B89" s="28" t="s">
        <v>2414</v>
      </c>
      <c r="C89" s="990" t="s">
        <v>4484</v>
      </c>
      <c r="D89" s="19" t="s">
        <v>4485</v>
      </c>
      <c r="E89" s="28">
        <v>2</v>
      </c>
      <c r="F89" s="479" t="s">
        <v>4116</v>
      </c>
      <c r="G89" s="397" t="s">
        <v>4486</v>
      </c>
      <c r="H89" s="478" t="s">
        <v>4116</v>
      </c>
      <c r="I89" s="29" t="s">
        <v>4459</v>
      </c>
      <c r="J89" s="476" t="s">
        <v>3972</v>
      </c>
      <c r="K89" s="476" t="s">
        <v>3973</v>
      </c>
      <c r="L89" s="29" t="s">
        <v>4460</v>
      </c>
      <c r="M89" s="32" t="s">
        <v>3979</v>
      </c>
      <c r="N89" s="32" t="s">
        <v>3979</v>
      </c>
      <c r="O89" s="926" t="s">
        <v>3974</v>
      </c>
      <c r="P89" s="477"/>
      <c r="Q89" s="31">
        <v>1</v>
      </c>
      <c r="R89" s="31">
        <v>1</v>
      </c>
      <c r="S89" s="930" t="s">
        <v>3978</v>
      </c>
      <c r="T89" s="926" t="s">
        <v>3974</v>
      </c>
      <c r="U89" s="926" t="s">
        <v>3974</v>
      </c>
      <c r="V89" s="926" t="s">
        <v>3974</v>
      </c>
      <c r="W89" s="926" t="s">
        <v>3974</v>
      </c>
      <c r="X89" s="979" t="s">
        <v>3979</v>
      </c>
      <c r="Y89" s="888" t="s">
        <v>3980</v>
      </c>
      <c r="Z89" s="3161" t="s">
        <v>4482</v>
      </c>
      <c r="AA89" s="948" t="s">
        <v>4483</v>
      </c>
      <c r="AB89" s="316"/>
    </row>
    <row r="90" spans="1:28" ht="75.75" customHeight="1">
      <c r="A90" s="27" t="s">
        <v>2416</v>
      </c>
      <c r="B90" s="28" t="s">
        <v>2417</v>
      </c>
      <c r="C90" s="990" t="s">
        <v>4487</v>
      </c>
      <c r="D90" s="19" t="s">
        <v>4488</v>
      </c>
      <c r="E90" s="28">
        <v>2</v>
      </c>
      <c r="F90" s="479" t="s">
        <v>4116</v>
      </c>
      <c r="G90" s="210" t="s">
        <v>4489</v>
      </c>
      <c r="H90" s="478" t="s">
        <v>4116</v>
      </c>
      <c r="I90" s="29" t="s">
        <v>4459</v>
      </c>
      <c r="J90" s="476" t="s">
        <v>3972</v>
      </c>
      <c r="K90" s="476" t="s">
        <v>3973</v>
      </c>
      <c r="L90" s="29" t="s">
        <v>4460</v>
      </c>
      <c r="M90" s="32" t="s">
        <v>3979</v>
      </c>
      <c r="N90" s="32" t="s">
        <v>3979</v>
      </c>
      <c r="O90" s="926" t="s">
        <v>3974</v>
      </c>
      <c r="P90" s="477"/>
      <c r="Q90" s="31">
        <v>1</v>
      </c>
      <c r="R90" s="31">
        <v>1</v>
      </c>
      <c r="S90" s="930" t="s">
        <v>3978</v>
      </c>
      <c r="T90" s="926" t="s">
        <v>3974</v>
      </c>
      <c r="U90" s="926" t="s">
        <v>3974</v>
      </c>
      <c r="V90" s="926" t="s">
        <v>3974</v>
      </c>
      <c r="W90" s="926" t="s">
        <v>3974</v>
      </c>
      <c r="X90" s="979" t="s">
        <v>3979</v>
      </c>
      <c r="Y90" s="888" t="s">
        <v>3980</v>
      </c>
      <c r="Z90" s="980" t="s">
        <v>4490</v>
      </c>
      <c r="AA90" s="948" t="s">
        <v>4483</v>
      </c>
      <c r="AB90" s="316"/>
    </row>
    <row r="91" spans="1:28" ht="75.75" customHeight="1">
      <c r="A91" s="27" t="s">
        <v>2419</v>
      </c>
      <c r="B91" s="28" t="s">
        <v>2420</v>
      </c>
      <c r="C91" s="990" t="s">
        <v>4491</v>
      </c>
      <c r="D91" s="19" t="s">
        <v>4492</v>
      </c>
      <c r="E91" s="28">
        <v>2</v>
      </c>
      <c r="F91" s="479" t="s">
        <v>4116</v>
      </c>
      <c r="G91" s="397" t="s">
        <v>4493</v>
      </c>
      <c r="H91" s="478" t="s">
        <v>4116</v>
      </c>
      <c r="I91" s="29" t="s">
        <v>4459</v>
      </c>
      <c r="J91" s="476" t="s">
        <v>3972</v>
      </c>
      <c r="K91" s="476" t="s">
        <v>3973</v>
      </c>
      <c r="L91" s="29" t="s">
        <v>4460</v>
      </c>
      <c r="M91" s="32" t="s">
        <v>3979</v>
      </c>
      <c r="N91" s="32" t="s">
        <v>3979</v>
      </c>
      <c r="O91" s="926" t="s">
        <v>3974</v>
      </c>
      <c r="P91" s="477"/>
      <c r="Q91" s="31">
        <v>1</v>
      </c>
      <c r="R91" s="31">
        <v>1</v>
      </c>
      <c r="S91" s="930" t="s">
        <v>3978</v>
      </c>
      <c r="T91" s="926" t="s">
        <v>3974</v>
      </c>
      <c r="U91" s="926" t="s">
        <v>3974</v>
      </c>
      <c r="V91" s="926" t="s">
        <v>3974</v>
      </c>
      <c r="W91" s="926" t="s">
        <v>3974</v>
      </c>
      <c r="X91" s="979" t="s">
        <v>3979</v>
      </c>
      <c r="Y91" s="888" t="s">
        <v>3980</v>
      </c>
      <c r="Z91" s="980" t="s">
        <v>4490</v>
      </c>
      <c r="AA91" s="948" t="s">
        <v>4483</v>
      </c>
      <c r="AB91" s="316"/>
    </row>
    <row r="92" spans="1:28" ht="75.75" customHeight="1">
      <c r="A92" s="27" t="s">
        <v>2422</v>
      </c>
      <c r="B92" s="28" t="s">
        <v>2423</v>
      </c>
      <c r="C92" s="990" t="s">
        <v>4494</v>
      </c>
      <c r="D92" s="19" t="s">
        <v>4495</v>
      </c>
      <c r="E92" s="28">
        <v>3</v>
      </c>
      <c r="F92" s="479" t="s">
        <v>4116</v>
      </c>
      <c r="G92" s="1400" t="s">
        <v>4496</v>
      </c>
      <c r="H92" s="478" t="s">
        <v>4116</v>
      </c>
      <c r="I92" s="29" t="s">
        <v>4459</v>
      </c>
      <c r="J92" s="476" t="s">
        <v>3972</v>
      </c>
      <c r="K92" s="476" t="s">
        <v>3973</v>
      </c>
      <c r="L92" s="29" t="s">
        <v>4460</v>
      </c>
      <c r="M92" s="32" t="s">
        <v>3975</v>
      </c>
      <c r="N92" s="32" t="s">
        <v>3975</v>
      </c>
      <c r="O92" s="926" t="s">
        <v>3976</v>
      </c>
      <c r="P92" s="477"/>
      <c r="Q92" s="31">
        <v>0</v>
      </c>
      <c r="R92" s="31">
        <v>0</v>
      </c>
      <c r="S92" s="930">
        <v>0</v>
      </c>
      <c r="T92" s="926" t="s">
        <v>3988</v>
      </c>
      <c r="U92" s="926" t="s">
        <v>3974</v>
      </c>
      <c r="V92" s="926" t="s">
        <v>3974</v>
      </c>
      <c r="W92" s="926" t="s">
        <v>3974</v>
      </c>
      <c r="X92" s="979" t="s">
        <v>3979</v>
      </c>
      <c r="Y92" s="888" t="s">
        <v>3980</v>
      </c>
      <c r="Z92" s="3162" t="s">
        <v>4497</v>
      </c>
      <c r="AA92" s="948" t="s">
        <v>4483</v>
      </c>
      <c r="AB92" s="316"/>
    </row>
    <row r="93" spans="1:28" ht="75.75" customHeight="1">
      <c r="A93" s="27" t="s">
        <v>2425</v>
      </c>
      <c r="B93" s="28" t="s">
        <v>2426</v>
      </c>
      <c r="C93" s="990" t="s">
        <v>4498</v>
      </c>
      <c r="D93" s="19" t="s">
        <v>4499</v>
      </c>
      <c r="E93" s="28">
        <v>2</v>
      </c>
      <c r="F93" s="479" t="s">
        <v>4116</v>
      </c>
      <c r="G93" s="1401" t="s">
        <v>4500</v>
      </c>
      <c r="H93" s="478" t="s">
        <v>4116</v>
      </c>
      <c r="I93" s="210" t="s">
        <v>4501</v>
      </c>
      <c r="J93" s="476" t="s">
        <v>3972</v>
      </c>
      <c r="K93" s="476" t="s">
        <v>3973</v>
      </c>
      <c r="L93" s="399" t="s">
        <v>4502</v>
      </c>
      <c r="M93" s="32" t="s">
        <v>3979</v>
      </c>
      <c r="N93" s="32" t="s">
        <v>3975</v>
      </c>
      <c r="O93" s="926" t="s">
        <v>3974</v>
      </c>
      <c r="P93" s="926"/>
      <c r="Q93" s="926" t="s">
        <v>4503</v>
      </c>
      <c r="R93" s="926" t="s">
        <v>4503</v>
      </c>
      <c r="S93" s="930" t="s">
        <v>3978</v>
      </c>
      <c r="T93" s="926" t="s">
        <v>3974</v>
      </c>
      <c r="U93" s="926" t="s">
        <v>3974</v>
      </c>
      <c r="V93" s="926" t="s">
        <v>3974</v>
      </c>
      <c r="W93" s="926" t="s">
        <v>3974</v>
      </c>
      <c r="X93" s="979" t="s">
        <v>3979</v>
      </c>
      <c r="Y93" s="888" t="s">
        <v>3980</v>
      </c>
      <c r="Z93" s="3163" t="s">
        <v>4504</v>
      </c>
      <c r="AA93" s="948" t="s">
        <v>4505</v>
      </c>
      <c r="AB93" s="316"/>
    </row>
    <row r="94" spans="1:28" ht="95.25" customHeight="1">
      <c r="A94" s="27" t="s">
        <v>2428</v>
      </c>
      <c r="B94" s="3164" t="s">
        <v>4506</v>
      </c>
      <c r="C94" s="990" t="s">
        <v>4507</v>
      </c>
      <c r="D94" s="19" t="s">
        <v>4508</v>
      </c>
      <c r="E94" s="28">
        <v>2</v>
      </c>
      <c r="F94" s="479" t="s">
        <v>4116</v>
      </c>
      <c r="G94" s="1403" t="s">
        <v>4509</v>
      </c>
      <c r="H94" s="478" t="s">
        <v>4116</v>
      </c>
      <c r="I94" s="210" t="s">
        <v>4510</v>
      </c>
      <c r="J94" s="476" t="s">
        <v>3972</v>
      </c>
      <c r="K94" s="476" t="s">
        <v>3973</v>
      </c>
      <c r="L94" s="399" t="s">
        <v>4510</v>
      </c>
      <c r="M94" s="32" t="s">
        <v>3979</v>
      </c>
      <c r="N94" s="32" t="s">
        <v>3975</v>
      </c>
      <c r="O94" s="926" t="s">
        <v>3974</v>
      </c>
      <c r="P94" s="926"/>
      <c r="Q94" s="926" t="s">
        <v>4503</v>
      </c>
      <c r="R94" s="926" t="s">
        <v>4503</v>
      </c>
      <c r="S94" s="930" t="s">
        <v>3978</v>
      </c>
      <c r="T94" s="926" t="s">
        <v>3974</v>
      </c>
      <c r="U94" s="926" t="s">
        <v>3974</v>
      </c>
      <c r="V94" s="926" t="s">
        <v>3974</v>
      </c>
      <c r="W94" s="926" t="s">
        <v>3974</v>
      </c>
      <c r="X94" s="979" t="s">
        <v>3979</v>
      </c>
      <c r="Y94" s="888" t="s">
        <v>3980</v>
      </c>
      <c r="Z94" s="980" t="s">
        <v>4511</v>
      </c>
      <c r="AA94" s="948" t="s">
        <v>4483</v>
      </c>
      <c r="AB94" s="316"/>
    </row>
    <row r="95" spans="1:28" s="9" customFormat="1" ht="75.75" customHeight="1">
      <c r="A95" s="322" t="s">
        <v>4512</v>
      </c>
      <c r="B95" s="323" t="s">
        <v>4513</v>
      </c>
      <c r="C95" s="983" t="s">
        <v>4514</v>
      </c>
      <c r="D95" s="324" t="s">
        <v>4515</v>
      </c>
      <c r="E95" s="323">
        <v>2</v>
      </c>
      <c r="F95" s="325" t="s">
        <v>4116</v>
      </c>
      <c r="G95" s="326" t="s">
        <v>4516</v>
      </c>
      <c r="H95" s="327" t="s">
        <v>4116</v>
      </c>
      <c r="I95" s="326" t="s">
        <v>4460</v>
      </c>
      <c r="J95" s="328" t="s">
        <v>3972</v>
      </c>
      <c r="K95" s="328" t="s">
        <v>3973</v>
      </c>
      <c r="L95" s="326" t="s">
        <v>4460</v>
      </c>
      <c r="M95" s="329" t="s">
        <v>3979</v>
      </c>
      <c r="N95" s="329" t="s">
        <v>3975</v>
      </c>
      <c r="O95" s="956" t="s">
        <v>3974</v>
      </c>
      <c r="P95" s="956"/>
      <c r="Q95" s="956" t="s">
        <v>4503</v>
      </c>
      <c r="R95" s="956" t="s">
        <v>4503</v>
      </c>
      <c r="S95" s="958" t="s">
        <v>3978</v>
      </c>
      <c r="T95" s="956" t="s">
        <v>3974</v>
      </c>
      <c r="U95" s="956" t="s">
        <v>3974</v>
      </c>
      <c r="V95" s="956" t="s">
        <v>3974</v>
      </c>
      <c r="W95" s="956" t="s">
        <v>3974</v>
      </c>
      <c r="X95" s="981" t="s">
        <v>3979</v>
      </c>
      <c r="Y95" s="950" t="s">
        <v>3980</v>
      </c>
      <c r="Z95" s="982" t="s">
        <v>4517</v>
      </c>
      <c r="AA95" s="953" t="s">
        <v>4483</v>
      </c>
      <c r="AB95" s="317"/>
    </row>
    <row r="96" spans="1:28" s="9" customFormat="1" ht="75.75" customHeight="1">
      <c r="A96" s="9" t="s">
        <v>2434</v>
      </c>
      <c r="B96" s="330" t="s">
        <v>4518</v>
      </c>
      <c r="C96" s="331" t="s">
        <v>4519</v>
      </c>
      <c r="D96" s="332" t="s">
        <v>4520</v>
      </c>
      <c r="E96" s="351">
        <v>2</v>
      </c>
      <c r="F96" s="333" t="s">
        <v>4116</v>
      </c>
      <c r="G96" s="334" t="s">
        <v>4521</v>
      </c>
      <c r="H96" s="335" t="s">
        <v>4116</v>
      </c>
      <c r="I96" s="334" t="s">
        <v>4460</v>
      </c>
      <c r="J96" s="336" t="s">
        <v>3972</v>
      </c>
      <c r="K96" s="336" t="s">
        <v>3973</v>
      </c>
      <c r="L96" s="334" t="s">
        <v>4460</v>
      </c>
      <c r="M96" s="337" t="s">
        <v>3979</v>
      </c>
      <c r="N96" s="329" t="s">
        <v>3975</v>
      </c>
      <c r="O96" s="956" t="s">
        <v>3974</v>
      </c>
      <c r="P96" s="335"/>
      <c r="Q96" s="338">
        <v>1</v>
      </c>
      <c r="R96" s="338">
        <v>1</v>
      </c>
      <c r="S96" s="958" t="s">
        <v>3978</v>
      </c>
      <c r="T96" s="956" t="s">
        <v>3974</v>
      </c>
      <c r="U96" s="956" t="s">
        <v>3974</v>
      </c>
      <c r="V96" s="956" t="s">
        <v>3974</v>
      </c>
      <c r="W96" s="956" t="s">
        <v>3974</v>
      </c>
      <c r="X96" s="981" t="s">
        <v>3979</v>
      </c>
      <c r="Y96" s="950" t="s">
        <v>3980</v>
      </c>
      <c r="Z96" s="3165" t="s">
        <v>4522</v>
      </c>
      <c r="AA96" s="953" t="s">
        <v>4483</v>
      </c>
      <c r="AB96" s="317"/>
    </row>
    <row r="97" spans="1:28" s="9" customFormat="1" ht="75.75" customHeight="1">
      <c r="A97" s="9" t="s">
        <v>2437</v>
      </c>
      <c r="B97" s="330" t="s">
        <v>4523</v>
      </c>
      <c r="C97" s="983" t="s">
        <v>4524</v>
      </c>
      <c r="D97" s="837" t="s">
        <v>4525</v>
      </c>
      <c r="E97" s="984">
        <v>2</v>
      </c>
      <c r="F97" s="985" t="s">
        <v>4116</v>
      </c>
      <c r="G97" s="986" t="s">
        <v>4526</v>
      </c>
      <c r="H97" s="956" t="s">
        <v>4116</v>
      </c>
      <c r="I97" s="986" t="s">
        <v>4459</v>
      </c>
      <c r="J97" s="970" t="s">
        <v>3972</v>
      </c>
      <c r="K97" s="970" t="s">
        <v>3973</v>
      </c>
      <c r="L97" s="986" t="s">
        <v>4460</v>
      </c>
      <c r="M97" s="950" t="s">
        <v>3979</v>
      </c>
      <c r="N97" s="329" t="s">
        <v>3975</v>
      </c>
      <c r="O97" s="956" t="s">
        <v>3974</v>
      </c>
      <c r="P97" s="956"/>
      <c r="Q97" s="957">
        <v>1</v>
      </c>
      <c r="R97" s="957">
        <v>1</v>
      </c>
      <c r="S97" s="958" t="s">
        <v>3978</v>
      </c>
      <c r="T97" s="956" t="s">
        <v>3974</v>
      </c>
      <c r="U97" s="956" t="s">
        <v>3974</v>
      </c>
      <c r="V97" s="956" t="s">
        <v>3974</v>
      </c>
      <c r="W97" s="956" t="s">
        <v>3974</v>
      </c>
      <c r="X97" s="981" t="s">
        <v>3979</v>
      </c>
      <c r="Y97" s="950" t="s">
        <v>3980</v>
      </c>
      <c r="Z97" s="3166" t="s">
        <v>4522</v>
      </c>
      <c r="AA97" s="953" t="s">
        <v>4483</v>
      </c>
      <c r="AB97" s="317"/>
    </row>
    <row r="98" spans="1:28" s="9" customFormat="1" ht="75.75" customHeight="1">
      <c r="A98" s="9" t="s">
        <v>2440</v>
      </c>
      <c r="B98" s="330" t="s">
        <v>4527</v>
      </c>
      <c r="C98" s="983" t="s">
        <v>4528</v>
      </c>
      <c r="D98" s="837" t="s">
        <v>4529</v>
      </c>
      <c r="E98" s="984">
        <v>2</v>
      </c>
      <c r="F98" s="985" t="s">
        <v>4116</v>
      </c>
      <c r="G98" s="986" t="s">
        <v>4530</v>
      </c>
      <c r="H98" s="956" t="s">
        <v>4116</v>
      </c>
      <c r="I98" s="986" t="s">
        <v>4459</v>
      </c>
      <c r="J98" s="970" t="s">
        <v>3972</v>
      </c>
      <c r="K98" s="970" t="s">
        <v>3973</v>
      </c>
      <c r="L98" s="986" t="s">
        <v>4460</v>
      </c>
      <c r="M98" s="950" t="s">
        <v>3979</v>
      </c>
      <c r="N98" s="329" t="s">
        <v>3975</v>
      </c>
      <c r="O98" s="956" t="s">
        <v>3974</v>
      </c>
      <c r="P98" s="956"/>
      <c r="Q98" s="957">
        <v>1</v>
      </c>
      <c r="R98" s="957">
        <v>1</v>
      </c>
      <c r="S98" s="958" t="s">
        <v>3978</v>
      </c>
      <c r="T98" s="956" t="s">
        <v>3974</v>
      </c>
      <c r="U98" s="956" t="s">
        <v>3974</v>
      </c>
      <c r="V98" s="956" t="s">
        <v>3974</v>
      </c>
      <c r="W98" s="956" t="s">
        <v>3974</v>
      </c>
      <c r="X98" s="981" t="s">
        <v>3979</v>
      </c>
      <c r="Y98" s="950" t="s">
        <v>3980</v>
      </c>
      <c r="Z98" s="3167" t="s">
        <v>4522</v>
      </c>
      <c r="AA98" s="953" t="s">
        <v>4483</v>
      </c>
      <c r="AB98" s="317"/>
    </row>
    <row r="99" spans="1:28" s="9" customFormat="1" ht="75.75" customHeight="1">
      <c r="A99" s="9" t="s">
        <v>2443</v>
      </c>
      <c r="B99" s="330" t="s">
        <v>4531</v>
      </c>
      <c r="C99" s="987" t="s">
        <v>4532</v>
      </c>
      <c r="D99" s="837" t="s">
        <v>4533</v>
      </c>
      <c r="E99" s="984">
        <v>2</v>
      </c>
      <c r="F99" s="985" t="s">
        <v>4457</v>
      </c>
      <c r="G99" s="988" t="s">
        <v>4534</v>
      </c>
      <c r="H99" s="956" t="s">
        <v>4457</v>
      </c>
      <c r="I99" s="988" t="s">
        <v>4460</v>
      </c>
      <c r="J99" s="970" t="s">
        <v>3972</v>
      </c>
      <c r="K99" s="970" t="s">
        <v>3973</v>
      </c>
      <c r="L99" s="988" t="s">
        <v>4460</v>
      </c>
      <c r="M99" s="989" t="s">
        <v>3974</v>
      </c>
      <c r="N99" s="989" t="s">
        <v>3974</v>
      </c>
      <c r="O99" s="956" t="s">
        <v>3974</v>
      </c>
      <c r="P99" s="956"/>
      <c r="Q99" s="957">
        <v>1</v>
      </c>
      <c r="R99" s="957">
        <v>1</v>
      </c>
      <c r="S99" s="958" t="s">
        <v>3978</v>
      </c>
      <c r="T99" s="956" t="s">
        <v>3974</v>
      </c>
      <c r="U99" s="956" t="s">
        <v>3974</v>
      </c>
      <c r="V99" s="956" t="s">
        <v>3974</v>
      </c>
      <c r="W99" s="956" t="s">
        <v>3974</v>
      </c>
      <c r="X99" s="981" t="s">
        <v>3979</v>
      </c>
      <c r="Y99" s="950" t="s">
        <v>3980</v>
      </c>
      <c r="Z99" s="982" t="s">
        <v>4535</v>
      </c>
      <c r="AA99" s="986" t="s">
        <v>4460</v>
      </c>
      <c r="AB99" s="317"/>
    </row>
    <row r="100" spans="1:28" ht="81.75" customHeight="1">
      <c r="A100" s="254" t="s">
        <v>2446</v>
      </c>
      <c r="B100" s="12" t="s">
        <v>2447</v>
      </c>
      <c r="C100" s="990" t="s">
        <v>4536</v>
      </c>
      <c r="D100" s="750" t="s">
        <v>4537</v>
      </c>
      <c r="E100" s="925">
        <v>2</v>
      </c>
      <c r="F100" s="942" t="s">
        <v>4116</v>
      </c>
      <c r="G100" s="991" t="s">
        <v>4538</v>
      </c>
      <c r="H100" s="926" t="s">
        <v>4539</v>
      </c>
      <c r="I100" s="397" t="s">
        <v>4540</v>
      </c>
      <c r="J100" s="939" t="s">
        <v>3972</v>
      </c>
      <c r="K100" s="939" t="s">
        <v>3973</v>
      </c>
      <c r="L100" s="398" t="s">
        <v>4540</v>
      </c>
      <c r="M100" s="888" t="s">
        <v>3979</v>
      </c>
      <c r="N100" s="888" t="s">
        <v>3979</v>
      </c>
      <c r="O100" s="926" t="s">
        <v>3974</v>
      </c>
      <c r="P100" s="926"/>
      <c r="Q100" s="932">
        <v>1</v>
      </c>
      <c r="R100" s="932">
        <v>1</v>
      </c>
      <c r="S100" s="930" t="s">
        <v>3978</v>
      </c>
      <c r="T100" s="926" t="s">
        <v>3974</v>
      </c>
      <c r="U100" s="926" t="s">
        <v>3974</v>
      </c>
      <c r="V100" s="926" t="s">
        <v>3974</v>
      </c>
      <c r="W100" s="926" t="s">
        <v>3974</v>
      </c>
      <c r="X100" s="979" t="s">
        <v>3979</v>
      </c>
      <c r="Y100" s="888" t="s">
        <v>3980</v>
      </c>
      <c r="Z100" s="3168" t="s">
        <v>4541</v>
      </c>
      <c r="AA100" s="3169" t="s">
        <v>4542</v>
      </c>
      <c r="AB100" s="316"/>
    </row>
    <row r="101" spans="1:28" ht="81.75" customHeight="1">
      <c r="A101" s="254" t="s">
        <v>2449</v>
      </c>
      <c r="B101" s="12" t="s">
        <v>2450</v>
      </c>
      <c r="C101" s="990" t="s">
        <v>4543</v>
      </c>
      <c r="D101" s="750" t="s">
        <v>4544</v>
      </c>
      <c r="E101" s="925">
        <v>2</v>
      </c>
      <c r="F101" s="942" t="s">
        <v>4116</v>
      </c>
      <c r="G101" s="991" t="s">
        <v>4545</v>
      </c>
      <c r="H101" s="926" t="s">
        <v>4116</v>
      </c>
      <c r="I101" s="397" t="s">
        <v>4540</v>
      </c>
      <c r="J101" s="939" t="s">
        <v>3972</v>
      </c>
      <c r="K101" s="939" t="s">
        <v>3973</v>
      </c>
      <c r="L101" s="398" t="s">
        <v>4540</v>
      </c>
      <c r="M101" s="888" t="s">
        <v>3979</v>
      </c>
      <c r="N101" s="32" t="s">
        <v>3975</v>
      </c>
      <c r="O101" s="926" t="s">
        <v>3974</v>
      </c>
      <c r="P101" s="926"/>
      <c r="Q101" s="932">
        <v>1</v>
      </c>
      <c r="R101" s="932">
        <v>1</v>
      </c>
      <c r="S101" s="930" t="s">
        <v>3978</v>
      </c>
      <c r="T101" s="926" t="s">
        <v>3974</v>
      </c>
      <c r="U101" s="926" t="s">
        <v>3974</v>
      </c>
      <c r="V101" s="926" t="s">
        <v>3974</v>
      </c>
      <c r="W101" s="926" t="s">
        <v>3974</v>
      </c>
      <c r="X101" s="979" t="s">
        <v>3979</v>
      </c>
      <c r="Y101" s="888" t="s">
        <v>3980</v>
      </c>
      <c r="Z101" s="3170" t="s">
        <v>4546</v>
      </c>
      <c r="AA101" s="3171" t="s">
        <v>4547</v>
      </c>
      <c r="AB101" s="316"/>
    </row>
    <row r="102" spans="1:28" ht="122.25" customHeight="1">
      <c r="A102" s="254" t="s">
        <v>2452</v>
      </c>
      <c r="B102" s="12" t="s">
        <v>2453</v>
      </c>
      <c r="C102" s="992" t="s">
        <v>4548</v>
      </c>
      <c r="D102" s="750" t="s">
        <v>4549</v>
      </c>
      <c r="E102" s="925">
        <v>2</v>
      </c>
      <c r="F102" s="942" t="s">
        <v>4457</v>
      </c>
      <c r="G102" s="397" t="s">
        <v>4550</v>
      </c>
      <c r="H102" s="926" t="s">
        <v>4457</v>
      </c>
      <c r="I102" s="397" t="s">
        <v>4459</v>
      </c>
      <c r="J102" s="939" t="s">
        <v>3972</v>
      </c>
      <c r="K102" s="939" t="s">
        <v>3973</v>
      </c>
      <c r="L102" s="398" t="s">
        <v>4459</v>
      </c>
      <c r="M102" s="993" t="s">
        <v>3974</v>
      </c>
      <c r="N102" s="993" t="s">
        <v>3974</v>
      </c>
      <c r="O102" s="926" t="s">
        <v>3974</v>
      </c>
      <c r="P102" s="926"/>
      <c r="Q102" s="932">
        <v>1</v>
      </c>
      <c r="R102" s="932">
        <v>1</v>
      </c>
      <c r="S102" s="930" t="s">
        <v>3978</v>
      </c>
      <c r="T102" s="926" t="s">
        <v>3974</v>
      </c>
      <c r="U102" s="926" t="s">
        <v>3974</v>
      </c>
      <c r="V102" s="926" t="s">
        <v>3974</v>
      </c>
      <c r="W102" s="926" t="s">
        <v>3974</v>
      </c>
      <c r="X102" s="979" t="s">
        <v>3979</v>
      </c>
      <c r="Y102" s="888" t="s">
        <v>3980</v>
      </c>
      <c r="Z102" s="3172" t="s">
        <v>4551</v>
      </c>
      <c r="AA102" s="3173" t="s">
        <v>4552</v>
      </c>
      <c r="AB102" s="316"/>
    </row>
    <row r="103" spans="1:28" ht="75.75" customHeight="1">
      <c r="A103" s="254" t="s">
        <v>2455</v>
      </c>
      <c r="B103" s="12" t="s">
        <v>2456</v>
      </c>
      <c r="C103" s="990" t="s">
        <v>4553</v>
      </c>
      <c r="D103" s="750" t="s">
        <v>4554</v>
      </c>
      <c r="E103" s="925">
        <v>2</v>
      </c>
      <c r="F103" s="942" t="s">
        <v>4457</v>
      </c>
      <c r="G103" s="210" t="s">
        <v>4555</v>
      </c>
      <c r="H103" s="926" t="s">
        <v>4457</v>
      </c>
      <c r="I103" s="210" t="s">
        <v>4459</v>
      </c>
      <c r="J103" s="939" t="s">
        <v>3972</v>
      </c>
      <c r="K103" s="939" t="s">
        <v>3973</v>
      </c>
      <c r="L103" s="399" t="s">
        <v>4459</v>
      </c>
      <c r="M103" s="993" t="s">
        <v>3974</v>
      </c>
      <c r="N103" s="993" t="s">
        <v>3974</v>
      </c>
      <c r="O103" s="926" t="s">
        <v>3974</v>
      </c>
      <c r="P103" s="926"/>
      <c r="Q103" s="932">
        <v>1</v>
      </c>
      <c r="R103" s="932">
        <v>1</v>
      </c>
      <c r="S103" s="930" t="s">
        <v>3978</v>
      </c>
      <c r="T103" s="926" t="s">
        <v>3974</v>
      </c>
      <c r="U103" s="926" t="s">
        <v>3974</v>
      </c>
      <c r="V103" s="926" t="s">
        <v>3974</v>
      </c>
      <c r="W103" s="926" t="s">
        <v>3974</v>
      </c>
      <c r="X103" s="979" t="s">
        <v>3979</v>
      </c>
      <c r="Y103" s="888" t="s">
        <v>3980</v>
      </c>
      <c r="Z103" s="3174" t="s">
        <v>4556</v>
      </c>
      <c r="AA103" s="3175" t="s">
        <v>4557</v>
      </c>
      <c r="AB103" s="3176" t="s">
        <v>4558</v>
      </c>
    </row>
    <row r="104" spans="1:28" ht="75.75" customHeight="1">
      <c r="A104" s="254" t="s">
        <v>2458</v>
      </c>
      <c r="B104" s="12" t="s">
        <v>2459</v>
      </c>
      <c r="C104" s="990" t="s">
        <v>4559</v>
      </c>
      <c r="D104" s="750" t="s">
        <v>4560</v>
      </c>
      <c r="E104" s="925">
        <v>2</v>
      </c>
      <c r="F104" s="942" t="s">
        <v>4457</v>
      </c>
      <c r="G104" s="210" t="s">
        <v>4561</v>
      </c>
      <c r="H104" s="926" t="s">
        <v>4457</v>
      </c>
      <c r="I104" s="397" t="s">
        <v>4459</v>
      </c>
      <c r="J104" s="939" t="s">
        <v>3972</v>
      </c>
      <c r="K104" s="939" t="s">
        <v>3973</v>
      </c>
      <c r="L104" s="398" t="s">
        <v>4459</v>
      </c>
      <c r="M104" s="993" t="s">
        <v>3974</v>
      </c>
      <c r="N104" s="993" t="s">
        <v>3974</v>
      </c>
      <c r="O104" s="926" t="s">
        <v>3974</v>
      </c>
      <c r="P104" s="926"/>
      <c r="Q104" s="932">
        <v>1</v>
      </c>
      <c r="R104" s="932">
        <v>1</v>
      </c>
      <c r="S104" s="930" t="s">
        <v>3978</v>
      </c>
      <c r="T104" s="926" t="s">
        <v>3974</v>
      </c>
      <c r="U104" s="926" t="s">
        <v>3974</v>
      </c>
      <c r="V104" s="926" t="s">
        <v>3974</v>
      </c>
      <c r="W104" s="926" t="s">
        <v>3974</v>
      </c>
      <c r="X104" s="979" t="s">
        <v>3979</v>
      </c>
      <c r="Y104" s="888" t="s">
        <v>3980</v>
      </c>
      <c r="Z104" s="3177" t="s">
        <v>4562</v>
      </c>
      <c r="AA104" s="3178" t="s">
        <v>4563</v>
      </c>
      <c r="AB104" s="316"/>
    </row>
    <row r="105" spans="1:28" ht="75.75" customHeight="1">
      <c r="A105" s="254" t="s">
        <v>2461</v>
      </c>
      <c r="B105" s="12" t="s">
        <v>2462</v>
      </c>
      <c r="C105" s="990" t="s">
        <v>4564</v>
      </c>
      <c r="D105" s="750" t="s">
        <v>4565</v>
      </c>
      <c r="E105" s="925">
        <v>2</v>
      </c>
      <c r="F105" s="942" t="s">
        <v>4116</v>
      </c>
      <c r="G105" s="397" t="s">
        <v>4566</v>
      </c>
      <c r="H105" s="926" t="s">
        <v>4116</v>
      </c>
      <c r="I105" s="397" t="s">
        <v>4567</v>
      </c>
      <c r="J105" s="939" t="s">
        <v>3972</v>
      </c>
      <c r="K105" s="939" t="s">
        <v>3973</v>
      </c>
      <c r="L105" s="398" t="s">
        <v>4567</v>
      </c>
      <c r="M105" s="993" t="s">
        <v>3974</v>
      </c>
      <c r="N105" s="993" t="s">
        <v>3974</v>
      </c>
      <c r="O105" s="926" t="s">
        <v>3974</v>
      </c>
      <c r="P105" s="926"/>
      <c r="Q105" s="932">
        <v>1</v>
      </c>
      <c r="R105" s="932">
        <v>1</v>
      </c>
      <c r="S105" s="930" t="s">
        <v>3978</v>
      </c>
      <c r="T105" s="926" t="s">
        <v>3974</v>
      </c>
      <c r="U105" s="926" t="s">
        <v>3974</v>
      </c>
      <c r="V105" s="926" t="s">
        <v>3974</v>
      </c>
      <c r="W105" s="926" t="s">
        <v>3974</v>
      </c>
      <c r="X105" s="979" t="s">
        <v>3979</v>
      </c>
      <c r="Y105" s="888" t="s">
        <v>3980</v>
      </c>
      <c r="Z105" s="3179" t="s">
        <v>4568</v>
      </c>
      <c r="AA105" s="398" t="s">
        <v>4569</v>
      </c>
      <c r="AB105" s="316"/>
    </row>
    <row r="106" spans="1:28" ht="75.75" customHeight="1">
      <c r="A106" s="254" t="s">
        <v>2464</v>
      </c>
      <c r="B106" s="12" t="s">
        <v>2465</v>
      </c>
      <c r="C106" s="990" t="s">
        <v>4570</v>
      </c>
      <c r="D106" s="750" t="s">
        <v>4571</v>
      </c>
      <c r="E106" s="925">
        <v>2</v>
      </c>
      <c r="F106" s="942" t="s">
        <v>4116</v>
      </c>
      <c r="G106" s="397" t="s">
        <v>4572</v>
      </c>
      <c r="H106" s="926" t="s">
        <v>4116</v>
      </c>
      <c r="I106" s="397" t="s">
        <v>4459</v>
      </c>
      <c r="J106" s="939" t="s">
        <v>3972</v>
      </c>
      <c r="K106" s="939" t="s">
        <v>3973</v>
      </c>
      <c r="L106" s="398" t="s">
        <v>4459</v>
      </c>
      <c r="M106" s="993" t="s">
        <v>3974</v>
      </c>
      <c r="N106" s="993" t="s">
        <v>3974</v>
      </c>
      <c r="O106" s="926" t="s">
        <v>3974</v>
      </c>
      <c r="P106" s="926"/>
      <c r="Q106" s="932">
        <v>1</v>
      </c>
      <c r="R106" s="932">
        <v>1</v>
      </c>
      <c r="S106" s="930" t="s">
        <v>3978</v>
      </c>
      <c r="T106" s="926" t="s">
        <v>3974</v>
      </c>
      <c r="U106" s="926" t="s">
        <v>3974</v>
      </c>
      <c r="V106" s="926" t="s">
        <v>3974</v>
      </c>
      <c r="W106" s="926" t="s">
        <v>3974</v>
      </c>
      <c r="X106" s="979" t="s">
        <v>3979</v>
      </c>
      <c r="Y106" s="888" t="s">
        <v>3980</v>
      </c>
      <c r="Z106" s="3180" t="s">
        <v>4568</v>
      </c>
      <c r="AA106" s="398" t="s">
        <v>4569</v>
      </c>
      <c r="AB106" s="316"/>
    </row>
    <row r="107" spans="1:28" ht="108.75" customHeight="1">
      <c r="A107" s="254" t="s">
        <v>2467</v>
      </c>
      <c r="B107" s="12" t="s">
        <v>2468</v>
      </c>
      <c r="C107" s="990" t="s">
        <v>4573</v>
      </c>
      <c r="D107" s="750" t="s">
        <v>4574</v>
      </c>
      <c r="E107" s="925">
        <v>2</v>
      </c>
      <c r="F107" s="960" t="s">
        <v>4002</v>
      </c>
      <c r="G107" s="210" t="s">
        <v>4575</v>
      </c>
      <c r="H107" s="960" t="s">
        <v>4002</v>
      </c>
      <c r="I107" s="397" t="s">
        <v>4576</v>
      </c>
      <c r="J107" s="939" t="s">
        <v>3972</v>
      </c>
      <c r="K107" s="939" t="s">
        <v>3973</v>
      </c>
      <c r="L107" s="398" t="s">
        <v>4576</v>
      </c>
      <c r="M107" s="993" t="s">
        <v>3974</v>
      </c>
      <c r="N107" s="993" t="s">
        <v>3974</v>
      </c>
      <c r="O107" s="926" t="s">
        <v>3974</v>
      </c>
      <c r="P107" s="926"/>
      <c r="Q107" s="932">
        <v>1</v>
      </c>
      <c r="R107" s="932">
        <v>1</v>
      </c>
      <c r="S107" s="930" t="s">
        <v>3978</v>
      </c>
      <c r="T107" s="926" t="s">
        <v>3974</v>
      </c>
      <c r="U107" s="926" t="s">
        <v>3974</v>
      </c>
      <c r="V107" s="926" t="s">
        <v>3974</v>
      </c>
      <c r="W107" s="926" t="s">
        <v>3974</v>
      </c>
      <c r="X107" s="979" t="s">
        <v>3979</v>
      </c>
      <c r="Y107" s="888" t="s">
        <v>3980</v>
      </c>
      <c r="Z107" s="3181" t="s">
        <v>4577</v>
      </c>
      <c r="AA107" s="3182" t="s">
        <v>4578</v>
      </c>
      <c r="AB107" s="316"/>
    </row>
    <row r="108" spans="1:28" ht="81.75" customHeight="1">
      <c r="A108" s="254" t="s">
        <v>2470</v>
      </c>
      <c r="B108" s="12" t="s">
        <v>2471</v>
      </c>
      <c r="C108" s="990" t="s">
        <v>4579</v>
      </c>
      <c r="D108" s="750" t="s">
        <v>4580</v>
      </c>
      <c r="E108" s="925">
        <v>2</v>
      </c>
      <c r="F108" s="942" t="s">
        <v>4116</v>
      </c>
      <c r="G108" s="1404" t="s">
        <v>4581</v>
      </c>
      <c r="H108" s="926" t="s">
        <v>4116</v>
      </c>
      <c r="I108" s="210" t="s">
        <v>4582</v>
      </c>
      <c r="J108" s="939" t="s">
        <v>3972</v>
      </c>
      <c r="K108" s="939" t="s">
        <v>3973</v>
      </c>
      <c r="L108" s="399" t="s">
        <v>4582</v>
      </c>
      <c r="M108" s="993" t="s">
        <v>3974</v>
      </c>
      <c r="N108" s="993" t="s">
        <v>3974</v>
      </c>
      <c r="O108" s="926" t="s">
        <v>3974</v>
      </c>
      <c r="P108" s="926"/>
      <c r="Q108" s="932">
        <v>1</v>
      </c>
      <c r="R108" s="932">
        <v>1</v>
      </c>
      <c r="S108" s="930" t="s">
        <v>3978</v>
      </c>
      <c r="T108" s="926" t="s">
        <v>3974</v>
      </c>
      <c r="U108" s="926" t="s">
        <v>3974</v>
      </c>
      <c r="V108" s="926" t="s">
        <v>3974</v>
      </c>
      <c r="W108" s="926" t="s">
        <v>3974</v>
      </c>
      <c r="X108" s="979" t="s">
        <v>3979</v>
      </c>
      <c r="Y108" s="888" t="s">
        <v>3980</v>
      </c>
      <c r="Z108" s="3183" t="s">
        <v>4583</v>
      </c>
      <c r="AA108" s="3184" t="s">
        <v>4584</v>
      </c>
      <c r="AB108" s="316"/>
    </row>
    <row r="109" spans="1:28" ht="108.75" customHeight="1">
      <c r="A109" s="254" t="s">
        <v>2473</v>
      </c>
      <c r="B109" s="12" t="s">
        <v>2474</v>
      </c>
      <c r="C109" s="990" t="s">
        <v>4585</v>
      </c>
      <c r="D109" s="750" t="s">
        <v>4586</v>
      </c>
      <c r="E109" s="925">
        <v>0</v>
      </c>
      <c r="F109" s="942" t="s">
        <v>4116</v>
      </c>
      <c r="G109" s="1405" t="s">
        <v>4587</v>
      </c>
      <c r="H109" s="926" t="s">
        <v>4116</v>
      </c>
      <c r="I109" s="397" t="s">
        <v>4588</v>
      </c>
      <c r="J109" s="939" t="s">
        <v>3972</v>
      </c>
      <c r="K109" s="939" t="s">
        <v>3973</v>
      </c>
      <c r="L109" s="398" t="s">
        <v>4588</v>
      </c>
      <c r="M109" s="993" t="s">
        <v>3974</v>
      </c>
      <c r="N109" s="993" t="s">
        <v>3974</v>
      </c>
      <c r="O109" s="926" t="s">
        <v>3974</v>
      </c>
      <c r="P109" s="926"/>
      <c r="Q109" s="888" t="s">
        <v>3974</v>
      </c>
      <c r="R109" s="888" t="s">
        <v>3974</v>
      </c>
      <c r="S109" s="930" t="s">
        <v>3974</v>
      </c>
      <c r="T109" s="926" t="s">
        <v>3974</v>
      </c>
      <c r="U109" s="926" t="s">
        <v>3974</v>
      </c>
      <c r="V109" s="926" t="s">
        <v>3974</v>
      </c>
      <c r="W109" s="926" t="s">
        <v>3974</v>
      </c>
      <c r="X109" s="979" t="s">
        <v>3979</v>
      </c>
      <c r="Y109" s="888" t="s">
        <v>3980</v>
      </c>
      <c r="Z109" s="3185" t="s">
        <v>4589</v>
      </c>
      <c r="AA109" s="3186" t="s">
        <v>4590</v>
      </c>
      <c r="AB109" s="308" t="s">
        <v>4591</v>
      </c>
    </row>
    <row r="110" spans="1:28" ht="75.75" customHeight="1">
      <c r="A110" s="254" t="s">
        <v>2476</v>
      </c>
      <c r="B110" s="3187" t="s">
        <v>2477</v>
      </c>
      <c r="C110" s="990" t="s">
        <v>4592</v>
      </c>
      <c r="D110" s="750" t="s">
        <v>4593</v>
      </c>
      <c r="E110" s="925">
        <v>2</v>
      </c>
      <c r="F110" s="942" t="s">
        <v>4116</v>
      </c>
      <c r="G110" s="397" t="s">
        <v>4594</v>
      </c>
      <c r="H110" s="926" t="s">
        <v>4116</v>
      </c>
      <c r="I110" s="397" t="s">
        <v>4459</v>
      </c>
      <c r="J110" s="939" t="s">
        <v>3972</v>
      </c>
      <c r="K110" s="939" t="s">
        <v>3973</v>
      </c>
      <c r="L110" s="398" t="s">
        <v>4459</v>
      </c>
      <c r="M110" s="993" t="s">
        <v>3974</v>
      </c>
      <c r="N110" s="993" t="s">
        <v>3974</v>
      </c>
      <c r="O110" s="926" t="s">
        <v>3974</v>
      </c>
      <c r="P110" s="926"/>
      <c r="Q110" s="932">
        <v>1</v>
      </c>
      <c r="R110" s="932">
        <v>1</v>
      </c>
      <c r="S110" s="930" t="s">
        <v>4595</v>
      </c>
      <c r="T110" s="926" t="s">
        <v>3974</v>
      </c>
      <c r="U110" s="926" t="s">
        <v>3974</v>
      </c>
      <c r="V110" s="926" t="s">
        <v>3974</v>
      </c>
      <c r="W110" s="926" t="s">
        <v>3974</v>
      </c>
      <c r="X110" s="979" t="s">
        <v>3979</v>
      </c>
      <c r="Y110" s="888" t="s">
        <v>3980</v>
      </c>
      <c r="Z110" s="3188" t="s">
        <v>4596</v>
      </c>
      <c r="AA110" s="3189" t="s">
        <v>4597</v>
      </c>
      <c r="AB110" s="316"/>
    </row>
    <row r="111" spans="1:28" s="9" customFormat="1" ht="81.75" customHeight="1">
      <c r="A111" s="9" t="s">
        <v>4598</v>
      </c>
      <c r="B111" s="330" t="s">
        <v>4599</v>
      </c>
      <c r="C111" s="983" t="s">
        <v>4600</v>
      </c>
      <c r="D111" s="837" t="s">
        <v>4601</v>
      </c>
      <c r="E111" s="984">
        <v>2</v>
      </c>
      <c r="F111" s="985" t="s">
        <v>4116</v>
      </c>
      <c r="G111" s="986" t="s">
        <v>4602</v>
      </c>
      <c r="H111" s="956" t="s">
        <v>4116</v>
      </c>
      <c r="I111" s="986" t="s">
        <v>4603</v>
      </c>
      <c r="J111" s="970" t="s">
        <v>3972</v>
      </c>
      <c r="K111" s="970" t="s">
        <v>3973</v>
      </c>
      <c r="L111" s="986" t="s">
        <v>4603</v>
      </c>
      <c r="M111" s="989" t="s">
        <v>3974</v>
      </c>
      <c r="N111" s="989" t="s">
        <v>3974</v>
      </c>
      <c r="O111" s="956" t="s">
        <v>3974</v>
      </c>
      <c r="P111" s="956"/>
      <c r="Q111" s="957">
        <v>1</v>
      </c>
      <c r="R111" s="957">
        <v>1</v>
      </c>
      <c r="S111" s="958" t="s">
        <v>4595</v>
      </c>
      <c r="T111" s="956" t="s">
        <v>3974</v>
      </c>
      <c r="U111" s="956" t="s">
        <v>3974</v>
      </c>
      <c r="V111" s="956" t="s">
        <v>3974</v>
      </c>
      <c r="W111" s="956" t="s">
        <v>3974</v>
      </c>
      <c r="X111" s="981" t="s">
        <v>3979</v>
      </c>
      <c r="Y111" s="950" t="s">
        <v>3980</v>
      </c>
      <c r="Z111" s="982" t="s">
        <v>4490</v>
      </c>
      <c r="AA111" s="986" t="s">
        <v>4460</v>
      </c>
      <c r="AB111" s="317"/>
    </row>
    <row r="112" spans="1:28" ht="75.75" customHeight="1">
      <c r="A112" s="254" t="s">
        <v>2482</v>
      </c>
      <c r="B112" s="12" t="s">
        <v>2483</v>
      </c>
      <c r="C112" s="990" t="s">
        <v>4604</v>
      </c>
      <c r="D112" s="750" t="s">
        <v>4605</v>
      </c>
      <c r="E112" s="925">
        <v>2</v>
      </c>
      <c r="F112" s="942" t="s">
        <v>4457</v>
      </c>
      <c r="G112" s="397" t="s">
        <v>4606</v>
      </c>
      <c r="H112" s="926" t="s">
        <v>4457</v>
      </c>
      <c r="I112" s="397" t="s">
        <v>4607</v>
      </c>
      <c r="J112" s="939" t="s">
        <v>3972</v>
      </c>
      <c r="K112" s="939" t="s">
        <v>3973</v>
      </c>
      <c r="L112" s="398" t="s">
        <v>4607</v>
      </c>
      <c r="M112" s="993" t="s">
        <v>3974</v>
      </c>
      <c r="N112" s="993" t="s">
        <v>3974</v>
      </c>
      <c r="O112" s="926" t="s">
        <v>3974</v>
      </c>
      <c r="P112" s="926"/>
      <c r="Q112" s="932">
        <v>1</v>
      </c>
      <c r="R112" s="932">
        <v>1</v>
      </c>
      <c r="S112" s="930" t="s">
        <v>3978</v>
      </c>
      <c r="T112" s="926" t="s">
        <v>3974</v>
      </c>
      <c r="U112" s="926" t="s">
        <v>3974</v>
      </c>
      <c r="V112" s="926" t="s">
        <v>3974</v>
      </c>
      <c r="W112" s="926" t="s">
        <v>3974</v>
      </c>
      <c r="X112" s="979" t="s">
        <v>3979</v>
      </c>
      <c r="Y112" s="888" t="s">
        <v>3980</v>
      </c>
      <c r="Z112" s="3190" t="s">
        <v>4461</v>
      </c>
      <c r="AA112" s="3191" t="s">
        <v>4608</v>
      </c>
      <c r="AB112" s="316"/>
    </row>
    <row r="113" spans="1:28" ht="122.25" customHeight="1">
      <c r="A113" s="254" t="s">
        <v>2485</v>
      </c>
      <c r="B113" s="12" t="s">
        <v>2486</v>
      </c>
      <c r="C113" s="990" t="s">
        <v>4609</v>
      </c>
      <c r="D113" s="750" t="s">
        <v>4610</v>
      </c>
      <c r="E113" s="925">
        <v>2</v>
      </c>
      <c r="F113" s="942" t="s">
        <v>4457</v>
      </c>
      <c r="G113" s="397" t="s">
        <v>4611</v>
      </c>
      <c r="H113" s="926" t="s">
        <v>4457</v>
      </c>
      <c r="I113" s="397" t="s">
        <v>4612</v>
      </c>
      <c r="J113" s="939" t="s">
        <v>3972</v>
      </c>
      <c r="K113" s="939" t="s">
        <v>3973</v>
      </c>
      <c r="L113" s="398" t="s">
        <v>4612</v>
      </c>
      <c r="M113" s="993" t="s">
        <v>3974</v>
      </c>
      <c r="N113" s="993" t="s">
        <v>3974</v>
      </c>
      <c r="O113" s="926" t="s">
        <v>3974</v>
      </c>
      <c r="P113" s="926"/>
      <c r="Q113" s="932">
        <v>1</v>
      </c>
      <c r="R113" s="932">
        <v>1</v>
      </c>
      <c r="S113" s="930" t="s">
        <v>3978</v>
      </c>
      <c r="T113" s="926" t="s">
        <v>3974</v>
      </c>
      <c r="U113" s="926" t="s">
        <v>3974</v>
      </c>
      <c r="V113" s="926" t="s">
        <v>3974</v>
      </c>
      <c r="W113" s="926" t="s">
        <v>3974</v>
      </c>
      <c r="X113" s="979" t="s">
        <v>3979</v>
      </c>
      <c r="Y113" s="888" t="s">
        <v>3980</v>
      </c>
      <c r="Z113" s="3192" t="s">
        <v>4551</v>
      </c>
      <c r="AA113" s="3193" t="s">
        <v>4552</v>
      </c>
      <c r="AB113" s="316"/>
    </row>
    <row r="114" spans="1:28" ht="75.75" customHeight="1">
      <c r="A114" s="254" t="s">
        <v>2488</v>
      </c>
      <c r="B114" s="12" t="s">
        <v>2489</v>
      </c>
      <c r="C114" s="990" t="s">
        <v>4613</v>
      </c>
      <c r="D114" s="750" t="s">
        <v>4614</v>
      </c>
      <c r="E114" s="925">
        <v>2</v>
      </c>
      <c r="F114" s="942" t="s">
        <v>4116</v>
      </c>
      <c r="G114" s="210" t="s">
        <v>4615</v>
      </c>
      <c r="H114" s="926" t="s">
        <v>4116</v>
      </c>
      <c r="I114" s="210" t="s">
        <v>4616</v>
      </c>
      <c r="J114" s="939" t="s">
        <v>3972</v>
      </c>
      <c r="K114" s="939" t="s">
        <v>3973</v>
      </c>
      <c r="L114" s="399" t="s">
        <v>4616</v>
      </c>
      <c r="M114" s="993" t="s">
        <v>3974</v>
      </c>
      <c r="N114" s="993" t="s">
        <v>3974</v>
      </c>
      <c r="O114" s="926" t="s">
        <v>3974</v>
      </c>
      <c r="P114" s="926"/>
      <c r="Q114" s="932">
        <v>1</v>
      </c>
      <c r="R114" s="932">
        <v>1</v>
      </c>
      <c r="S114" s="930" t="s">
        <v>3978</v>
      </c>
      <c r="T114" s="926" t="s">
        <v>3974</v>
      </c>
      <c r="U114" s="926" t="s">
        <v>3974</v>
      </c>
      <c r="V114" s="926" t="s">
        <v>3974</v>
      </c>
      <c r="W114" s="926" t="s">
        <v>3974</v>
      </c>
      <c r="X114" s="979" t="s">
        <v>3979</v>
      </c>
      <c r="Y114" s="888" t="s">
        <v>3980</v>
      </c>
      <c r="Z114" s="3194" t="s">
        <v>4556</v>
      </c>
      <c r="AA114" s="3195" t="s">
        <v>4557</v>
      </c>
      <c r="AB114" s="316"/>
    </row>
    <row r="115" spans="1:28" ht="75.75" customHeight="1">
      <c r="A115" s="254" t="s">
        <v>2491</v>
      </c>
      <c r="B115" s="12" t="s">
        <v>2492</v>
      </c>
      <c r="C115" s="990" t="s">
        <v>4617</v>
      </c>
      <c r="D115" s="750" t="s">
        <v>4618</v>
      </c>
      <c r="E115" s="925">
        <v>2</v>
      </c>
      <c r="F115" s="942" t="s">
        <v>4116</v>
      </c>
      <c r="G115" s="210" t="s">
        <v>4619</v>
      </c>
      <c r="H115" s="926" t="s">
        <v>4116</v>
      </c>
      <c r="I115" s="397" t="s">
        <v>4620</v>
      </c>
      <c r="J115" s="939" t="s">
        <v>3972</v>
      </c>
      <c r="K115" s="939" t="s">
        <v>3973</v>
      </c>
      <c r="L115" s="398" t="s">
        <v>4620</v>
      </c>
      <c r="M115" s="993" t="s">
        <v>3974</v>
      </c>
      <c r="N115" s="993" t="s">
        <v>3974</v>
      </c>
      <c r="O115" s="926" t="s">
        <v>3974</v>
      </c>
      <c r="P115" s="926"/>
      <c r="Q115" s="932">
        <v>1</v>
      </c>
      <c r="R115" s="932">
        <v>1</v>
      </c>
      <c r="S115" s="930" t="s">
        <v>3978</v>
      </c>
      <c r="T115" s="926" t="s">
        <v>3974</v>
      </c>
      <c r="U115" s="926" t="s">
        <v>3974</v>
      </c>
      <c r="V115" s="926" t="s">
        <v>3974</v>
      </c>
      <c r="W115" s="926" t="s">
        <v>3974</v>
      </c>
      <c r="X115" s="979" t="s">
        <v>3979</v>
      </c>
      <c r="Y115" s="888" t="s">
        <v>3980</v>
      </c>
      <c r="Z115" s="3196" t="s">
        <v>4562</v>
      </c>
      <c r="AA115" s="3197" t="s">
        <v>4563</v>
      </c>
      <c r="AB115" s="316"/>
    </row>
    <row r="116" spans="1:28" ht="75.75" customHeight="1">
      <c r="A116" s="254" t="s">
        <v>2494</v>
      </c>
      <c r="B116" s="12" t="s">
        <v>2495</v>
      </c>
      <c r="C116" s="992" t="s">
        <v>4621</v>
      </c>
      <c r="D116" s="750" t="s">
        <v>4622</v>
      </c>
      <c r="E116" s="925">
        <v>0</v>
      </c>
      <c r="F116" s="942" t="s">
        <v>4116</v>
      </c>
      <c r="G116" s="210" t="s">
        <v>4623</v>
      </c>
      <c r="H116" s="926" t="s">
        <v>4116</v>
      </c>
      <c r="I116" s="398" t="s">
        <v>4459</v>
      </c>
      <c r="J116" s="939" t="s">
        <v>3972</v>
      </c>
      <c r="K116" s="939" t="s">
        <v>3973</v>
      </c>
      <c r="L116" s="398" t="s">
        <v>4459</v>
      </c>
      <c r="M116" s="926" t="s">
        <v>3974</v>
      </c>
      <c r="N116" s="926" t="s">
        <v>3974</v>
      </c>
      <c r="O116" s="934" t="s">
        <v>3974</v>
      </c>
      <c r="P116" s="934"/>
      <c r="Q116" s="926" t="s">
        <v>3974</v>
      </c>
      <c r="R116" s="926" t="s">
        <v>3974</v>
      </c>
      <c r="S116" s="994" t="s">
        <v>3974</v>
      </c>
      <c r="T116" s="926" t="s">
        <v>3974</v>
      </c>
      <c r="U116" s="926" t="s">
        <v>3974</v>
      </c>
      <c r="V116" s="926" t="s">
        <v>3974</v>
      </c>
      <c r="W116" s="926" t="s">
        <v>3974</v>
      </c>
      <c r="X116" s="926" t="s">
        <v>3974</v>
      </c>
      <c r="Y116" s="926" t="s">
        <v>3974</v>
      </c>
      <c r="Z116" s="402" t="s">
        <v>4624</v>
      </c>
      <c r="AA116" s="399" t="s">
        <v>4625</v>
      </c>
      <c r="AB116" s="316"/>
    </row>
    <row r="117" spans="1:28" s="9" customFormat="1" ht="82.9" customHeight="1">
      <c r="A117" s="9" t="s">
        <v>2497</v>
      </c>
      <c r="B117" s="330" t="s">
        <v>4626</v>
      </c>
      <c r="C117" s="983" t="s">
        <v>4627</v>
      </c>
      <c r="D117" s="837" t="s">
        <v>4628</v>
      </c>
      <c r="E117" s="984">
        <v>0</v>
      </c>
      <c r="F117" s="985" t="s">
        <v>4116</v>
      </c>
      <c r="G117" s="986" t="s">
        <v>4629</v>
      </c>
      <c r="H117" s="956" t="s">
        <v>4116</v>
      </c>
      <c r="I117" s="986" t="s">
        <v>4630</v>
      </c>
      <c r="J117" s="970" t="s">
        <v>3972</v>
      </c>
      <c r="K117" s="970" t="s">
        <v>3973</v>
      </c>
      <c r="L117" s="986" t="s">
        <v>4631</v>
      </c>
      <c r="M117" s="956" t="s">
        <v>3974</v>
      </c>
      <c r="N117" s="956" t="s">
        <v>3974</v>
      </c>
      <c r="O117" s="995" t="s">
        <v>3974</v>
      </c>
      <c r="P117" s="995"/>
      <c r="Q117" s="956" t="s">
        <v>3974</v>
      </c>
      <c r="R117" s="956" t="s">
        <v>3974</v>
      </c>
      <c r="S117" s="996" t="s">
        <v>3974</v>
      </c>
      <c r="T117" s="956" t="s">
        <v>3974</v>
      </c>
      <c r="U117" s="956" t="s">
        <v>3974</v>
      </c>
      <c r="V117" s="956" t="s">
        <v>3974</v>
      </c>
      <c r="W117" s="956" t="s">
        <v>3974</v>
      </c>
      <c r="X117" s="956" t="s">
        <v>3974</v>
      </c>
      <c r="Y117" s="956" t="s">
        <v>3974</v>
      </c>
      <c r="Z117" s="3198" t="s">
        <v>4482</v>
      </c>
      <c r="AA117" s="986" t="s">
        <v>4460</v>
      </c>
      <c r="AB117" s="317"/>
    </row>
    <row r="118" spans="1:28" ht="60.75" customHeight="1">
      <c r="A118" s="254" t="s">
        <v>2620</v>
      </c>
      <c r="B118" s="12" t="s">
        <v>2622</v>
      </c>
      <c r="C118" s="990" t="s">
        <v>4455</v>
      </c>
      <c r="D118" s="750" t="s">
        <v>4632</v>
      </c>
      <c r="E118" s="925">
        <v>2</v>
      </c>
      <c r="F118" s="942" t="s">
        <v>4457</v>
      </c>
      <c r="G118" s="1406" t="s">
        <v>4633</v>
      </c>
      <c r="H118" s="478" t="s">
        <v>4457</v>
      </c>
      <c r="I118" s="401" t="s">
        <v>4459</v>
      </c>
      <c r="J118" s="400" t="s">
        <v>3972</v>
      </c>
      <c r="K118" s="978" t="s">
        <v>3974</v>
      </c>
      <c r="L118" s="29" t="s">
        <v>4460</v>
      </c>
      <c r="M118" s="939" t="s">
        <v>3974</v>
      </c>
      <c r="N118" s="939" t="s">
        <v>3974</v>
      </c>
      <c r="O118" s="926" t="s">
        <v>3974</v>
      </c>
      <c r="P118" s="477"/>
      <c r="Q118" s="31">
        <v>1</v>
      </c>
      <c r="R118" s="31">
        <v>1</v>
      </c>
      <c r="S118" s="930" t="s">
        <v>3978</v>
      </c>
      <c r="T118" s="926" t="s">
        <v>3974</v>
      </c>
      <c r="U118" s="926" t="s">
        <v>3974</v>
      </c>
      <c r="V118" s="926" t="s">
        <v>3974</v>
      </c>
      <c r="W118" s="926" t="s">
        <v>3974</v>
      </c>
      <c r="X118" s="979" t="s">
        <v>3979</v>
      </c>
      <c r="Y118" s="888" t="s">
        <v>3980</v>
      </c>
      <c r="Z118" s="3199" t="s">
        <v>4461</v>
      </c>
      <c r="AA118" s="398" t="s">
        <v>4462</v>
      </c>
      <c r="AB118" s="316"/>
    </row>
    <row r="119" spans="1:28" ht="75.75" customHeight="1">
      <c r="A119" s="254" t="s">
        <v>2624</v>
      </c>
      <c r="B119" s="12" t="s">
        <v>2625</v>
      </c>
      <c r="C119" s="990" t="s">
        <v>4463</v>
      </c>
      <c r="D119" s="750" t="s">
        <v>4634</v>
      </c>
      <c r="E119" s="925">
        <v>2</v>
      </c>
      <c r="F119" s="942" t="s">
        <v>4457</v>
      </c>
      <c r="G119" s="29" t="s">
        <v>4465</v>
      </c>
      <c r="H119" s="478" t="s">
        <v>4457</v>
      </c>
      <c r="I119" s="29" t="s">
        <v>4459</v>
      </c>
      <c r="J119" s="476" t="s">
        <v>3972</v>
      </c>
      <c r="K119" s="476" t="s">
        <v>3973</v>
      </c>
      <c r="L119" s="29" t="s">
        <v>4460</v>
      </c>
      <c r="M119" s="939" t="s">
        <v>3974</v>
      </c>
      <c r="N119" s="939" t="s">
        <v>3974</v>
      </c>
      <c r="O119" s="926" t="s">
        <v>3974</v>
      </c>
      <c r="P119" s="477"/>
      <c r="Q119" s="31">
        <v>1</v>
      </c>
      <c r="R119" s="31">
        <v>1</v>
      </c>
      <c r="S119" s="930" t="s">
        <v>3978</v>
      </c>
      <c r="T119" s="926" t="s">
        <v>3974</v>
      </c>
      <c r="U119" s="926" t="s">
        <v>3974</v>
      </c>
      <c r="V119" s="926" t="s">
        <v>3974</v>
      </c>
      <c r="W119" s="926" t="s">
        <v>3974</v>
      </c>
      <c r="X119" s="979" t="s">
        <v>3979</v>
      </c>
      <c r="Y119" s="888" t="s">
        <v>3980</v>
      </c>
      <c r="Z119" s="3200" t="s">
        <v>4461</v>
      </c>
      <c r="AA119" s="398" t="s">
        <v>4462</v>
      </c>
      <c r="AB119" s="316"/>
    </row>
    <row r="120" spans="1:28" ht="135.75" customHeight="1">
      <c r="A120" s="254" t="s">
        <v>4635</v>
      </c>
      <c r="B120" s="3201" t="s">
        <v>4636</v>
      </c>
      <c r="C120" s="990" t="s">
        <v>4468</v>
      </c>
      <c r="D120" s="750" t="s">
        <v>4637</v>
      </c>
      <c r="E120" s="925">
        <v>2</v>
      </c>
      <c r="F120" s="942" t="s">
        <v>4457</v>
      </c>
      <c r="G120" s="29" t="s">
        <v>4470</v>
      </c>
      <c r="H120" s="478" t="s">
        <v>4457</v>
      </c>
      <c r="I120" s="397" t="s">
        <v>4471</v>
      </c>
      <c r="J120" s="476" t="s">
        <v>3972</v>
      </c>
      <c r="K120" s="476" t="s">
        <v>3973</v>
      </c>
      <c r="L120" s="398" t="s">
        <v>4471</v>
      </c>
      <c r="M120" s="939" t="s">
        <v>3974</v>
      </c>
      <c r="N120" s="939" t="s">
        <v>3974</v>
      </c>
      <c r="O120" s="926" t="s">
        <v>3974</v>
      </c>
      <c r="P120" s="477"/>
      <c r="Q120" s="31">
        <v>1</v>
      </c>
      <c r="R120" s="31">
        <v>1</v>
      </c>
      <c r="S120" s="930" t="s">
        <v>3978</v>
      </c>
      <c r="T120" s="926" t="s">
        <v>3974</v>
      </c>
      <c r="U120" s="926" t="s">
        <v>3974</v>
      </c>
      <c r="V120" s="926" t="s">
        <v>3974</v>
      </c>
      <c r="W120" s="926" t="s">
        <v>3974</v>
      </c>
      <c r="X120" s="979" t="s">
        <v>3979</v>
      </c>
      <c r="Y120" s="888" t="s">
        <v>3980</v>
      </c>
      <c r="Z120" s="3202" t="s">
        <v>4472</v>
      </c>
      <c r="AA120" s="948" t="s">
        <v>4473</v>
      </c>
      <c r="AB120" s="316"/>
    </row>
    <row r="121" spans="1:28" ht="81.75" customHeight="1">
      <c r="A121" s="254" t="s">
        <v>4638</v>
      </c>
      <c r="B121" s="12" t="s">
        <v>2631</v>
      </c>
      <c r="C121" s="990" t="s">
        <v>4476</v>
      </c>
      <c r="D121" s="750" t="s">
        <v>4639</v>
      </c>
      <c r="E121" s="925">
        <v>2</v>
      </c>
      <c r="F121" s="942" t="s">
        <v>4457</v>
      </c>
      <c r="G121" s="397" t="s">
        <v>4478</v>
      </c>
      <c r="H121" s="478" t="s">
        <v>4457</v>
      </c>
      <c r="I121" s="29" t="s">
        <v>4459</v>
      </c>
      <c r="J121" s="476" t="s">
        <v>3972</v>
      </c>
      <c r="K121" s="476" t="s">
        <v>3973</v>
      </c>
      <c r="L121" s="29" t="s">
        <v>4460</v>
      </c>
      <c r="M121" s="939" t="s">
        <v>3974</v>
      </c>
      <c r="N121" s="939" t="s">
        <v>3974</v>
      </c>
      <c r="O121" s="926" t="s">
        <v>3974</v>
      </c>
      <c r="P121" s="477"/>
      <c r="Q121" s="31">
        <v>1</v>
      </c>
      <c r="R121" s="31">
        <v>1</v>
      </c>
      <c r="S121" s="930" t="s">
        <v>3978</v>
      </c>
      <c r="T121" s="926" t="s">
        <v>3974</v>
      </c>
      <c r="U121" s="926" t="s">
        <v>3974</v>
      </c>
      <c r="V121" s="926" t="s">
        <v>3974</v>
      </c>
      <c r="W121" s="926" t="s">
        <v>3974</v>
      </c>
      <c r="X121" s="979" t="s">
        <v>3979</v>
      </c>
      <c r="Y121" s="888" t="s">
        <v>3980</v>
      </c>
      <c r="Z121" s="3203" t="s">
        <v>4472</v>
      </c>
      <c r="AA121" s="948" t="s">
        <v>4473</v>
      </c>
      <c r="AB121" s="316"/>
    </row>
    <row r="122" spans="1:28" ht="75.75" customHeight="1">
      <c r="A122" s="254" t="s">
        <v>2633</v>
      </c>
      <c r="B122" s="12" t="s">
        <v>2634</v>
      </c>
      <c r="C122" s="990" t="s">
        <v>4479</v>
      </c>
      <c r="D122" s="750" t="s">
        <v>4640</v>
      </c>
      <c r="E122" s="925">
        <v>2</v>
      </c>
      <c r="F122" s="942" t="s">
        <v>4116</v>
      </c>
      <c r="G122" s="210" t="s">
        <v>4481</v>
      </c>
      <c r="H122" s="478" t="s">
        <v>4116</v>
      </c>
      <c r="I122" s="29" t="s">
        <v>4459</v>
      </c>
      <c r="J122" s="476" t="s">
        <v>3972</v>
      </c>
      <c r="K122" s="476" t="s">
        <v>3973</v>
      </c>
      <c r="L122" s="29" t="s">
        <v>4460</v>
      </c>
      <c r="M122" s="32" t="s">
        <v>3979</v>
      </c>
      <c r="N122" s="32" t="s">
        <v>3979</v>
      </c>
      <c r="O122" s="926" t="s">
        <v>3974</v>
      </c>
      <c r="P122" s="477"/>
      <c r="Q122" s="31">
        <v>1</v>
      </c>
      <c r="R122" s="31">
        <v>1</v>
      </c>
      <c r="S122" s="930" t="s">
        <v>3978</v>
      </c>
      <c r="T122" s="926" t="s">
        <v>3974</v>
      </c>
      <c r="U122" s="926" t="s">
        <v>3974</v>
      </c>
      <c r="V122" s="926" t="s">
        <v>3974</v>
      </c>
      <c r="W122" s="926" t="s">
        <v>3974</v>
      </c>
      <c r="X122" s="979" t="s">
        <v>3979</v>
      </c>
      <c r="Y122" s="888" t="s">
        <v>3980</v>
      </c>
      <c r="Z122" s="3204" t="s">
        <v>4482</v>
      </c>
      <c r="AA122" s="948" t="s">
        <v>4483</v>
      </c>
      <c r="AB122" s="316"/>
    </row>
    <row r="123" spans="1:28" ht="75.75" customHeight="1">
      <c r="A123" s="254" t="s">
        <v>2636</v>
      </c>
      <c r="B123" s="12" t="s">
        <v>2637</v>
      </c>
      <c r="C123" s="990" t="s">
        <v>4484</v>
      </c>
      <c r="D123" s="750" t="s">
        <v>4641</v>
      </c>
      <c r="E123" s="925">
        <v>2</v>
      </c>
      <c r="F123" s="942" t="s">
        <v>4116</v>
      </c>
      <c r="G123" s="397" t="s">
        <v>4486</v>
      </c>
      <c r="H123" s="478" t="s">
        <v>4116</v>
      </c>
      <c r="I123" s="29" t="s">
        <v>4459</v>
      </c>
      <c r="J123" s="476" t="s">
        <v>3972</v>
      </c>
      <c r="K123" s="476" t="s">
        <v>3973</v>
      </c>
      <c r="L123" s="29" t="s">
        <v>4460</v>
      </c>
      <c r="M123" s="32" t="s">
        <v>3979</v>
      </c>
      <c r="N123" s="32" t="s">
        <v>3979</v>
      </c>
      <c r="O123" s="926" t="s">
        <v>3974</v>
      </c>
      <c r="P123" s="477"/>
      <c r="Q123" s="31">
        <v>1</v>
      </c>
      <c r="R123" s="31">
        <v>1</v>
      </c>
      <c r="S123" s="930" t="s">
        <v>3978</v>
      </c>
      <c r="T123" s="926" t="s">
        <v>3974</v>
      </c>
      <c r="U123" s="926" t="s">
        <v>3974</v>
      </c>
      <c r="V123" s="926" t="s">
        <v>3974</v>
      </c>
      <c r="W123" s="926" t="s">
        <v>3974</v>
      </c>
      <c r="X123" s="979" t="s">
        <v>3979</v>
      </c>
      <c r="Y123" s="888" t="s">
        <v>3980</v>
      </c>
      <c r="Z123" s="3205" t="s">
        <v>4482</v>
      </c>
      <c r="AA123" s="948" t="s">
        <v>4483</v>
      </c>
      <c r="AB123" s="316"/>
    </row>
    <row r="124" spans="1:28" ht="75.75" customHeight="1">
      <c r="A124" s="254" t="s">
        <v>2639</v>
      </c>
      <c r="B124" s="12" t="s">
        <v>2640</v>
      </c>
      <c r="C124" s="990" t="s">
        <v>4487</v>
      </c>
      <c r="D124" s="750" t="s">
        <v>4642</v>
      </c>
      <c r="E124" s="925">
        <v>2</v>
      </c>
      <c r="F124" s="942" t="s">
        <v>4116</v>
      </c>
      <c r="G124" s="210" t="s">
        <v>4489</v>
      </c>
      <c r="H124" s="478" t="s">
        <v>4116</v>
      </c>
      <c r="I124" s="29" t="s">
        <v>4459</v>
      </c>
      <c r="J124" s="476" t="s">
        <v>3972</v>
      </c>
      <c r="K124" s="476" t="s">
        <v>3973</v>
      </c>
      <c r="L124" s="29" t="s">
        <v>4460</v>
      </c>
      <c r="M124" s="32" t="s">
        <v>3979</v>
      </c>
      <c r="N124" s="32" t="s">
        <v>3979</v>
      </c>
      <c r="O124" s="926" t="s">
        <v>3974</v>
      </c>
      <c r="P124" s="477"/>
      <c r="Q124" s="31">
        <v>1</v>
      </c>
      <c r="R124" s="31">
        <v>1</v>
      </c>
      <c r="S124" s="930" t="s">
        <v>3978</v>
      </c>
      <c r="T124" s="926" t="s">
        <v>3974</v>
      </c>
      <c r="U124" s="926" t="s">
        <v>3974</v>
      </c>
      <c r="V124" s="926" t="s">
        <v>3974</v>
      </c>
      <c r="W124" s="926" t="s">
        <v>3974</v>
      </c>
      <c r="X124" s="979" t="s">
        <v>3979</v>
      </c>
      <c r="Y124" s="888" t="s">
        <v>3980</v>
      </c>
      <c r="Z124" s="980" t="s">
        <v>4490</v>
      </c>
      <c r="AA124" s="948" t="s">
        <v>4483</v>
      </c>
      <c r="AB124" s="316"/>
    </row>
    <row r="125" spans="1:28" ht="75.75" customHeight="1">
      <c r="A125" s="254" t="s">
        <v>2642</v>
      </c>
      <c r="B125" s="12" t="s">
        <v>2643</v>
      </c>
      <c r="C125" s="990" t="s">
        <v>4491</v>
      </c>
      <c r="D125" s="750" t="s">
        <v>4643</v>
      </c>
      <c r="E125" s="925">
        <v>2</v>
      </c>
      <c r="F125" s="942" t="s">
        <v>4116</v>
      </c>
      <c r="G125" s="397" t="s">
        <v>4493</v>
      </c>
      <c r="H125" s="478" t="s">
        <v>4116</v>
      </c>
      <c r="I125" s="29" t="s">
        <v>4459</v>
      </c>
      <c r="J125" s="476" t="s">
        <v>3972</v>
      </c>
      <c r="K125" s="476" t="s">
        <v>3973</v>
      </c>
      <c r="L125" s="29" t="s">
        <v>4460</v>
      </c>
      <c r="M125" s="32" t="s">
        <v>3979</v>
      </c>
      <c r="N125" s="32" t="s">
        <v>3979</v>
      </c>
      <c r="O125" s="926" t="s">
        <v>3974</v>
      </c>
      <c r="P125" s="477"/>
      <c r="Q125" s="31">
        <v>1</v>
      </c>
      <c r="R125" s="31">
        <v>1</v>
      </c>
      <c r="S125" s="930" t="s">
        <v>3978</v>
      </c>
      <c r="T125" s="926" t="s">
        <v>3974</v>
      </c>
      <c r="U125" s="926" t="s">
        <v>3974</v>
      </c>
      <c r="V125" s="926" t="s">
        <v>3974</v>
      </c>
      <c r="W125" s="926" t="s">
        <v>3974</v>
      </c>
      <c r="X125" s="979" t="s">
        <v>3979</v>
      </c>
      <c r="Y125" s="888" t="s">
        <v>3980</v>
      </c>
      <c r="Z125" s="980" t="s">
        <v>4490</v>
      </c>
      <c r="AA125" s="948" t="s">
        <v>4483</v>
      </c>
      <c r="AB125" s="316"/>
    </row>
    <row r="126" spans="1:28" ht="75.75" customHeight="1">
      <c r="A126" s="254" t="s">
        <v>2645</v>
      </c>
      <c r="B126" s="12" t="s">
        <v>2646</v>
      </c>
      <c r="C126" s="990" t="s">
        <v>4494</v>
      </c>
      <c r="D126" s="750" t="s">
        <v>4644</v>
      </c>
      <c r="E126" s="925">
        <v>3</v>
      </c>
      <c r="F126" s="942" t="s">
        <v>4116</v>
      </c>
      <c r="G126" s="1407" t="s">
        <v>4645</v>
      </c>
      <c r="H126" s="478" t="s">
        <v>4116</v>
      </c>
      <c r="I126" s="29" t="s">
        <v>4459</v>
      </c>
      <c r="J126" s="476" t="s">
        <v>3972</v>
      </c>
      <c r="K126" s="476" t="s">
        <v>3973</v>
      </c>
      <c r="L126" s="29" t="s">
        <v>4460</v>
      </c>
      <c r="M126" s="32" t="s">
        <v>3975</v>
      </c>
      <c r="N126" s="32" t="s">
        <v>3975</v>
      </c>
      <c r="O126" s="926" t="s">
        <v>3976</v>
      </c>
      <c r="P126" s="477"/>
      <c r="Q126" s="31">
        <v>0</v>
      </c>
      <c r="R126" s="31">
        <v>0</v>
      </c>
      <c r="S126" s="930">
        <v>0</v>
      </c>
      <c r="T126" s="926" t="s">
        <v>3988</v>
      </c>
      <c r="U126" s="926" t="s">
        <v>3974</v>
      </c>
      <c r="V126" s="926" t="s">
        <v>3974</v>
      </c>
      <c r="W126" s="926" t="s">
        <v>3974</v>
      </c>
      <c r="X126" s="979" t="s">
        <v>3979</v>
      </c>
      <c r="Y126" s="888" t="s">
        <v>3980</v>
      </c>
      <c r="Z126" s="3206" t="s">
        <v>4497</v>
      </c>
      <c r="AA126" s="948" t="s">
        <v>4483</v>
      </c>
      <c r="AB126" s="316"/>
    </row>
    <row r="127" spans="1:28" ht="75.75" customHeight="1">
      <c r="A127" s="254" t="s">
        <v>2648</v>
      </c>
      <c r="B127" s="12" t="s">
        <v>2649</v>
      </c>
      <c r="C127" s="990" t="s">
        <v>4498</v>
      </c>
      <c r="D127" s="750" t="s">
        <v>4646</v>
      </c>
      <c r="E127" s="925">
        <v>2</v>
      </c>
      <c r="F127" s="942" t="s">
        <v>4116</v>
      </c>
      <c r="G127" s="1408" t="s">
        <v>4647</v>
      </c>
      <c r="H127" s="478" t="s">
        <v>4116</v>
      </c>
      <c r="I127" s="210" t="s">
        <v>4501</v>
      </c>
      <c r="J127" s="476" t="s">
        <v>3972</v>
      </c>
      <c r="K127" s="476" t="s">
        <v>3973</v>
      </c>
      <c r="L127" s="399" t="s">
        <v>4502</v>
      </c>
      <c r="M127" s="32" t="s">
        <v>3979</v>
      </c>
      <c r="N127" s="32" t="s">
        <v>3975</v>
      </c>
      <c r="O127" s="926" t="s">
        <v>3974</v>
      </c>
      <c r="P127" s="926"/>
      <c r="Q127" s="926" t="s">
        <v>4503</v>
      </c>
      <c r="R127" s="926" t="s">
        <v>4503</v>
      </c>
      <c r="S127" s="930" t="s">
        <v>3978</v>
      </c>
      <c r="T127" s="926" t="s">
        <v>3974</v>
      </c>
      <c r="U127" s="926" t="s">
        <v>3974</v>
      </c>
      <c r="V127" s="926" t="s">
        <v>3974</v>
      </c>
      <c r="W127" s="926" t="s">
        <v>3974</v>
      </c>
      <c r="X127" s="979" t="s">
        <v>3979</v>
      </c>
      <c r="Y127" s="888" t="s">
        <v>3980</v>
      </c>
      <c r="Z127" s="3207" t="s">
        <v>4504</v>
      </c>
      <c r="AA127" s="948" t="s">
        <v>4505</v>
      </c>
      <c r="AB127" s="316"/>
    </row>
    <row r="128" spans="1:28" ht="95.25" customHeight="1">
      <c r="A128" s="254" t="s">
        <v>2651</v>
      </c>
      <c r="B128" s="3208" t="s">
        <v>4648</v>
      </c>
      <c r="C128" s="990" t="s">
        <v>4507</v>
      </c>
      <c r="D128" s="750" t="s">
        <v>4649</v>
      </c>
      <c r="E128" s="925">
        <v>2</v>
      </c>
      <c r="F128" s="942" t="s">
        <v>4116</v>
      </c>
      <c r="G128" s="1409" t="s">
        <v>4509</v>
      </c>
      <c r="H128" s="478" t="s">
        <v>4116</v>
      </c>
      <c r="I128" s="210" t="s">
        <v>4510</v>
      </c>
      <c r="J128" s="476" t="s">
        <v>3972</v>
      </c>
      <c r="K128" s="476" t="s">
        <v>3973</v>
      </c>
      <c r="L128" s="399" t="s">
        <v>4510</v>
      </c>
      <c r="M128" s="32" t="s">
        <v>3979</v>
      </c>
      <c r="N128" s="32" t="s">
        <v>3975</v>
      </c>
      <c r="O128" s="926" t="s">
        <v>3974</v>
      </c>
      <c r="P128" s="926"/>
      <c r="Q128" s="926" t="s">
        <v>4503</v>
      </c>
      <c r="R128" s="926" t="s">
        <v>4503</v>
      </c>
      <c r="S128" s="930" t="s">
        <v>3978</v>
      </c>
      <c r="T128" s="926" t="s">
        <v>3974</v>
      </c>
      <c r="U128" s="926" t="s">
        <v>3974</v>
      </c>
      <c r="V128" s="926" t="s">
        <v>3974</v>
      </c>
      <c r="W128" s="926" t="s">
        <v>3974</v>
      </c>
      <c r="X128" s="979" t="s">
        <v>3979</v>
      </c>
      <c r="Y128" s="888" t="s">
        <v>3980</v>
      </c>
      <c r="Z128" s="980" t="s">
        <v>4511</v>
      </c>
      <c r="AA128" s="948" t="s">
        <v>4483</v>
      </c>
      <c r="AB128" s="316"/>
    </row>
    <row r="129" spans="1:28" s="9" customFormat="1" ht="75.75" customHeight="1">
      <c r="A129" s="9" t="s">
        <v>4650</v>
      </c>
      <c r="B129" s="330" t="s">
        <v>4651</v>
      </c>
      <c r="C129" s="983" t="s">
        <v>4514</v>
      </c>
      <c r="D129" s="837" t="s">
        <v>4652</v>
      </c>
      <c r="E129" s="984">
        <v>2</v>
      </c>
      <c r="F129" s="985" t="s">
        <v>4116</v>
      </c>
      <c r="G129" s="326" t="s">
        <v>4516</v>
      </c>
      <c r="H129" s="327" t="s">
        <v>4116</v>
      </c>
      <c r="I129" s="326" t="s">
        <v>4460</v>
      </c>
      <c r="J129" s="328" t="s">
        <v>3972</v>
      </c>
      <c r="K129" s="328" t="s">
        <v>3973</v>
      </c>
      <c r="L129" s="326" t="s">
        <v>4460</v>
      </c>
      <c r="M129" s="329" t="s">
        <v>3979</v>
      </c>
      <c r="N129" s="329" t="s">
        <v>3975</v>
      </c>
      <c r="O129" s="956" t="s">
        <v>3974</v>
      </c>
      <c r="P129" s="956"/>
      <c r="Q129" s="956" t="s">
        <v>4503</v>
      </c>
      <c r="R129" s="956" t="s">
        <v>4503</v>
      </c>
      <c r="S129" s="958" t="s">
        <v>3978</v>
      </c>
      <c r="T129" s="956" t="s">
        <v>3974</v>
      </c>
      <c r="U129" s="956" t="s">
        <v>3974</v>
      </c>
      <c r="V129" s="956" t="s">
        <v>3974</v>
      </c>
      <c r="W129" s="956" t="s">
        <v>3974</v>
      </c>
      <c r="X129" s="981" t="s">
        <v>3979</v>
      </c>
      <c r="Y129" s="950" t="s">
        <v>3980</v>
      </c>
      <c r="Z129" s="982" t="s">
        <v>4517</v>
      </c>
      <c r="AA129" s="953" t="s">
        <v>4483</v>
      </c>
      <c r="AB129" s="317"/>
    </row>
    <row r="130" spans="1:28" s="9" customFormat="1" ht="75.75" customHeight="1">
      <c r="A130" s="9" t="s">
        <v>2657</v>
      </c>
      <c r="B130" s="330" t="s">
        <v>4653</v>
      </c>
      <c r="C130" s="983" t="s">
        <v>4519</v>
      </c>
      <c r="D130" s="837" t="s">
        <v>4654</v>
      </c>
      <c r="E130" s="984">
        <v>2</v>
      </c>
      <c r="F130" s="985" t="s">
        <v>4116</v>
      </c>
      <c r="G130" s="334" t="s">
        <v>4521</v>
      </c>
      <c r="H130" s="335" t="s">
        <v>4116</v>
      </c>
      <c r="I130" s="334" t="s">
        <v>4460</v>
      </c>
      <c r="J130" s="336" t="s">
        <v>3972</v>
      </c>
      <c r="K130" s="336" t="s">
        <v>3973</v>
      </c>
      <c r="L130" s="334" t="s">
        <v>4460</v>
      </c>
      <c r="M130" s="337" t="s">
        <v>3979</v>
      </c>
      <c r="N130" s="329" t="s">
        <v>3975</v>
      </c>
      <c r="O130" s="956" t="s">
        <v>3974</v>
      </c>
      <c r="P130" s="335"/>
      <c r="Q130" s="338">
        <v>1</v>
      </c>
      <c r="R130" s="338">
        <v>1</v>
      </c>
      <c r="S130" s="958" t="s">
        <v>3978</v>
      </c>
      <c r="T130" s="956" t="s">
        <v>3974</v>
      </c>
      <c r="U130" s="956" t="s">
        <v>3974</v>
      </c>
      <c r="V130" s="956" t="s">
        <v>3974</v>
      </c>
      <c r="W130" s="956" t="s">
        <v>3974</v>
      </c>
      <c r="X130" s="981" t="s">
        <v>3979</v>
      </c>
      <c r="Y130" s="950" t="s">
        <v>3980</v>
      </c>
      <c r="Z130" s="3209" t="s">
        <v>4522</v>
      </c>
      <c r="AA130" s="953" t="s">
        <v>4483</v>
      </c>
      <c r="AB130" s="317"/>
    </row>
    <row r="131" spans="1:28" s="9" customFormat="1" ht="75.75" customHeight="1">
      <c r="A131" s="9" t="s">
        <v>2660</v>
      </c>
      <c r="B131" s="330" t="s">
        <v>4655</v>
      </c>
      <c r="C131" s="983" t="s">
        <v>4524</v>
      </c>
      <c r="D131" s="837" t="s">
        <v>4656</v>
      </c>
      <c r="E131" s="984">
        <v>2</v>
      </c>
      <c r="F131" s="985" t="s">
        <v>4116</v>
      </c>
      <c r="G131" s="986" t="s">
        <v>4526</v>
      </c>
      <c r="H131" s="956" t="s">
        <v>4116</v>
      </c>
      <c r="I131" s="986" t="s">
        <v>4459</v>
      </c>
      <c r="J131" s="970" t="s">
        <v>3972</v>
      </c>
      <c r="K131" s="970" t="s">
        <v>3973</v>
      </c>
      <c r="L131" s="986" t="s">
        <v>4460</v>
      </c>
      <c r="M131" s="950" t="s">
        <v>3979</v>
      </c>
      <c r="N131" s="329" t="s">
        <v>3975</v>
      </c>
      <c r="O131" s="956" t="s">
        <v>3974</v>
      </c>
      <c r="P131" s="956"/>
      <c r="Q131" s="957">
        <v>1</v>
      </c>
      <c r="R131" s="957">
        <v>1</v>
      </c>
      <c r="S131" s="958" t="s">
        <v>3978</v>
      </c>
      <c r="T131" s="956" t="s">
        <v>3974</v>
      </c>
      <c r="U131" s="956" t="s">
        <v>3974</v>
      </c>
      <c r="V131" s="956" t="s">
        <v>3974</v>
      </c>
      <c r="W131" s="956" t="s">
        <v>3974</v>
      </c>
      <c r="X131" s="981" t="s">
        <v>3979</v>
      </c>
      <c r="Y131" s="950" t="s">
        <v>3980</v>
      </c>
      <c r="Z131" s="3210" t="s">
        <v>4522</v>
      </c>
      <c r="AA131" s="953" t="s">
        <v>4483</v>
      </c>
      <c r="AB131" s="317"/>
    </row>
    <row r="132" spans="1:28" s="9" customFormat="1" ht="75.75" customHeight="1">
      <c r="A132" s="9" t="s">
        <v>2663</v>
      </c>
      <c r="B132" s="330" t="s">
        <v>4657</v>
      </c>
      <c r="C132" s="983" t="s">
        <v>4528</v>
      </c>
      <c r="D132" s="837" t="s">
        <v>4658</v>
      </c>
      <c r="E132" s="984">
        <v>2</v>
      </c>
      <c r="F132" s="985" t="s">
        <v>4116</v>
      </c>
      <c r="G132" s="986" t="s">
        <v>4530</v>
      </c>
      <c r="H132" s="956" t="s">
        <v>4116</v>
      </c>
      <c r="I132" s="986" t="s">
        <v>4459</v>
      </c>
      <c r="J132" s="970" t="s">
        <v>3972</v>
      </c>
      <c r="K132" s="970" t="s">
        <v>3973</v>
      </c>
      <c r="L132" s="986" t="s">
        <v>4460</v>
      </c>
      <c r="M132" s="950" t="s">
        <v>3979</v>
      </c>
      <c r="N132" s="329" t="s">
        <v>3975</v>
      </c>
      <c r="O132" s="956" t="s">
        <v>3974</v>
      </c>
      <c r="P132" s="956"/>
      <c r="Q132" s="957">
        <v>1</v>
      </c>
      <c r="R132" s="957">
        <v>1</v>
      </c>
      <c r="S132" s="958" t="s">
        <v>3978</v>
      </c>
      <c r="T132" s="956" t="s">
        <v>3974</v>
      </c>
      <c r="U132" s="956" t="s">
        <v>3974</v>
      </c>
      <c r="V132" s="956" t="s">
        <v>3974</v>
      </c>
      <c r="W132" s="956" t="s">
        <v>3974</v>
      </c>
      <c r="X132" s="981" t="s">
        <v>3979</v>
      </c>
      <c r="Y132" s="950" t="s">
        <v>3980</v>
      </c>
      <c r="Z132" s="3211" t="s">
        <v>4522</v>
      </c>
      <c r="AA132" s="953" t="s">
        <v>4483</v>
      </c>
      <c r="AB132" s="317"/>
    </row>
    <row r="133" spans="1:28" s="9" customFormat="1" ht="75.75" customHeight="1">
      <c r="A133" s="9" t="s">
        <v>2666</v>
      </c>
      <c r="B133" s="330" t="s">
        <v>4659</v>
      </c>
      <c r="C133" s="987" t="s">
        <v>4532</v>
      </c>
      <c r="D133" s="837" t="s">
        <v>4660</v>
      </c>
      <c r="E133" s="984">
        <v>2</v>
      </c>
      <c r="F133" s="985" t="s">
        <v>4457</v>
      </c>
      <c r="G133" s="988" t="s">
        <v>4534</v>
      </c>
      <c r="H133" s="956" t="s">
        <v>4457</v>
      </c>
      <c r="I133" s="988" t="s">
        <v>4460</v>
      </c>
      <c r="J133" s="970" t="s">
        <v>3972</v>
      </c>
      <c r="K133" s="970" t="s">
        <v>3973</v>
      </c>
      <c r="L133" s="988" t="s">
        <v>4460</v>
      </c>
      <c r="M133" s="989" t="s">
        <v>3974</v>
      </c>
      <c r="N133" s="989" t="s">
        <v>3974</v>
      </c>
      <c r="O133" s="956" t="s">
        <v>3974</v>
      </c>
      <c r="P133" s="956"/>
      <c r="Q133" s="957">
        <v>1</v>
      </c>
      <c r="R133" s="957">
        <v>1</v>
      </c>
      <c r="S133" s="958" t="s">
        <v>3978</v>
      </c>
      <c r="T133" s="956" t="s">
        <v>3974</v>
      </c>
      <c r="U133" s="956" t="s">
        <v>3974</v>
      </c>
      <c r="V133" s="956" t="s">
        <v>3974</v>
      </c>
      <c r="W133" s="956" t="s">
        <v>3974</v>
      </c>
      <c r="X133" s="981" t="s">
        <v>3979</v>
      </c>
      <c r="Y133" s="950" t="s">
        <v>3980</v>
      </c>
      <c r="Z133" s="982" t="s">
        <v>4535</v>
      </c>
      <c r="AA133" s="986" t="s">
        <v>4460</v>
      </c>
      <c r="AB133" s="317"/>
    </row>
    <row r="134" spans="1:28" ht="81.75" customHeight="1">
      <c r="A134" s="254" t="s">
        <v>2669</v>
      </c>
      <c r="B134" s="12" t="s">
        <v>2670</v>
      </c>
      <c r="C134" s="990" t="s">
        <v>4536</v>
      </c>
      <c r="D134" s="750" t="s">
        <v>4661</v>
      </c>
      <c r="E134" s="925">
        <v>2</v>
      </c>
      <c r="F134" s="942" t="s">
        <v>4539</v>
      </c>
      <c r="G134" s="991" t="s">
        <v>4538</v>
      </c>
      <c r="H134" s="926" t="s">
        <v>4539</v>
      </c>
      <c r="I134" s="397" t="s">
        <v>4540</v>
      </c>
      <c r="J134" s="939" t="s">
        <v>3972</v>
      </c>
      <c r="K134" s="939" t="s">
        <v>3973</v>
      </c>
      <c r="L134" s="398" t="s">
        <v>4540</v>
      </c>
      <c r="M134" s="888" t="s">
        <v>3979</v>
      </c>
      <c r="N134" s="888" t="s">
        <v>3979</v>
      </c>
      <c r="O134" s="926" t="s">
        <v>3974</v>
      </c>
      <c r="P134" s="926"/>
      <c r="Q134" s="932">
        <v>1</v>
      </c>
      <c r="R134" s="932">
        <v>1</v>
      </c>
      <c r="S134" s="930" t="s">
        <v>3978</v>
      </c>
      <c r="T134" s="926" t="s">
        <v>3974</v>
      </c>
      <c r="U134" s="926" t="s">
        <v>3974</v>
      </c>
      <c r="V134" s="926" t="s">
        <v>3974</v>
      </c>
      <c r="W134" s="926" t="s">
        <v>3974</v>
      </c>
      <c r="X134" s="979" t="s">
        <v>3979</v>
      </c>
      <c r="Y134" s="888" t="s">
        <v>3980</v>
      </c>
      <c r="Z134" s="3212" t="s">
        <v>4541</v>
      </c>
      <c r="AA134" s="3213" t="s">
        <v>4542</v>
      </c>
      <c r="AB134" s="316"/>
    </row>
    <row r="135" spans="1:28" ht="81.75" customHeight="1">
      <c r="A135" s="254" t="s">
        <v>2672</v>
      </c>
      <c r="B135" s="12" t="s">
        <v>2673</v>
      </c>
      <c r="C135" s="990" t="s">
        <v>4543</v>
      </c>
      <c r="D135" s="750" t="s">
        <v>4662</v>
      </c>
      <c r="E135" s="925">
        <v>2</v>
      </c>
      <c r="F135" s="942" t="s">
        <v>4116</v>
      </c>
      <c r="G135" s="991" t="s">
        <v>4545</v>
      </c>
      <c r="H135" s="926" t="s">
        <v>4116</v>
      </c>
      <c r="I135" s="397" t="s">
        <v>4540</v>
      </c>
      <c r="J135" s="939" t="s">
        <v>3972</v>
      </c>
      <c r="K135" s="939" t="s">
        <v>3973</v>
      </c>
      <c r="L135" s="398" t="s">
        <v>4540</v>
      </c>
      <c r="M135" s="888" t="s">
        <v>3979</v>
      </c>
      <c r="N135" s="32" t="s">
        <v>3975</v>
      </c>
      <c r="O135" s="926" t="s">
        <v>3974</v>
      </c>
      <c r="P135" s="926"/>
      <c r="Q135" s="932">
        <v>1</v>
      </c>
      <c r="R135" s="932">
        <v>1</v>
      </c>
      <c r="S135" s="930" t="s">
        <v>3978</v>
      </c>
      <c r="T135" s="926" t="s">
        <v>3974</v>
      </c>
      <c r="U135" s="926" t="s">
        <v>3974</v>
      </c>
      <c r="V135" s="926" t="s">
        <v>3974</v>
      </c>
      <c r="W135" s="926" t="s">
        <v>3974</v>
      </c>
      <c r="X135" s="979" t="s">
        <v>3979</v>
      </c>
      <c r="Y135" s="888" t="s">
        <v>3980</v>
      </c>
      <c r="Z135" s="3214" t="s">
        <v>4546</v>
      </c>
      <c r="AA135" s="3215" t="s">
        <v>4547</v>
      </c>
      <c r="AB135" s="316"/>
    </row>
    <row r="136" spans="1:28" ht="122.25" customHeight="1">
      <c r="A136" s="254" t="s">
        <v>2675</v>
      </c>
      <c r="B136" s="12" t="s">
        <v>2676</v>
      </c>
      <c r="C136" s="992" t="s">
        <v>4548</v>
      </c>
      <c r="D136" s="750" t="s">
        <v>4663</v>
      </c>
      <c r="E136" s="925">
        <v>2</v>
      </c>
      <c r="F136" s="942" t="s">
        <v>4457</v>
      </c>
      <c r="G136" s="397" t="s">
        <v>4550</v>
      </c>
      <c r="H136" s="926" t="s">
        <v>4457</v>
      </c>
      <c r="I136" s="397" t="s">
        <v>4459</v>
      </c>
      <c r="J136" s="939" t="s">
        <v>3972</v>
      </c>
      <c r="K136" s="939" t="s">
        <v>3973</v>
      </c>
      <c r="L136" s="398" t="s">
        <v>4459</v>
      </c>
      <c r="M136" s="993" t="s">
        <v>3974</v>
      </c>
      <c r="N136" s="993" t="s">
        <v>3974</v>
      </c>
      <c r="O136" s="926" t="s">
        <v>3974</v>
      </c>
      <c r="P136" s="926"/>
      <c r="Q136" s="932">
        <v>1</v>
      </c>
      <c r="R136" s="932">
        <v>1</v>
      </c>
      <c r="S136" s="930" t="s">
        <v>3978</v>
      </c>
      <c r="T136" s="926" t="s">
        <v>3974</v>
      </c>
      <c r="U136" s="926" t="s">
        <v>3974</v>
      </c>
      <c r="V136" s="926" t="s">
        <v>3974</v>
      </c>
      <c r="W136" s="926" t="s">
        <v>3974</v>
      </c>
      <c r="X136" s="979" t="s">
        <v>3979</v>
      </c>
      <c r="Y136" s="888" t="s">
        <v>3980</v>
      </c>
      <c r="Z136" s="3216" t="s">
        <v>4551</v>
      </c>
      <c r="AA136" s="3217" t="s">
        <v>4552</v>
      </c>
      <c r="AB136" s="316"/>
    </row>
    <row r="137" spans="1:28" ht="75.75" customHeight="1">
      <c r="A137" s="254" t="s">
        <v>2678</v>
      </c>
      <c r="B137" s="12" t="s">
        <v>2679</v>
      </c>
      <c r="C137" s="990" t="s">
        <v>4553</v>
      </c>
      <c r="D137" s="750" t="s">
        <v>4664</v>
      </c>
      <c r="E137" s="925">
        <v>2</v>
      </c>
      <c r="F137" s="942" t="s">
        <v>4457</v>
      </c>
      <c r="G137" s="210" t="s">
        <v>4555</v>
      </c>
      <c r="H137" s="926" t="s">
        <v>4457</v>
      </c>
      <c r="I137" s="210" t="s">
        <v>4459</v>
      </c>
      <c r="J137" s="939" t="s">
        <v>3972</v>
      </c>
      <c r="K137" s="939" t="s">
        <v>3973</v>
      </c>
      <c r="L137" s="399" t="s">
        <v>4459</v>
      </c>
      <c r="M137" s="993" t="s">
        <v>3974</v>
      </c>
      <c r="N137" s="993" t="s">
        <v>3974</v>
      </c>
      <c r="O137" s="926" t="s">
        <v>3974</v>
      </c>
      <c r="P137" s="926"/>
      <c r="Q137" s="932">
        <v>1</v>
      </c>
      <c r="R137" s="932">
        <v>1</v>
      </c>
      <c r="S137" s="930" t="s">
        <v>3978</v>
      </c>
      <c r="T137" s="926" t="s">
        <v>3974</v>
      </c>
      <c r="U137" s="926" t="s">
        <v>3974</v>
      </c>
      <c r="V137" s="926" t="s">
        <v>3974</v>
      </c>
      <c r="W137" s="926" t="s">
        <v>3974</v>
      </c>
      <c r="X137" s="979" t="s">
        <v>3979</v>
      </c>
      <c r="Y137" s="888" t="s">
        <v>3980</v>
      </c>
      <c r="Z137" s="3218" t="s">
        <v>4556</v>
      </c>
      <c r="AA137" s="3219" t="s">
        <v>4557</v>
      </c>
      <c r="AB137" s="316"/>
    </row>
    <row r="138" spans="1:28" ht="75.75" customHeight="1">
      <c r="A138" s="254" t="s">
        <v>2681</v>
      </c>
      <c r="B138" s="12" t="s">
        <v>2682</v>
      </c>
      <c r="C138" s="990" t="s">
        <v>4559</v>
      </c>
      <c r="D138" s="750" t="s">
        <v>4665</v>
      </c>
      <c r="E138" s="925">
        <v>2</v>
      </c>
      <c r="F138" s="942" t="s">
        <v>4457</v>
      </c>
      <c r="G138" s="210" t="s">
        <v>4561</v>
      </c>
      <c r="H138" s="926" t="s">
        <v>4457</v>
      </c>
      <c r="I138" s="397" t="s">
        <v>4459</v>
      </c>
      <c r="J138" s="939" t="s">
        <v>3972</v>
      </c>
      <c r="K138" s="939" t="s">
        <v>3973</v>
      </c>
      <c r="L138" s="398" t="s">
        <v>4459</v>
      </c>
      <c r="M138" s="993" t="s">
        <v>3974</v>
      </c>
      <c r="N138" s="993" t="s">
        <v>3974</v>
      </c>
      <c r="O138" s="926" t="s">
        <v>3974</v>
      </c>
      <c r="P138" s="926"/>
      <c r="Q138" s="932">
        <v>1</v>
      </c>
      <c r="R138" s="932">
        <v>1</v>
      </c>
      <c r="S138" s="930" t="s">
        <v>3978</v>
      </c>
      <c r="T138" s="926" t="s">
        <v>3974</v>
      </c>
      <c r="U138" s="926" t="s">
        <v>3974</v>
      </c>
      <c r="V138" s="926" t="s">
        <v>3974</v>
      </c>
      <c r="W138" s="926" t="s">
        <v>3974</v>
      </c>
      <c r="X138" s="979" t="s">
        <v>3979</v>
      </c>
      <c r="Y138" s="888" t="s">
        <v>3980</v>
      </c>
      <c r="Z138" s="3220" t="s">
        <v>4562</v>
      </c>
      <c r="AA138" s="3221" t="s">
        <v>4563</v>
      </c>
      <c r="AB138" s="316"/>
    </row>
    <row r="139" spans="1:28" ht="75.75" customHeight="1">
      <c r="A139" s="254" t="s">
        <v>2684</v>
      </c>
      <c r="B139" s="12" t="s">
        <v>2685</v>
      </c>
      <c r="C139" s="990" t="s">
        <v>4564</v>
      </c>
      <c r="D139" s="750" t="s">
        <v>4666</v>
      </c>
      <c r="E139" s="925">
        <v>2</v>
      </c>
      <c r="F139" s="942" t="s">
        <v>4116</v>
      </c>
      <c r="G139" s="397" t="s">
        <v>4566</v>
      </c>
      <c r="H139" s="926" t="s">
        <v>4116</v>
      </c>
      <c r="I139" s="397" t="s">
        <v>4567</v>
      </c>
      <c r="J139" s="939" t="s">
        <v>3972</v>
      </c>
      <c r="K139" s="939" t="s">
        <v>3973</v>
      </c>
      <c r="L139" s="398" t="s">
        <v>4567</v>
      </c>
      <c r="M139" s="993" t="s">
        <v>3974</v>
      </c>
      <c r="N139" s="993" t="s">
        <v>3974</v>
      </c>
      <c r="O139" s="926" t="s">
        <v>3974</v>
      </c>
      <c r="P139" s="926"/>
      <c r="Q139" s="932">
        <v>1</v>
      </c>
      <c r="R139" s="932">
        <v>1</v>
      </c>
      <c r="S139" s="930" t="s">
        <v>3978</v>
      </c>
      <c r="T139" s="926" t="s">
        <v>3974</v>
      </c>
      <c r="U139" s="926" t="s">
        <v>3974</v>
      </c>
      <c r="V139" s="926" t="s">
        <v>3974</v>
      </c>
      <c r="W139" s="926" t="s">
        <v>3974</v>
      </c>
      <c r="X139" s="979" t="s">
        <v>3979</v>
      </c>
      <c r="Y139" s="888" t="s">
        <v>3980</v>
      </c>
      <c r="Z139" s="3222" t="s">
        <v>4568</v>
      </c>
      <c r="AA139" s="398" t="s">
        <v>4569</v>
      </c>
      <c r="AB139" s="316"/>
    </row>
    <row r="140" spans="1:28" ht="75.75" customHeight="1">
      <c r="A140" s="254" t="s">
        <v>2687</v>
      </c>
      <c r="B140" s="12" t="s">
        <v>2688</v>
      </c>
      <c r="C140" s="990" t="s">
        <v>4570</v>
      </c>
      <c r="D140" s="750" t="s">
        <v>4667</v>
      </c>
      <c r="E140" s="925">
        <v>2</v>
      </c>
      <c r="F140" s="942" t="s">
        <v>4116</v>
      </c>
      <c r="G140" s="397" t="s">
        <v>4572</v>
      </c>
      <c r="H140" s="926" t="s">
        <v>4116</v>
      </c>
      <c r="I140" s="397" t="s">
        <v>4459</v>
      </c>
      <c r="J140" s="939" t="s">
        <v>3972</v>
      </c>
      <c r="K140" s="939" t="s">
        <v>3973</v>
      </c>
      <c r="L140" s="398" t="s">
        <v>4459</v>
      </c>
      <c r="M140" s="993" t="s">
        <v>3974</v>
      </c>
      <c r="N140" s="993" t="s">
        <v>3974</v>
      </c>
      <c r="O140" s="926" t="s">
        <v>3974</v>
      </c>
      <c r="P140" s="926"/>
      <c r="Q140" s="932">
        <v>1</v>
      </c>
      <c r="R140" s="932">
        <v>1</v>
      </c>
      <c r="S140" s="930" t="s">
        <v>3978</v>
      </c>
      <c r="T140" s="926" t="s">
        <v>3974</v>
      </c>
      <c r="U140" s="926" t="s">
        <v>3974</v>
      </c>
      <c r="V140" s="926" t="s">
        <v>3974</v>
      </c>
      <c r="W140" s="926" t="s">
        <v>3974</v>
      </c>
      <c r="X140" s="979" t="s">
        <v>3979</v>
      </c>
      <c r="Y140" s="888" t="s">
        <v>3980</v>
      </c>
      <c r="Z140" s="3223" t="s">
        <v>4568</v>
      </c>
      <c r="AA140" s="398" t="s">
        <v>4569</v>
      </c>
      <c r="AB140" s="316"/>
    </row>
    <row r="141" spans="1:28" ht="108.75" customHeight="1">
      <c r="A141" s="254" t="s">
        <v>2690</v>
      </c>
      <c r="B141" s="12" t="s">
        <v>2691</v>
      </c>
      <c r="C141" s="990" t="s">
        <v>4573</v>
      </c>
      <c r="D141" s="750" t="s">
        <v>4668</v>
      </c>
      <c r="E141" s="925">
        <v>2</v>
      </c>
      <c r="F141" s="960" t="s">
        <v>4002</v>
      </c>
      <c r="G141" s="210" t="s">
        <v>4575</v>
      </c>
      <c r="H141" s="960" t="s">
        <v>4002</v>
      </c>
      <c r="I141" s="397" t="s">
        <v>4576</v>
      </c>
      <c r="J141" s="939" t="s">
        <v>3972</v>
      </c>
      <c r="K141" s="939" t="s">
        <v>3973</v>
      </c>
      <c r="L141" s="398" t="s">
        <v>4576</v>
      </c>
      <c r="M141" s="993" t="s">
        <v>3974</v>
      </c>
      <c r="N141" s="993" t="s">
        <v>3974</v>
      </c>
      <c r="O141" s="926" t="s">
        <v>3974</v>
      </c>
      <c r="P141" s="926"/>
      <c r="Q141" s="932">
        <v>1</v>
      </c>
      <c r="R141" s="932">
        <v>1</v>
      </c>
      <c r="S141" s="930" t="s">
        <v>3978</v>
      </c>
      <c r="T141" s="926" t="s">
        <v>3974</v>
      </c>
      <c r="U141" s="926" t="s">
        <v>3974</v>
      </c>
      <c r="V141" s="926" t="s">
        <v>3974</v>
      </c>
      <c r="W141" s="926" t="s">
        <v>3974</v>
      </c>
      <c r="X141" s="979" t="s">
        <v>3979</v>
      </c>
      <c r="Y141" s="888" t="s">
        <v>3980</v>
      </c>
      <c r="Z141" s="3224" t="s">
        <v>4577</v>
      </c>
      <c r="AA141" s="3225" t="s">
        <v>4578</v>
      </c>
      <c r="AB141" s="316"/>
    </row>
    <row r="142" spans="1:28" ht="81.75" customHeight="1">
      <c r="A142" s="254" t="s">
        <v>2693</v>
      </c>
      <c r="B142" s="12" t="s">
        <v>2694</v>
      </c>
      <c r="C142" s="990" t="s">
        <v>4579</v>
      </c>
      <c r="D142" s="750" t="s">
        <v>4669</v>
      </c>
      <c r="E142" s="925">
        <v>2</v>
      </c>
      <c r="F142" s="942" t="s">
        <v>4116</v>
      </c>
      <c r="G142" s="1410" t="s">
        <v>4670</v>
      </c>
      <c r="H142" s="926" t="s">
        <v>4116</v>
      </c>
      <c r="I142" s="210" t="s">
        <v>4582</v>
      </c>
      <c r="J142" s="939" t="s">
        <v>3972</v>
      </c>
      <c r="K142" s="939" t="s">
        <v>3973</v>
      </c>
      <c r="L142" s="399" t="s">
        <v>4582</v>
      </c>
      <c r="M142" s="993" t="s">
        <v>3974</v>
      </c>
      <c r="N142" s="993" t="s">
        <v>3974</v>
      </c>
      <c r="O142" s="926" t="s">
        <v>3974</v>
      </c>
      <c r="P142" s="926"/>
      <c r="Q142" s="932">
        <v>1</v>
      </c>
      <c r="R142" s="932">
        <v>1</v>
      </c>
      <c r="S142" s="930" t="s">
        <v>3978</v>
      </c>
      <c r="T142" s="926" t="s">
        <v>3974</v>
      </c>
      <c r="U142" s="926" t="s">
        <v>3974</v>
      </c>
      <c r="V142" s="926" t="s">
        <v>3974</v>
      </c>
      <c r="W142" s="926" t="s">
        <v>3974</v>
      </c>
      <c r="X142" s="979" t="s">
        <v>3979</v>
      </c>
      <c r="Y142" s="888" t="s">
        <v>3980</v>
      </c>
      <c r="Z142" s="3226" t="s">
        <v>4583</v>
      </c>
      <c r="AA142" s="3227" t="s">
        <v>4584</v>
      </c>
      <c r="AB142" s="316"/>
    </row>
    <row r="143" spans="1:28" ht="108.75" customHeight="1">
      <c r="A143" s="254" t="s">
        <v>2696</v>
      </c>
      <c r="B143" s="12" t="s">
        <v>2697</v>
      </c>
      <c r="C143" s="990" t="s">
        <v>4585</v>
      </c>
      <c r="D143" s="750" t="s">
        <v>4671</v>
      </c>
      <c r="E143" s="925">
        <v>0</v>
      </c>
      <c r="F143" s="942" t="s">
        <v>4116</v>
      </c>
      <c r="G143" s="1411" t="s">
        <v>4672</v>
      </c>
      <c r="H143" s="926" t="s">
        <v>4116</v>
      </c>
      <c r="I143" s="397" t="s">
        <v>4588</v>
      </c>
      <c r="J143" s="939" t="s">
        <v>3972</v>
      </c>
      <c r="K143" s="939" t="s">
        <v>3973</v>
      </c>
      <c r="L143" s="398" t="s">
        <v>4588</v>
      </c>
      <c r="M143" s="993" t="s">
        <v>3974</v>
      </c>
      <c r="N143" s="993" t="s">
        <v>3974</v>
      </c>
      <c r="O143" s="926" t="s">
        <v>3974</v>
      </c>
      <c r="P143" s="926"/>
      <c r="Q143" s="888" t="s">
        <v>3974</v>
      </c>
      <c r="R143" s="888" t="s">
        <v>3974</v>
      </c>
      <c r="S143" s="930" t="s">
        <v>3974</v>
      </c>
      <c r="T143" s="926" t="s">
        <v>3974</v>
      </c>
      <c r="U143" s="926" t="s">
        <v>3974</v>
      </c>
      <c r="V143" s="926" t="s">
        <v>3974</v>
      </c>
      <c r="W143" s="926" t="s">
        <v>3974</v>
      </c>
      <c r="X143" s="979" t="s">
        <v>3979</v>
      </c>
      <c r="Y143" s="888" t="s">
        <v>3980</v>
      </c>
      <c r="Z143" s="3228" t="s">
        <v>4589</v>
      </c>
      <c r="AA143" s="3229" t="s">
        <v>4590</v>
      </c>
      <c r="AB143" s="316"/>
    </row>
    <row r="144" spans="1:28" ht="75.75" customHeight="1">
      <c r="A144" s="254" t="s">
        <v>2699</v>
      </c>
      <c r="B144" s="3230" t="s">
        <v>2700</v>
      </c>
      <c r="C144" s="990" t="s">
        <v>4592</v>
      </c>
      <c r="D144" s="750" t="s">
        <v>4673</v>
      </c>
      <c r="E144" s="925">
        <v>2</v>
      </c>
      <c r="F144" s="942" t="s">
        <v>4116</v>
      </c>
      <c r="G144" s="397" t="s">
        <v>4594</v>
      </c>
      <c r="H144" s="926" t="s">
        <v>4116</v>
      </c>
      <c r="I144" s="397" t="s">
        <v>4459</v>
      </c>
      <c r="J144" s="939" t="s">
        <v>3972</v>
      </c>
      <c r="K144" s="939" t="s">
        <v>3973</v>
      </c>
      <c r="L144" s="398" t="s">
        <v>4459</v>
      </c>
      <c r="M144" s="993" t="s">
        <v>3974</v>
      </c>
      <c r="N144" s="993" t="s">
        <v>3974</v>
      </c>
      <c r="O144" s="926" t="s">
        <v>3974</v>
      </c>
      <c r="P144" s="926"/>
      <c r="Q144" s="932">
        <v>1</v>
      </c>
      <c r="R144" s="932">
        <v>1</v>
      </c>
      <c r="S144" s="930" t="s">
        <v>4595</v>
      </c>
      <c r="T144" s="926" t="s">
        <v>3974</v>
      </c>
      <c r="U144" s="926" t="s">
        <v>3974</v>
      </c>
      <c r="V144" s="926" t="s">
        <v>3974</v>
      </c>
      <c r="W144" s="926" t="s">
        <v>3974</v>
      </c>
      <c r="X144" s="979" t="s">
        <v>3979</v>
      </c>
      <c r="Y144" s="888" t="s">
        <v>3980</v>
      </c>
      <c r="Z144" s="3231" t="s">
        <v>4596</v>
      </c>
      <c r="AA144" s="3232" t="s">
        <v>4597</v>
      </c>
      <c r="AB144" s="316"/>
    </row>
    <row r="145" spans="1:28" s="9" customFormat="1" ht="81.75" customHeight="1">
      <c r="A145" s="9" t="s">
        <v>4674</v>
      </c>
      <c r="B145" s="330" t="s">
        <v>4675</v>
      </c>
      <c r="C145" s="983" t="s">
        <v>4600</v>
      </c>
      <c r="D145" s="837" t="s">
        <v>4676</v>
      </c>
      <c r="E145" s="984">
        <v>2</v>
      </c>
      <c r="F145" s="985" t="s">
        <v>4116</v>
      </c>
      <c r="G145" s="986" t="s">
        <v>4602</v>
      </c>
      <c r="H145" s="956" t="s">
        <v>4116</v>
      </c>
      <c r="I145" s="986" t="s">
        <v>4603</v>
      </c>
      <c r="J145" s="970" t="s">
        <v>3972</v>
      </c>
      <c r="K145" s="970" t="s">
        <v>3973</v>
      </c>
      <c r="L145" s="986" t="s">
        <v>4603</v>
      </c>
      <c r="M145" s="989" t="s">
        <v>3974</v>
      </c>
      <c r="N145" s="989" t="s">
        <v>3974</v>
      </c>
      <c r="O145" s="956" t="s">
        <v>3974</v>
      </c>
      <c r="P145" s="956"/>
      <c r="Q145" s="957">
        <v>1</v>
      </c>
      <c r="R145" s="957">
        <v>1</v>
      </c>
      <c r="S145" s="958" t="s">
        <v>4595</v>
      </c>
      <c r="T145" s="956" t="s">
        <v>3974</v>
      </c>
      <c r="U145" s="956" t="s">
        <v>3974</v>
      </c>
      <c r="V145" s="956" t="s">
        <v>3974</v>
      </c>
      <c r="W145" s="956" t="s">
        <v>3974</v>
      </c>
      <c r="X145" s="981" t="s">
        <v>3979</v>
      </c>
      <c r="Y145" s="950" t="s">
        <v>3980</v>
      </c>
      <c r="Z145" s="982" t="s">
        <v>4490</v>
      </c>
      <c r="AA145" s="986" t="s">
        <v>4460</v>
      </c>
      <c r="AB145" s="317"/>
    </row>
    <row r="146" spans="1:28" ht="75.75" customHeight="1">
      <c r="A146" s="254" t="s">
        <v>2705</v>
      </c>
      <c r="B146" s="12" t="s">
        <v>2706</v>
      </c>
      <c r="C146" s="990" t="s">
        <v>4604</v>
      </c>
      <c r="D146" s="750" t="s">
        <v>4677</v>
      </c>
      <c r="E146" s="925">
        <v>2</v>
      </c>
      <c r="F146" s="942" t="s">
        <v>4457</v>
      </c>
      <c r="G146" s="397" t="s">
        <v>4606</v>
      </c>
      <c r="H146" s="926" t="s">
        <v>4457</v>
      </c>
      <c r="I146" s="397" t="s">
        <v>4607</v>
      </c>
      <c r="J146" s="939" t="s">
        <v>3972</v>
      </c>
      <c r="K146" s="939" t="s">
        <v>3973</v>
      </c>
      <c r="L146" s="398" t="s">
        <v>4607</v>
      </c>
      <c r="M146" s="993" t="s">
        <v>3974</v>
      </c>
      <c r="N146" s="993" t="s">
        <v>3974</v>
      </c>
      <c r="O146" s="926" t="s">
        <v>3974</v>
      </c>
      <c r="P146" s="926"/>
      <c r="Q146" s="932">
        <v>1</v>
      </c>
      <c r="R146" s="932">
        <v>1</v>
      </c>
      <c r="S146" s="930" t="s">
        <v>3978</v>
      </c>
      <c r="T146" s="926" t="s">
        <v>3974</v>
      </c>
      <c r="U146" s="926" t="s">
        <v>3974</v>
      </c>
      <c r="V146" s="926" t="s">
        <v>3974</v>
      </c>
      <c r="W146" s="926" t="s">
        <v>3974</v>
      </c>
      <c r="X146" s="979" t="s">
        <v>3979</v>
      </c>
      <c r="Y146" s="888" t="s">
        <v>3980</v>
      </c>
      <c r="Z146" s="3233" t="s">
        <v>4678</v>
      </c>
      <c r="AA146" s="3234" t="s">
        <v>4608</v>
      </c>
      <c r="AB146" s="316"/>
    </row>
    <row r="147" spans="1:28" ht="122.25" customHeight="1">
      <c r="A147" s="254" t="s">
        <v>2708</v>
      </c>
      <c r="B147" s="12" t="s">
        <v>2709</v>
      </c>
      <c r="C147" s="990" t="s">
        <v>4609</v>
      </c>
      <c r="D147" s="750" t="s">
        <v>4679</v>
      </c>
      <c r="E147" s="925">
        <v>2</v>
      </c>
      <c r="F147" s="942" t="s">
        <v>4457</v>
      </c>
      <c r="G147" s="397" t="s">
        <v>4611</v>
      </c>
      <c r="H147" s="926" t="s">
        <v>4457</v>
      </c>
      <c r="I147" s="397" t="s">
        <v>4612</v>
      </c>
      <c r="J147" s="939" t="s">
        <v>3972</v>
      </c>
      <c r="K147" s="939" t="s">
        <v>3973</v>
      </c>
      <c r="L147" s="398" t="s">
        <v>4612</v>
      </c>
      <c r="M147" s="993" t="s">
        <v>3974</v>
      </c>
      <c r="N147" s="993" t="s">
        <v>3974</v>
      </c>
      <c r="O147" s="926" t="s">
        <v>3974</v>
      </c>
      <c r="P147" s="926"/>
      <c r="Q147" s="932">
        <v>1</v>
      </c>
      <c r="R147" s="932">
        <v>1</v>
      </c>
      <c r="S147" s="930" t="s">
        <v>3978</v>
      </c>
      <c r="T147" s="926" t="s">
        <v>3974</v>
      </c>
      <c r="U147" s="926" t="s">
        <v>3974</v>
      </c>
      <c r="V147" s="926" t="s">
        <v>3974</v>
      </c>
      <c r="W147" s="926" t="s">
        <v>3974</v>
      </c>
      <c r="X147" s="979" t="s">
        <v>3979</v>
      </c>
      <c r="Y147" s="888" t="s">
        <v>3980</v>
      </c>
      <c r="Z147" s="3235" t="s">
        <v>4680</v>
      </c>
      <c r="AA147" s="3236" t="s">
        <v>4552</v>
      </c>
      <c r="AB147" s="316"/>
    </row>
    <row r="148" spans="1:28" ht="75.75" customHeight="1">
      <c r="A148" s="254" t="s">
        <v>2711</v>
      </c>
      <c r="B148" s="12" t="s">
        <v>2712</v>
      </c>
      <c r="C148" s="990" t="s">
        <v>4613</v>
      </c>
      <c r="D148" s="750" t="s">
        <v>4681</v>
      </c>
      <c r="E148" s="925">
        <v>2</v>
      </c>
      <c r="F148" s="942" t="s">
        <v>4116</v>
      </c>
      <c r="G148" s="210" t="s">
        <v>4615</v>
      </c>
      <c r="H148" s="926" t="s">
        <v>4116</v>
      </c>
      <c r="I148" s="210" t="s">
        <v>4616</v>
      </c>
      <c r="J148" s="939" t="s">
        <v>3972</v>
      </c>
      <c r="K148" s="939" t="s">
        <v>3973</v>
      </c>
      <c r="L148" s="399" t="s">
        <v>4616</v>
      </c>
      <c r="M148" s="993" t="s">
        <v>3974</v>
      </c>
      <c r="N148" s="993" t="s">
        <v>3974</v>
      </c>
      <c r="O148" s="926" t="s">
        <v>3974</v>
      </c>
      <c r="P148" s="926"/>
      <c r="Q148" s="932">
        <v>1</v>
      </c>
      <c r="R148" s="932">
        <v>1</v>
      </c>
      <c r="S148" s="930" t="s">
        <v>3978</v>
      </c>
      <c r="T148" s="926" t="s">
        <v>3974</v>
      </c>
      <c r="U148" s="926" t="s">
        <v>3974</v>
      </c>
      <c r="V148" s="926" t="s">
        <v>3974</v>
      </c>
      <c r="W148" s="926" t="s">
        <v>3974</v>
      </c>
      <c r="X148" s="979" t="s">
        <v>3979</v>
      </c>
      <c r="Y148" s="888" t="s">
        <v>3980</v>
      </c>
      <c r="Z148" s="3237" t="s">
        <v>4682</v>
      </c>
      <c r="AA148" s="3238" t="s">
        <v>4557</v>
      </c>
      <c r="AB148" s="316"/>
    </row>
    <row r="149" spans="1:28" ht="75.75" customHeight="1">
      <c r="A149" s="254" t="s">
        <v>2714</v>
      </c>
      <c r="B149" s="12" t="s">
        <v>2715</v>
      </c>
      <c r="C149" s="990" t="s">
        <v>4617</v>
      </c>
      <c r="D149" s="750" t="s">
        <v>4683</v>
      </c>
      <c r="E149" s="925">
        <v>2</v>
      </c>
      <c r="F149" s="942" t="s">
        <v>4116</v>
      </c>
      <c r="G149" s="210" t="s">
        <v>4619</v>
      </c>
      <c r="H149" s="926" t="s">
        <v>4116</v>
      </c>
      <c r="I149" s="397" t="s">
        <v>4620</v>
      </c>
      <c r="J149" s="939" t="s">
        <v>3972</v>
      </c>
      <c r="K149" s="939" t="s">
        <v>3973</v>
      </c>
      <c r="L149" s="398" t="s">
        <v>4620</v>
      </c>
      <c r="M149" s="993" t="s">
        <v>3974</v>
      </c>
      <c r="N149" s="993" t="s">
        <v>3974</v>
      </c>
      <c r="O149" s="926" t="s">
        <v>3974</v>
      </c>
      <c r="P149" s="926"/>
      <c r="Q149" s="932">
        <v>1</v>
      </c>
      <c r="R149" s="932">
        <v>1</v>
      </c>
      <c r="S149" s="930" t="s">
        <v>3978</v>
      </c>
      <c r="T149" s="926" t="s">
        <v>3974</v>
      </c>
      <c r="U149" s="926" t="s">
        <v>3974</v>
      </c>
      <c r="V149" s="926" t="s">
        <v>3974</v>
      </c>
      <c r="W149" s="926" t="s">
        <v>3974</v>
      </c>
      <c r="X149" s="979" t="s">
        <v>3979</v>
      </c>
      <c r="Y149" s="888" t="s">
        <v>3980</v>
      </c>
      <c r="Z149" s="3239" t="s">
        <v>4684</v>
      </c>
      <c r="AA149" s="3240" t="s">
        <v>4563</v>
      </c>
      <c r="AB149" s="316"/>
    </row>
    <row r="150" spans="1:28" ht="75.75" customHeight="1">
      <c r="A150" s="254" t="s">
        <v>2717</v>
      </c>
      <c r="B150" s="12" t="s">
        <v>2718</v>
      </c>
      <c r="C150" s="992" t="s">
        <v>4621</v>
      </c>
      <c r="D150" s="750" t="s">
        <v>4685</v>
      </c>
      <c r="E150" s="925">
        <v>0</v>
      </c>
      <c r="F150" s="942" t="s">
        <v>4116</v>
      </c>
      <c r="G150" s="210" t="s">
        <v>4623</v>
      </c>
      <c r="H150" s="926" t="s">
        <v>4116</v>
      </c>
      <c r="I150" s="398" t="s">
        <v>4459</v>
      </c>
      <c r="J150" s="939" t="s">
        <v>3972</v>
      </c>
      <c r="K150" s="939" t="s">
        <v>3973</v>
      </c>
      <c r="L150" s="398" t="s">
        <v>4459</v>
      </c>
      <c r="M150" s="926" t="s">
        <v>3974</v>
      </c>
      <c r="N150" s="926" t="s">
        <v>3974</v>
      </c>
      <c r="O150" s="934" t="s">
        <v>3974</v>
      </c>
      <c r="P150" s="934"/>
      <c r="Q150" s="926" t="s">
        <v>3974</v>
      </c>
      <c r="R150" s="926" t="s">
        <v>3974</v>
      </c>
      <c r="S150" s="994" t="s">
        <v>3974</v>
      </c>
      <c r="T150" s="926" t="s">
        <v>3974</v>
      </c>
      <c r="U150" s="926" t="s">
        <v>3974</v>
      </c>
      <c r="V150" s="926" t="s">
        <v>3974</v>
      </c>
      <c r="W150" s="926" t="s">
        <v>3974</v>
      </c>
      <c r="X150" s="926" t="s">
        <v>3974</v>
      </c>
      <c r="Y150" s="926" t="s">
        <v>3974</v>
      </c>
      <c r="Z150" s="402" t="s">
        <v>4624</v>
      </c>
      <c r="AA150" s="399" t="s">
        <v>4625</v>
      </c>
    </row>
    <row r="151" spans="1:28" s="9" customFormat="1" ht="75.75" customHeight="1">
      <c r="A151" s="9" t="s">
        <v>2720</v>
      </c>
      <c r="B151" s="330" t="s">
        <v>4686</v>
      </c>
      <c r="C151" s="983" t="s">
        <v>4627</v>
      </c>
      <c r="D151" s="837" t="s">
        <v>4687</v>
      </c>
      <c r="E151" s="984">
        <v>0</v>
      </c>
      <c r="F151" s="985" t="s">
        <v>4116</v>
      </c>
      <c r="G151" s="986" t="s">
        <v>4629</v>
      </c>
      <c r="H151" s="956" t="s">
        <v>4116</v>
      </c>
      <c r="I151" s="986" t="s">
        <v>4630</v>
      </c>
      <c r="J151" s="970" t="s">
        <v>3972</v>
      </c>
      <c r="K151" s="970" t="s">
        <v>3973</v>
      </c>
      <c r="L151" s="986" t="s">
        <v>4631</v>
      </c>
      <c r="M151" s="956" t="s">
        <v>3974</v>
      </c>
      <c r="N151" s="956" t="s">
        <v>3974</v>
      </c>
      <c r="O151" s="995" t="s">
        <v>3974</v>
      </c>
      <c r="P151" s="995"/>
      <c r="Q151" s="956" t="s">
        <v>3974</v>
      </c>
      <c r="R151" s="956" t="s">
        <v>3974</v>
      </c>
      <c r="S151" s="996" t="s">
        <v>3974</v>
      </c>
      <c r="T151" s="956" t="s">
        <v>3974</v>
      </c>
      <c r="U151" s="956" t="s">
        <v>3974</v>
      </c>
      <c r="V151" s="956" t="s">
        <v>3974</v>
      </c>
      <c r="W151" s="956" t="s">
        <v>3974</v>
      </c>
      <c r="X151" s="956" t="s">
        <v>3974</v>
      </c>
      <c r="Y151" s="956" t="s">
        <v>3974</v>
      </c>
      <c r="Z151" s="3241" t="s">
        <v>4482</v>
      </c>
      <c r="AA151" s="986" t="s">
        <v>4460</v>
      </c>
      <c r="AB151" s="319"/>
    </row>
    <row r="152" spans="1:28" ht="41.45" customHeight="1">
      <c r="A152" s="749" t="s">
        <v>4688</v>
      </c>
      <c r="B152" s="925" t="s">
        <v>4689</v>
      </c>
      <c r="C152" s="1061" t="s">
        <v>4690</v>
      </c>
      <c r="D152" s="750" t="s">
        <v>4691</v>
      </c>
      <c r="E152" s="925">
        <v>1</v>
      </c>
      <c r="F152" s="942" t="s">
        <v>4116</v>
      </c>
      <c r="G152" s="752" t="s">
        <v>4692</v>
      </c>
      <c r="H152" s="926" t="s">
        <v>4116</v>
      </c>
      <c r="I152" s="938" t="s">
        <v>4693</v>
      </c>
      <c r="J152" s="960" t="s">
        <v>3974</v>
      </c>
      <c r="K152" s="960" t="s">
        <v>4179</v>
      </c>
      <c r="L152" s="960"/>
      <c r="M152" s="939" t="s">
        <v>3979</v>
      </c>
      <c r="N152" s="939" t="s">
        <v>3979</v>
      </c>
      <c r="O152" s="926" t="s">
        <v>3974</v>
      </c>
      <c r="P152" s="926"/>
      <c r="Q152" s="940">
        <v>1</v>
      </c>
      <c r="R152" s="940">
        <v>1</v>
      </c>
      <c r="S152" s="941" t="s">
        <v>3974</v>
      </c>
      <c r="T152" s="926" t="s">
        <v>3974</v>
      </c>
      <c r="U152" s="926" t="s">
        <v>3974</v>
      </c>
      <c r="V152" s="926" t="s">
        <v>3974</v>
      </c>
      <c r="W152" s="926" t="s">
        <v>3974</v>
      </c>
      <c r="X152" s="975" t="s">
        <v>3979</v>
      </c>
      <c r="Y152" s="749" t="s">
        <v>3980</v>
      </c>
      <c r="Z152" s="752" t="s">
        <v>4694</v>
      </c>
      <c r="AA152" s="752" t="s">
        <v>4695</v>
      </c>
    </row>
    <row r="153" spans="1:28" ht="41.45" customHeight="1">
      <c r="A153" s="749" t="s">
        <v>4696</v>
      </c>
      <c r="B153" s="925" t="s">
        <v>4697</v>
      </c>
      <c r="C153" s="1061" t="s">
        <v>4698</v>
      </c>
      <c r="D153" s="750" t="s">
        <v>4699</v>
      </c>
      <c r="E153" s="925">
        <v>1</v>
      </c>
      <c r="F153" s="942" t="s">
        <v>4116</v>
      </c>
      <c r="G153" s="752" t="s">
        <v>4700</v>
      </c>
      <c r="H153" s="926" t="s">
        <v>4116</v>
      </c>
      <c r="I153" s="938" t="s">
        <v>4701</v>
      </c>
      <c r="J153" s="960" t="s">
        <v>3974</v>
      </c>
      <c r="K153" s="960" t="s">
        <v>4179</v>
      </c>
      <c r="L153" s="960"/>
      <c r="M153" s="939" t="s">
        <v>3979</v>
      </c>
      <c r="N153" s="939" t="s">
        <v>3979</v>
      </c>
      <c r="O153" s="926" t="s">
        <v>3974</v>
      </c>
      <c r="P153" s="926"/>
      <c r="Q153" s="940">
        <v>1</v>
      </c>
      <c r="R153" s="940">
        <v>1</v>
      </c>
      <c r="S153" s="941" t="s">
        <v>3974</v>
      </c>
      <c r="T153" s="926" t="s">
        <v>3974</v>
      </c>
      <c r="U153" s="926" t="s">
        <v>3974</v>
      </c>
      <c r="V153" s="926" t="s">
        <v>3974</v>
      </c>
      <c r="W153" s="926" t="s">
        <v>3974</v>
      </c>
      <c r="X153" s="975" t="s">
        <v>3979</v>
      </c>
      <c r="Y153" s="749" t="s">
        <v>3980</v>
      </c>
      <c r="Z153" s="752" t="s">
        <v>4694</v>
      </c>
      <c r="AA153" s="752" t="s">
        <v>4702</v>
      </c>
    </row>
    <row r="154" spans="1:28" ht="41.45" customHeight="1">
      <c r="A154" s="749" t="s">
        <v>4703</v>
      </c>
      <c r="B154" s="925" t="s">
        <v>4704</v>
      </c>
      <c r="C154" s="1061" t="s">
        <v>4705</v>
      </c>
      <c r="D154" s="750" t="s">
        <v>4706</v>
      </c>
      <c r="E154" s="925">
        <v>1</v>
      </c>
      <c r="F154" s="942" t="s">
        <v>4116</v>
      </c>
      <c r="G154" s="752" t="s">
        <v>4707</v>
      </c>
      <c r="H154" s="926" t="s">
        <v>4116</v>
      </c>
      <c r="I154" s="938" t="s">
        <v>4708</v>
      </c>
      <c r="J154" s="960" t="s">
        <v>3974</v>
      </c>
      <c r="K154" s="960" t="s">
        <v>4179</v>
      </c>
      <c r="L154" s="960"/>
      <c r="M154" s="939" t="s">
        <v>3979</v>
      </c>
      <c r="N154" s="939" t="s">
        <v>3979</v>
      </c>
      <c r="O154" s="926" t="s">
        <v>3974</v>
      </c>
      <c r="P154" s="926"/>
      <c r="Q154" s="940">
        <v>1</v>
      </c>
      <c r="R154" s="940">
        <v>1</v>
      </c>
      <c r="S154" s="941" t="s">
        <v>3974</v>
      </c>
      <c r="T154" s="926" t="s">
        <v>3974</v>
      </c>
      <c r="U154" s="926" t="s">
        <v>3974</v>
      </c>
      <c r="V154" s="926" t="s">
        <v>3974</v>
      </c>
      <c r="W154" s="926" t="s">
        <v>3974</v>
      </c>
      <c r="X154" s="975" t="s">
        <v>3979</v>
      </c>
      <c r="Y154" s="749" t="s">
        <v>3980</v>
      </c>
      <c r="Z154" s="752" t="s">
        <v>4709</v>
      </c>
      <c r="AA154" s="752" t="s">
        <v>4710</v>
      </c>
    </row>
    <row r="155" spans="1:28" ht="41.45" customHeight="1">
      <c r="A155" s="749" t="s">
        <v>4711</v>
      </c>
      <c r="B155" s="925" t="s">
        <v>4712</v>
      </c>
      <c r="C155" s="1061" t="s">
        <v>4713</v>
      </c>
      <c r="D155" s="750" t="s">
        <v>4714</v>
      </c>
      <c r="E155" s="925">
        <v>1</v>
      </c>
      <c r="F155" s="942" t="s">
        <v>4116</v>
      </c>
      <c r="G155" s="752" t="s">
        <v>4715</v>
      </c>
      <c r="H155" s="926" t="s">
        <v>4116</v>
      </c>
      <c r="I155" s="938" t="s">
        <v>4716</v>
      </c>
      <c r="J155" s="960" t="s">
        <v>3974</v>
      </c>
      <c r="K155" s="960" t="s">
        <v>4179</v>
      </c>
      <c r="L155" s="960"/>
      <c r="M155" s="939" t="s">
        <v>3979</v>
      </c>
      <c r="N155" s="939" t="s">
        <v>3979</v>
      </c>
      <c r="O155" s="926" t="s">
        <v>3974</v>
      </c>
      <c r="P155" s="926"/>
      <c r="Q155" s="940">
        <v>1</v>
      </c>
      <c r="R155" s="940">
        <v>1</v>
      </c>
      <c r="S155" s="941" t="s">
        <v>3974</v>
      </c>
      <c r="T155" s="926" t="s">
        <v>3974</v>
      </c>
      <c r="U155" s="926" t="s">
        <v>3974</v>
      </c>
      <c r="V155" s="926" t="s">
        <v>3974</v>
      </c>
      <c r="W155" s="926" t="s">
        <v>3974</v>
      </c>
      <c r="X155" s="975" t="s">
        <v>3979</v>
      </c>
      <c r="Y155" s="749" t="s">
        <v>3980</v>
      </c>
      <c r="Z155" s="752" t="s">
        <v>4717</v>
      </c>
      <c r="AA155" s="752" t="s">
        <v>4718</v>
      </c>
    </row>
    <row r="156" spans="1:28" ht="41.45" customHeight="1">
      <c r="A156" s="749" t="s">
        <v>4719</v>
      </c>
      <c r="B156" s="925" t="s">
        <v>4720</v>
      </c>
      <c r="C156" s="1061" t="s">
        <v>4721</v>
      </c>
      <c r="D156" s="750" t="s">
        <v>4722</v>
      </c>
      <c r="E156" s="925">
        <v>1</v>
      </c>
      <c r="F156" s="942" t="s">
        <v>4116</v>
      </c>
      <c r="G156" s="752" t="s">
        <v>4723</v>
      </c>
      <c r="H156" s="926" t="s">
        <v>4116</v>
      </c>
      <c r="I156" s="938" t="s">
        <v>4724</v>
      </c>
      <c r="J156" s="960" t="s">
        <v>3974</v>
      </c>
      <c r="K156" s="960" t="s">
        <v>4179</v>
      </c>
      <c r="L156" s="960"/>
      <c r="M156" s="939" t="s">
        <v>3979</v>
      </c>
      <c r="N156" s="939" t="s">
        <v>3979</v>
      </c>
      <c r="O156" s="926" t="s">
        <v>3974</v>
      </c>
      <c r="P156" s="926"/>
      <c r="Q156" s="940">
        <v>1</v>
      </c>
      <c r="R156" s="940">
        <v>1</v>
      </c>
      <c r="S156" s="941" t="s">
        <v>3974</v>
      </c>
      <c r="T156" s="926" t="s">
        <v>3974</v>
      </c>
      <c r="U156" s="926" t="s">
        <v>3974</v>
      </c>
      <c r="V156" s="926" t="s">
        <v>3974</v>
      </c>
      <c r="W156" s="926" t="s">
        <v>3974</v>
      </c>
      <c r="X156" s="975" t="s">
        <v>3979</v>
      </c>
      <c r="Y156" s="749" t="s">
        <v>3980</v>
      </c>
      <c r="Z156" s="752" t="s">
        <v>4717</v>
      </c>
      <c r="AA156" s="752" t="s">
        <v>4718</v>
      </c>
    </row>
    <row r="157" spans="1:28" s="2" customFormat="1" ht="41.45" customHeight="1">
      <c r="A157" s="1181" t="s">
        <v>4725</v>
      </c>
      <c r="B157" s="1092" t="s">
        <v>4726</v>
      </c>
      <c r="C157" s="1181" t="s">
        <v>4727</v>
      </c>
      <c r="D157" s="1116" t="s">
        <v>4728</v>
      </c>
      <c r="E157" s="1092">
        <v>1</v>
      </c>
      <c r="F157" s="1127" t="s">
        <v>4116</v>
      </c>
      <c r="G157" s="1419" t="s">
        <v>4729</v>
      </c>
      <c r="H157" s="1127" t="s">
        <v>4116</v>
      </c>
      <c r="I157" s="1415"/>
      <c r="J157" s="1182" t="s">
        <v>3974</v>
      </c>
      <c r="K157" s="1182" t="s">
        <v>4179</v>
      </c>
      <c r="L157" s="1182"/>
      <c r="M157" s="978" t="s">
        <v>3979</v>
      </c>
      <c r="N157" s="978" t="s">
        <v>3979</v>
      </c>
      <c r="O157" s="978" t="s">
        <v>3974</v>
      </c>
      <c r="P157" s="978"/>
      <c r="Q157" s="940">
        <v>1</v>
      </c>
      <c r="R157" s="940">
        <v>1</v>
      </c>
      <c r="S157" s="941" t="s">
        <v>3974</v>
      </c>
      <c r="T157" s="978" t="s">
        <v>3974</v>
      </c>
      <c r="U157" s="978" t="s">
        <v>3974</v>
      </c>
      <c r="V157" s="978" t="s">
        <v>3974</v>
      </c>
      <c r="W157" s="978" t="s">
        <v>3974</v>
      </c>
      <c r="X157" s="975" t="s">
        <v>3979</v>
      </c>
      <c r="Y157" s="1181" t="s">
        <v>3980</v>
      </c>
      <c r="Z157" s="1419" t="s">
        <v>4730</v>
      </c>
      <c r="AA157" s="3242" t="s">
        <v>4731</v>
      </c>
      <c r="AB157" s="312"/>
    </row>
    <row r="158" spans="1:28" s="3" customFormat="1" ht="55.15" customHeight="1">
      <c r="A158" s="893" t="s">
        <v>4732</v>
      </c>
      <c r="B158" s="3243" t="s">
        <v>4733</v>
      </c>
      <c r="C158" s="893" t="s">
        <v>4734</v>
      </c>
      <c r="D158" s="876" t="s">
        <v>4735</v>
      </c>
      <c r="E158" s="933">
        <v>1</v>
      </c>
      <c r="F158" s="997" t="s">
        <v>4116</v>
      </c>
      <c r="G158" s="895" t="s">
        <v>4736</v>
      </c>
      <c r="H158" s="934" t="s">
        <v>4116</v>
      </c>
      <c r="I158" s="943" t="s">
        <v>4737</v>
      </c>
      <c r="J158" s="893" t="s">
        <v>3974</v>
      </c>
      <c r="K158" s="998" t="s">
        <v>4179</v>
      </c>
      <c r="L158" s="998"/>
      <c r="M158" s="934" t="s">
        <v>3979</v>
      </c>
      <c r="N158" s="934" t="s">
        <v>3979</v>
      </c>
      <c r="O158" s="934" t="s">
        <v>3974</v>
      </c>
      <c r="P158" s="934"/>
      <c r="Q158" s="945">
        <v>1</v>
      </c>
      <c r="R158" s="945">
        <v>1</v>
      </c>
      <c r="S158" s="999" t="s">
        <v>3974</v>
      </c>
      <c r="T158" s="934" t="s">
        <v>3974</v>
      </c>
      <c r="U158" s="934" t="s">
        <v>3974</v>
      </c>
      <c r="V158" s="934" t="s">
        <v>3974</v>
      </c>
      <c r="W158" s="934" t="s">
        <v>3974</v>
      </c>
      <c r="X158" s="1000" t="s">
        <v>3979</v>
      </c>
      <c r="Y158" s="893" t="s">
        <v>3980</v>
      </c>
      <c r="Z158" s="895" t="s">
        <v>4738</v>
      </c>
      <c r="AA158" s="895" t="s">
        <v>4739</v>
      </c>
      <c r="AB158" s="315"/>
    </row>
    <row r="159" spans="1:28" ht="54.75" customHeight="1">
      <c r="A159" s="749" t="s">
        <v>4740</v>
      </c>
      <c r="B159" s="925" t="s">
        <v>4741</v>
      </c>
      <c r="C159" s="1061" t="s">
        <v>4742</v>
      </c>
      <c r="D159" s="750" t="s">
        <v>4743</v>
      </c>
      <c r="E159" s="925">
        <v>1</v>
      </c>
      <c r="F159" s="942" t="s">
        <v>4116</v>
      </c>
      <c r="G159" s="752" t="s">
        <v>4744</v>
      </c>
      <c r="H159" s="926" t="s">
        <v>4116</v>
      </c>
      <c r="I159" s="938" t="s">
        <v>4745</v>
      </c>
      <c r="J159" s="749" t="s">
        <v>3974</v>
      </c>
      <c r="K159" s="960" t="s">
        <v>4179</v>
      </c>
      <c r="L159" s="960"/>
      <c r="M159" s="939" t="s">
        <v>3979</v>
      </c>
      <c r="N159" s="939" t="s">
        <v>3979</v>
      </c>
      <c r="O159" s="926" t="s">
        <v>3974</v>
      </c>
      <c r="P159" s="926"/>
      <c r="Q159" s="940">
        <v>1</v>
      </c>
      <c r="R159" s="940">
        <v>1</v>
      </c>
      <c r="S159" s="941" t="s">
        <v>3974</v>
      </c>
      <c r="T159" s="926" t="s">
        <v>3974</v>
      </c>
      <c r="U159" s="926" t="s">
        <v>3974</v>
      </c>
      <c r="V159" s="926" t="s">
        <v>3974</v>
      </c>
      <c r="W159" s="926" t="s">
        <v>3974</v>
      </c>
      <c r="X159" s="975" t="s">
        <v>3979</v>
      </c>
      <c r="Y159" s="749" t="s">
        <v>3980</v>
      </c>
      <c r="Z159" s="752" t="s">
        <v>4746</v>
      </c>
      <c r="AA159" s="752" t="s">
        <v>4747</v>
      </c>
    </row>
    <row r="160" spans="1:28" ht="81" customHeight="1">
      <c r="A160" s="749" t="s">
        <v>4748</v>
      </c>
      <c r="B160" s="925" t="s">
        <v>4749</v>
      </c>
      <c r="C160" s="1061" t="s">
        <v>4750</v>
      </c>
      <c r="D160" s="750" t="s">
        <v>4751</v>
      </c>
      <c r="E160" s="925">
        <v>1</v>
      </c>
      <c r="F160" s="942" t="s">
        <v>4116</v>
      </c>
      <c r="G160" s="752" t="s">
        <v>4752</v>
      </c>
      <c r="H160" s="926" t="s">
        <v>4116</v>
      </c>
      <c r="I160" s="938" t="s">
        <v>4753</v>
      </c>
      <c r="J160" s="749" t="s">
        <v>3974</v>
      </c>
      <c r="K160" s="960" t="s">
        <v>4179</v>
      </c>
      <c r="L160" s="960"/>
      <c r="M160" s="939" t="s">
        <v>3979</v>
      </c>
      <c r="N160" s="939" t="s">
        <v>3979</v>
      </c>
      <c r="O160" s="926" t="s">
        <v>3974</v>
      </c>
      <c r="P160" s="926"/>
      <c r="Q160" s="940">
        <v>1</v>
      </c>
      <c r="R160" s="940">
        <v>1</v>
      </c>
      <c r="S160" s="941" t="s">
        <v>3974</v>
      </c>
      <c r="T160" s="926" t="s">
        <v>3974</v>
      </c>
      <c r="U160" s="926" t="s">
        <v>3974</v>
      </c>
      <c r="V160" s="926" t="s">
        <v>3974</v>
      </c>
      <c r="W160" s="926" t="s">
        <v>3974</v>
      </c>
      <c r="X160" s="975" t="s">
        <v>3979</v>
      </c>
      <c r="Y160" s="749" t="s">
        <v>3980</v>
      </c>
      <c r="Z160" s="752" t="s">
        <v>4754</v>
      </c>
      <c r="AA160" s="752" t="s">
        <v>4755</v>
      </c>
    </row>
    <row r="161" spans="1:27" ht="27.75" customHeight="1">
      <c r="A161" s="711" t="s">
        <v>4756</v>
      </c>
      <c r="B161" s="711" t="s">
        <v>4757</v>
      </c>
      <c r="C161" s="1017" t="s">
        <v>4758</v>
      </c>
      <c r="D161" s="750" t="s">
        <v>4759</v>
      </c>
      <c r="E161" s="1092">
        <v>2</v>
      </c>
      <c r="F161" s="1061"/>
      <c r="G161" s="255" t="s">
        <v>4760</v>
      </c>
      <c r="H161" s="752"/>
      <c r="I161" s="1005"/>
      <c r="J161" s="1061"/>
      <c r="K161" s="960"/>
      <c r="L161" s="960"/>
      <c r="M161" s="978"/>
      <c r="N161" s="978"/>
      <c r="O161" s="978"/>
      <c r="P161" s="978"/>
      <c r="Q161" s="940"/>
      <c r="R161" s="940"/>
      <c r="S161" s="941"/>
      <c r="T161" s="978"/>
      <c r="U161" s="978"/>
      <c r="V161" s="978"/>
      <c r="W161" s="978"/>
      <c r="X161" s="975"/>
      <c r="Y161" s="1061"/>
      <c r="Z161" s="3244" t="s">
        <v>4761</v>
      </c>
      <c r="AA161" s="3245" t="s">
        <v>4762</v>
      </c>
    </row>
    <row r="162" spans="1:27" ht="26.25" customHeight="1">
      <c r="A162" s="1326" t="s">
        <v>4763</v>
      </c>
      <c r="B162" s="711" t="s">
        <v>4764</v>
      </c>
      <c r="C162" s="1017" t="s">
        <v>4765</v>
      </c>
      <c r="D162" s="750" t="s">
        <v>4766</v>
      </c>
      <c r="E162" s="1092">
        <v>2</v>
      </c>
      <c r="F162" s="1061"/>
      <c r="G162" s="255" t="s">
        <v>4760</v>
      </c>
      <c r="H162" s="752"/>
      <c r="I162" s="1005"/>
      <c r="J162" s="1061"/>
      <c r="K162" s="960"/>
      <c r="L162" s="960"/>
      <c r="M162" s="978"/>
      <c r="N162" s="978"/>
      <c r="O162" s="978"/>
      <c r="P162" s="978"/>
      <c r="Q162" s="940"/>
      <c r="R162" s="940"/>
      <c r="S162" s="941"/>
      <c r="T162" s="978"/>
      <c r="U162" s="978"/>
      <c r="V162" s="978"/>
      <c r="W162" s="978"/>
      <c r="X162" s="975"/>
      <c r="Y162" s="1061"/>
      <c r="Z162" s="3246" t="s">
        <v>4761</v>
      </c>
      <c r="AA162" s="3247" t="s">
        <v>4762</v>
      </c>
    </row>
    <row r="163" spans="1:27" ht="75.75" customHeight="1">
      <c r="A163" s="1001" t="s">
        <v>4767</v>
      </c>
      <c r="B163" s="1001" t="s">
        <v>4768</v>
      </c>
      <c r="C163" s="1002" t="s">
        <v>4769</v>
      </c>
      <c r="D163" s="876" t="s">
        <v>4770</v>
      </c>
      <c r="E163" s="933">
        <v>2</v>
      </c>
      <c r="F163" s="893" t="s">
        <v>4771</v>
      </c>
      <c r="G163" s="354" t="s">
        <v>4772</v>
      </c>
      <c r="H163" s="895" t="s">
        <v>4771</v>
      </c>
      <c r="I163" s="1003" t="s">
        <v>4773</v>
      </c>
      <c r="J163" s="893" t="s">
        <v>3974</v>
      </c>
      <c r="K163" s="998" t="s">
        <v>4179</v>
      </c>
      <c r="L163" s="998"/>
      <c r="M163" s="934" t="s">
        <v>3979</v>
      </c>
      <c r="N163" s="934" t="s">
        <v>3979</v>
      </c>
      <c r="O163" s="934" t="s">
        <v>3974</v>
      </c>
      <c r="P163" s="934"/>
      <c r="Q163" s="945">
        <v>1</v>
      </c>
      <c r="R163" s="945">
        <v>1</v>
      </c>
      <c r="S163" s="999" t="s">
        <v>3974</v>
      </c>
      <c r="T163" s="934" t="s">
        <v>3974</v>
      </c>
      <c r="U163" s="934" t="s">
        <v>3974</v>
      </c>
      <c r="V163" s="934" t="s">
        <v>3974</v>
      </c>
      <c r="W163" s="934" t="s">
        <v>3974</v>
      </c>
      <c r="X163" s="1000" t="s">
        <v>3979</v>
      </c>
      <c r="Y163" s="893" t="s">
        <v>3980</v>
      </c>
      <c r="Z163" s="895" t="s">
        <v>4774</v>
      </c>
      <c r="AA163" s="895" t="s">
        <v>4775</v>
      </c>
    </row>
    <row r="164" spans="1:27" ht="75.75" customHeight="1">
      <c r="A164" s="1004" t="s">
        <v>4776</v>
      </c>
      <c r="B164" s="1004" t="s">
        <v>4777</v>
      </c>
      <c r="C164" s="1017" t="s">
        <v>4778</v>
      </c>
      <c r="D164" s="750" t="s">
        <v>4779</v>
      </c>
      <c r="E164" s="925">
        <v>1</v>
      </c>
      <c r="F164" s="749" t="s">
        <v>4771</v>
      </c>
      <c r="G164" s="1005" t="s">
        <v>4780</v>
      </c>
      <c r="H164" s="752" t="s">
        <v>4771</v>
      </c>
      <c r="I164" s="1006" t="s">
        <v>4781</v>
      </c>
      <c r="J164" s="749" t="s">
        <v>3974</v>
      </c>
      <c r="K164" s="960" t="s">
        <v>4179</v>
      </c>
      <c r="L164" s="960"/>
      <c r="M164" s="939" t="s">
        <v>3979</v>
      </c>
      <c r="N164" s="939" t="s">
        <v>3979</v>
      </c>
      <c r="O164" s="926" t="s">
        <v>3974</v>
      </c>
      <c r="P164" s="926"/>
      <c r="Q164" s="940">
        <v>1</v>
      </c>
      <c r="R164" s="940">
        <v>1</v>
      </c>
      <c r="S164" s="941" t="s">
        <v>3974</v>
      </c>
      <c r="T164" s="926" t="s">
        <v>3974</v>
      </c>
      <c r="U164" s="926" t="s">
        <v>3974</v>
      </c>
      <c r="V164" s="926" t="s">
        <v>3974</v>
      </c>
      <c r="W164" s="926" t="s">
        <v>3974</v>
      </c>
      <c r="X164" s="975" t="s">
        <v>3979</v>
      </c>
      <c r="Y164" s="749" t="s">
        <v>3980</v>
      </c>
      <c r="Z164" s="752" t="s">
        <v>4782</v>
      </c>
      <c r="AA164" s="752" t="s">
        <v>4783</v>
      </c>
    </row>
    <row r="165" spans="1:27" ht="75.75" customHeight="1">
      <c r="A165" s="3376" t="s">
        <v>4784</v>
      </c>
      <c r="B165" s="947" t="s">
        <v>4785</v>
      </c>
      <c r="C165" s="1017" t="s">
        <v>4786</v>
      </c>
      <c r="D165" s="750" t="s">
        <v>4787</v>
      </c>
      <c r="E165" s="925">
        <v>1</v>
      </c>
      <c r="F165" s="749" t="s">
        <v>4771</v>
      </c>
      <c r="G165" s="14" t="s">
        <v>4788</v>
      </c>
      <c r="H165" s="752" t="s">
        <v>4771</v>
      </c>
      <c r="I165" s="1006" t="s">
        <v>4789</v>
      </c>
      <c r="J165" s="749" t="s">
        <v>3974</v>
      </c>
      <c r="K165" s="960" t="s">
        <v>4179</v>
      </c>
      <c r="L165" s="960"/>
      <c r="M165" s="939" t="s">
        <v>3979</v>
      </c>
      <c r="N165" s="939" t="s">
        <v>3979</v>
      </c>
      <c r="O165" s="926" t="s">
        <v>3974</v>
      </c>
      <c r="P165" s="926"/>
      <c r="Q165" s="940">
        <v>1</v>
      </c>
      <c r="R165" s="940">
        <v>1</v>
      </c>
      <c r="S165" s="941" t="s">
        <v>3974</v>
      </c>
      <c r="T165" s="926" t="s">
        <v>3974</v>
      </c>
      <c r="U165" s="926" t="s">
        <v>3974</v>
      </c>
      <c r="V165" s="926" t="s">
        <v>3974</v>
      </c>
      <c r="W165" s="926" t="s">
        <v>3974</v>
      </c>
      <c r="X165" s="975" t="s">
        <v>3979</v>
      </c>
      <c r="Y165" s="749" t="s">
        <v>3980</v>
      </c>
      <c r="Z165" s="752" t="s">
        <v>4790</v>
      </c>
      <c r="AA165" s="752" t="s">
        <v>4791</v>
      </c>
    </row>
    <row r="166" spans="1:27" ht="75.75" customHeight="1">
      <c r="A166" s="3376"/>
      <c r="B166" s="947" t="s">
        <v>4792</v>
      </c>
      <c r="C166" s="1017" t="s">
        <v>4793</v>
      </c>
      <c r="D166" s="750" t="s">
        <v>4794</v>
      </c>
      <c r="E166" s="925">
        <v>1</v>
      </c>
      <c r="F166" s="749" t="s">
        <v>4771</v>
      </c>
      <c r="G166" s="1005" t="s">
        <v>4795</v>
      </c>
      <c r="H166" s="752" t="s">
        <v>4771</v>
      </c>
      <c r="I166" s="1006" t="s">
        <v>4796</v>
      </c>
      <c r="J166" s="749" t="s">
        <v>3974</v>
      </c>
      <c r="K166" s="960" t="s">
        <v>4179</v>
      </c>
      <c r="L166" s="960"/>
      <c r="M166" s="939" t="s">
        <v>3979</v>
      </c>
      <c r="N166" s="939" t="s">
        <v>3979</v>
      </c>
      <c r="O166" s="926" t="s">
        <v>3974</v>
      </c>
      <c r="P166" s="926"/>
      <c r="Q166" s="940">
        <v>1</v>
      </c>
      <c r="R166" s="940">
        <v>1</v>
      </c>
      <c r="S166" s="941" t="s">
        <v>3974</v>
      </c>
      <c r="T166" s="926" t="s">
        <v>3974</v>
      </c>
      <c r="U166" s="926" t="s">
        <v>3974</v>
      </c>
      <c r="V166" s="926" t="s">
        <v>3974</v>
      </c>
      <c r="W166" s="926" t="s">
        <v>3974</v>
      </c>
      <c r="X166" s="975" t="s">
        <v>3979</v>
      </c>
      <c r="Y166" s="749" t="s">
        <v>3980</v>
      </c>
      <c r="Z166" s="752" t="s">
        <v>4797</v>
      </c>
      <c r="AA166" s="752" t="s">
        <v>4791</v>
      </c>
    </row>
    <row r="167" spans="1:27" ht="30.75" customHeight="1">
      <c r="A167" s="3376"/>
      <c r="B167" s="947" t="s">
        <v>4798</v>
      </c>
      <c r="C167" s="1017" t="s">
        <v>4799</v>
      </c>
      <c r="D167" s="750" t="s">
        <v>4800</v>
      </c>
      <c r="E167" s="925">
        <v>1</v>
      </c>
      <c r="F167" s="749" t="s">
        <v>4771</v>
      </c>
      <c r="G167" s="1005" t="s">
        <v>4801</v>
      </c>
      <c r="H167" s="752" t="s">
        <v>4771</v>
      </c>
      <c r="I167" s="1006" t="s">
        <v>4802</v>
      </c>
      <c r="J167" s="749" t="s">
        <v>3974</v>
      </c>
      <c r="K167" s="960" t="s">
        <v>4179</v>
      </c>
      <c r="L167" s="960"/>
      <c r="M167" s="939" t="s">
        <v>3979</v>
      </c>
      <c r="N167" s="939" t="s">
        <v>3979</v>
      </c>
      <c r="O167" s="926" t="s">
        <v>3974</v>
      </c>
      <c r="P167" s="926"/>
      <c r="Q167" s="940">
        <v>1</v>
      </c>
      <c r="R167" s="940">
        <v>1</v>
      </c>
      <c r="S167" s="941" t="s">
        <v>3974</v>
      </c>
      <c r="T167" s="926" t="s">
        <v>3974</v>
      </c>
      <c r="U167" s="926" t="s">
        <v>3974</v>
      </c>
      <c r="V167" s="926" t="s">
        <v>3974</v>
      </c>
      <c r="W167" s="926" t="s">
        <v>3974</v>
      </c>
      <c r="X167" s="975" t="s">
        <v>3979</v>
      </c>
      <c r="Y167" s="749" t="s">
        <v>3980</v>
      </c>
      <c r="Z167" s="752" t="s">
        <v>4803</v>
      </c>
      <c r="AA167" s="752" t="s">
        <v>4804</v>
      </c>
    </row>
    <row r="168" spans="1:27" ht="54.75" customHeight="1">
      <c r="A168" s="1004" t="s">
        <v>4805</v>
      </c>
      <c r="B168" s="1004" t="s">
        <v>4806</v>
      </c>
      <c r="C168" s="1011" t="s">
        <v>4807</v>
      </c>
      <c r="D168" s="750" t="s">
        <v>4808</v>
      </c>
      <c r="E168" s="925">
        <v>1</v>
      </c>
      <c r="F168" s="749" t="s">
        <v>4771</v>
      </c>
      <c r="G168" s="752" t="s">
        <v>4809</v>
      </c>
      <c r="H168" s="752" t="s">
        <v>4771</v>
      </c>
      <c r="I168" s="938" t="s">
        <v>4810</v>
      </c>
      <c r="J168" s="749" t="s">
        <v>3974</v>
      </c>
      <c r="K168" s="960" t="s">
        <v>4179</v>
      </c>
      <c r="L168" s="960"/>
      <c r="M168" s="939" t="s">
        <v>3979</v>
      </c>
      <c r="N168" s="939" t="s">
        <v>3979</v>
      </c>
      <c r="O168" s="926" t="s">
        <v>3974</v>
      </c>
      <c r="P168" s="926"/>
      <c r="Q168" s="940">
        <v>1</v>
      </c>
      <c r="R168" s="940">
        <v>1</v>
      </c>
      <c r="S168" s="941" t="s">
        <v>3974</v>
      </c>
      <c r="T168" s="926" t="s">
        <v>3974</v>
      </c>
      <c r="U168" s="926" t="s">
        <v>3974</v>
      </c>
      <c r="V168" s="926" t="s">
        <v>3974</v>
      </c>
      <c r="W168" s="926" t="s">
        <v>3974</v>
      </c>
      <c r="X168" s="975" t="s">
        <v>3979</v>
      </c>
      <c r="Y168" s="749" t="s">
        <v>3980</v>
      </c>
      <c r="Z168" s="752" t="s">
        <v>4811</v>
      </c>
      <c r="AA168" s="752" t="s">
        <v>4775</v>
      </c>
    </row>
    <row r="169" spans="1:27" ht="54.75" customHeight="1">
      <c r="A169" s="1004" t="s">
        <v>4812</v>
      </c>
      <c r="B169" s="1004" t="s">
        <v>4813</v>
      </c>
      <c r="C169" s="1011" t="s">
        <v>4814</v>
      </c>
      <c r="D169" s="750" t="s">
        <v>4815</v>
      </c>
      <c r="E169" s="925">
        <v>1</v>
      </c>
      <c r="F169" s="749" t="s">
        <v>4771</v>
      </c>
      <c r="G169" s="752" t="s">
        <v>4816</v>
      </c>
      <c r="H169" s="752" t="s">
        <v>4771</v>
      </c>
      <c r="I169" s="938" t="s">
        <v>4817</v>
      </c>
      <c r="J169" s="749" t="s">
        <v>3974</v>
      </c>
      <c r="K169" s="960" t="s">
        <v>4179</v>
      </c>
      <c r="L169" s="960"/>
      <c r="M169" s="939" t="s">
        <v>3979</v>
      </c>
      <c r="N169" s="939" t="s">
        <v>3979</v>
      </c>
      <c r="O169" s="926" t="s">
        <v>3974</v>
      </c>
      <c r="P169" s="926"/>
      <c r="Q169" s="940">
        <v>1</v>
      </c>
      <c r="R169" s="940">
        <v>1</v>
      </c>
      <c r="S169" s="941" t="s">
        <v>3974</v>
      </c>
      <c r="T169" s="926" t="s">
        <v>3974</v>
      </c>
      <c r="U169" s="926" t="s">
        <v>3974</v>
      </c>
      <c r="V169" s="926" t="s">
        <v>3974</v>
      </c>
      <c r="W169" s="926" t="s">
        <v>3974</v>
      </c>
      <c r="X169" s="975" t="s">
        <v>3979</v>
      </c>
      <c r="Y169" s="749" t="s">
        <v>3980</v>
      </c>
      <c r="Z169" s="752" t="s">
        <v>4811</v>
      </c>
      <c r="AA169" s="752" t="s">
        <v>4775</v>
      </c>
    </row>
    <row r="170" spans="1:27" ht="54.75" customHeight="1">
      <c r="A170" s="1004" t="s">
        <v>4818</v>
      </c>
      <c r="B170" s="1004" t="s">
        <v>4819</v>
      </c>
      <c r="C170" s="1011" t="s">
        <v>4820</v>
      </c>
      <c r="D170" s="750" t="s">
        <v>4821</v>
      </c>
      <c r="E170" s="925">
        <v>1</v>
      </c>
      <c r="F170" s="749" t="s">
        <v>4771</v>
      </c>
      <c r="G170" s="752" t="s">
        <v>4822</v>
      </c>
      <c r="H170" s="752" t="s">
        <v>4771</v>
      </c>
      <c r="I170" s="938" t="s">
        <v>4823</v>
      </c>
      <c r="J170" s="749" t="s">
        <v>3974</v>
      </c>
      <c r="K170" s="960" t="s">
        <v>4179</v>
      </c>
      <c r="L170" s="960"/>
      <c r="M170" s="939" t="s">
        <v>3979</v>
      </c>
      <c r="N170" s="939" t="s">
        <v>3979</v>
      </c>
      <c r="O170" s="926" t="s">
        <v>3974</v>
      </c>
      <c r="P170" s="926"/>
      <c r="Q170" s="940">
        <v>1</v>
      </c>
      <c r="R170" s="940">
        <v>1</v>
      </c>
      <c r="S170" s="941" t="s">
        <v>3974</v>
      </c>
      <c r="T170" s="926" t="s">
        <v>3974</v>
      </c>
      <c r="U170" s="926" t="s">
        <v>3974</v>
      </c>
      <c r="V170" s="926" t="s">
        <v>3974</v>
      </c>
      <c r="W170" s="926" t="s">
        <v>3974</v>
      </c>
      <c r="X170" s="975" t="s">
        <v>3979</v>
      </c>
      <c r="Y170" s="749" t="s">
        <v>3980</v>
      </c>
      <c r="Z170" s="752" t="s">
        <v>4811</v>
      </c>
      <c r="AA170" s="752" t="s">
        <v>4775</v>
      </c>
    </row>
    <row r="171" spans="1:27" ht="54.75" customHeight="1">
      <c r="A171" s="1004" t="s">
        <v>4824</v>
      </c>
      <c r="B171" s="1004" t="s">
        <v>4825</v>
      </c>
      <c r="C171" s="1011" t="s">
        <v>4826</v>
      </c>
      <c r="D171" s="750" t="s">
        <v>4827</v>
      </c>
      <c r="E171" s="925">
        <v>1</v>
      </c>
      <c r="F171" s="942" t="s">
        <v>4116</v>
      </c>
      <c r="G171" s="752" t="s">
        <v>4828</v>
      </c>
      <c r="H171" s="926" t="s">
        <v>4116</v>
      </c>
      <c r="I171" s="938" t="s">
        <v>4829</v>
      </c>
      <c r="J171" s="749" t="s">
        <v>3974</v>
      </c>
      <c r="K171" s="960" t="s">
        <v>4179</v>
      </c>
      <c r="L171" s="960"/>
      <c r="M171" s="939" t="s">
        <v>3979</v>
      </c>
      <c r="N171" s="939" t="s">
        <v>3979</v>
      </c>
      <c r="O171" s="926" t="s">
        <v>3974</v>
      </c>
      <c r="P171" s="926"/>
      <c r="Q171" s="940">
        <v>1</v>
      </c>
      <c r="R171" s="940">
        <v>1</v>
      </c>
      <c r="S171" s="941" t="s">
        <v>3974</v>
      </c>
      <c r="T171" s="926" t="s">
        <v>3974</v>
      </c>
      <c r="U171" s="926" t="s">
        <v>3974</v>
      </c>
      <c r="V171" s="926" t="s">
        <v>3974</v>
      </c>
      <c r="W171" s="926" t="s">
        <v>3974</v>
      </c>
      <c r="X171" s="975" t="s">
        <v>3979</v>
      </c>
      <c r="Y171" s="749" t="s">
        <v>3980</v>
      </c>
      <c r="Z171" s="752" t="s">
        <v>4830</v>
      </c>
      <c r="AA171" s="752" t="s">
        <v>4831</v>
      </c>
    </row>
    <row r="172" spans="1:27" ht="30.75" customHeight="1">
      <c r="A172" s="1004" t="s">
        <v>3389</v>
      </c>
      <c r="B172" s="1004" t="s">
        <v>4832</v>
      </c>
      <c r="C172" s="1011" t="s">
        <v>4833</v>
      </c>
      <c r="D172" s="750" t="s">
        <v>4834</v>
      </c>
      <c r="E172" s="925">
        <v>1</v>
      </c>
      <c r="F172" s="942" t="s">
        <v>4116</v>
      </c>
      <c r="G172" s="1007" t="s">
        <v>4835</v>
      </c>
      <c r="H172" s="926" t="s">
        <v>4116</v>
      </c>
      <c r="I172" s="1008" t="s">
        <v>4836</v>
      </c>
      <c r="J172" s="749" t="s">
        <v>3974</v>
      </c>
      <c r="K172" s="960" t="s">
        <v>4179</v>
      </c>
      <c r="L172" s="960"/>
      <c r="M172" s="939" t="s">
        <v>3979</v>
      </c>
      <c r="N172" s="939" t="s">
        <v>3979</v>
      </c>
      <c r="O172" s="926" t="s">
        <v>3974</v>
      </c>
      <c r="P172" s="926"/>
      <c r="Q172" s="940">
        <v>1</v>
      </c>
      <c r="R172" s="940">
        <v>1</v>
      </c>
      <c r="S172" s="941" t="s">
        <v>3974</v>
      </c>
      <c r="T172" s="926" t="s">
        <v>3974</v>
      </c>
      <c r="U172" s="926" t="s">
        <v>3974</v>
      </c>
      <c r="V172" s="926" t="s">
        <v>3974</v>
      </c>
      <c r="W172" s="926" t="s">
        <v>3974</v>
      </c>
      <c r="X172" s="975" t="s">
        <v>3979</v>
      </c>
      <c r="Y172" s="749" t="s">
        <v>3980</v>
      </c>
      <c r="Z172" s="752" t="s">
        <v>4837</v>
      </c>
      <c r="AA172" s="752" t="s">
        <v>4838</v>
      </c>
    </row>
    <row r="173" spans="1:27" ht="27.6" customHeight="1">
      <c r="A173" s="1004" t="s">
        <v>4839</v>
      </c>
      <c r="B173" s="1004" t="s">
        <v>4840</v>
      </c>
      <c r="C173" s="1009" t="s">
        <v>4841</v>
      </c>
      <c r="D173" s="750" t="s">
        <v>4842</v>
      </c>
      <c r="E173" s="925">
        <v>1</v>
      </c>
      <c r="F173" s="749" t="s">
        <v>4771</v>
      </c>
      <c r="G173" s="1109" t="s">
        <v>4841</v>
      </c>
      <c r="H173" s="752" t="s">
        <v>4771</v>
      </c>
      <c r="I173" s="938"/>
      <c r="J173" s="749" t="s">
        <v>3974</v>
      </c>
      <c r="K173" s="960" t="s">
        <v>4179</v>
      </c>
      <c r="L173" s="960"/>
      <c r="M173" s="939" t="s">
        <v>3979</v>
      </c>
      <c r="N173" s="939" t="s">
        <v>3979</v>
      </c>
      <c r="O173" s="926" t="s">
        <v>3974</v>
      </c>
      <c r="P173" s="926"/>
      <c r="Q173" s="940">
        <v>1</v>
      </c>
      <c r="R173" s="940">
        <v>1</v>
      </c>
      <c r="S173" s="941" t="s">
        <v>3974</v>
      </c>
      <c r="T173" s="926" t="s">
        <v>3974</v>
      </c>
      <c r="U173" s="926" t="s">
        <v>3974</v>
      </c>
      <c r="V173" s="926" t="s">
        <v>3974</v>
      </c>
      <c r="W173" s="926" t="s">
        <v>3974</v>
      </c>
      <c r="X173" s="975" t="s">
        <v>3979</v>
      </c>
      <c r="Y173" s="749" t="s">
        <v>3980</v>
      </c>
      <c r="Z173" s="752" t="s">
        <v>4843</v>
      </c>
      <c r="AA173" s="752" t="s">
        <v>4844</v>
      </c>
    </row>
    <row r="174" spans="1:27" ht="27.6" customHeight="1">
      <c r="A174" s="3411" t="s">
        <v>4845</v>
      </c>
      <c r="B174" s="1004" t="s">
        <v>4846</v>
      </c>
      <c r="C174" s="1009" t="s">
        <v>4847</v>
      </c>
      <c r="D174" s="750" t="s">
        <v>4848</v>
      </c>
      <c r="E174" s="925">
        <v>1</v>
      </c>
      <c r="F174" s="749" t="s">
        <v>4771</v>
      </c>
      <c r="G174" s="1109" t="s">
        <v>4847</v>
      </c>
      <c r="H174" s="752" t="s">
        <v>4771</v>
      </c>
      <c r="I174" s="938"/>
      <c r="J174" s="749" t="s">
        <v>3974</v>
      </c>
      <c r="K174" s="960" t="s">
        <v>4179</v>
      </c>
      <c r="L174" s="960"/>
      <c r="M174" s="939" t="s">
        <v>3979</v>
      </c>
      <c r="N174" s="939" t="s">
        <v>3979</v>
      </c>
      <c r="O174" s="926" t="s">
        <v>3974</v>
      </c>
      <c r="P174" s="926"/>
      <c r="Q174" s="940">
        <v>1</v>
      </c>
      <c r="R174" s="940">
        <v>1</v>
      </c>
      <c r="S174" s="941" t="s">
        <v>3974</v>
      </c>
      <c r="T174" s="926" t="s">
        <v>3974</v>
      </c>
      <c r="U174" s="926" t="s">
        <v>3974</v>
      </c>
      <c r="V174" s="926" t="s">
        <v>3974</v>
      </c>
      <c r="W174" s="926" t="s">
        <v>3974</v>
      </c>
      <c r="X174" s="975" t="s">
        <v>3979</v>
      </c>
      <c r="Y174" s="749" t="s">
        <v>3980</v>
      </c>
      <c r="Z174" s="752" t="s">
        <v>4849</v>
      </c>
      <c r="AA174" s="752" t="s">
        <v>4850</v>
      </c>
    </row>
    <row r="175" spans="1:27" ht="27.6" customHeight="1">
      <c r="A175" s="3411"/>
      <c r="B175" s="1004" t="s">
        <v>4851</v>
      </c>
      <c r="C175" s="1009" t="s">
        <v>4852</v>
      </c>
      <c r="D175" s="750" t="s">
        <v>4853</v>
      </c>
      <c r="E175" s="925">
        <v>1</v>
      </c>
      <c r="F175" s="749" t="s">
        <v>4771</v>
      </c>
      <c r="G175" s="1109" t="s">
        <v>4852</v>
      </c>
      <c r="H175" s="752" t="s">
        <v>4771</v>
      </c>
      <c r="I175" s="938"/>
      <c r="J175" s="749" t="s">
        <v>3974</v>
      </c>
      <c r="K175" s="960" t="s">
        <v>4179</v>
      </c>
      <c r="L175" s="960"/>
      <c r="M175" s="939" t="s">
        <v>3979</v>
      </c>
      <c r="N175" s="939" t="s">
        <v>3979</v>
      </c>
      <c r="O175" s="926" t="s">
        <v>3974</v>
      </c>
      <c r="P175" s="926"/>
      <c r="Q175" s="940">
        <v>1</v>
      </c>
      <c r="R175" s="940">
        <v>1</v>
      </c>
      <c r="S175" s="941" t="s">
        <v>3974</v>
      </c>
      <c r="T175" s="926" t="s">
        <v>3974</v>
      </c>
      <c r="U175" s="926" t="s">
        <v>3974</v>
      </c>
      <c r="V175" s="926" t="s">
        <v>3974</v>
      </c>
      <c r="W175" s="926" t="s">
        <v>3974</v>
      </c>
      <c r="X175" s="975" t="s">
        <v>3979</v>
      </c>
      <c r="Y175" s="749" t="s">
        <v>3980</v>
      </c>
      <c r="Z175" s="752" t="s">
        <v>4849</v>
      </c>
      <c r="AA175" s="752" t="s">
        <v>4850</v>
      </c>
    </row>
    <row r="176" spans="1:27" ht="41.25" customHeight="1">
      <c r="A176" s="1010" t="s">
        <v>3425</v>
      </c>
      <c r="B176" s="1010" t="s">
        <v>4854</v>
      </c>
      <c r="C176" s="1011" t="s">
        <v>4855</v>
      </c>
      <c r="D176" s="750" t="s">
        <v>4856</v>
      </c>
      <c r="E176" s="1012">
        <v>2</v>
      </c>
      <c r="F176" s="749" t="s">
        <v>4857</v>
      </c>
      <c r="G176" s="1013" t="s">
        <v>4858</v>
      </c>
      <c r="H176" s="752" t="s">
        <v>4857</v>
      </c>
      <c r="I176" s="1013" t="s">
        <v>4859</v>
      </c>
      <c r="J176" s="749" t="s">
        <v>3974</v>
      </c>
      <c r="K176" s="960" t="s">
        <v>4179</v>
      </c>
      <c r="L176" s="960"/>
      <c r="M176" s="939" t="s">
        <v>3979</v>
      </c>
      <c r="N176" s="926" t="s">
        <v>3979</v>
      </c>
      <c r="O176" s="926" t="s">
        <v>3974</v>
      </c>
      <c r="P176" s="926"/>
      <c r="Q176" s="940">
        <v>1</v>
      </c>
      <c r="R176" s="940">
        <v>1</v>
      </c>
      <c r="S176" s="1014" t="s">
        <v>4129</v>
      </c>
      <c r="T176" s="926" t="s">
        <v>3974</v>
      </c>
      <c r="U176" s="926" t="s">
        <v>3974</v>
      </c>
      <c r="V176" s="926" t="s">
        <v>3974</v>
      </c>
      <c r="W176" s="926" t="s">
        <v>3974</v>
      </c>
      <c r="X176" s="1015" t="s">
        <v>3979</v>
      </c>
      <c r="Y176" s="749" t="s">
        <v>3980</v>
      </c>
      <c r="Z176" s="752" t="s">
        <v>4860</v>
      </c>
      <c r="AA176" s="752" t="s">
        <v>4103</v>
      </c>
    </row>
    <row r="177" spans="1:27" ht="41.25" customHeight="1">
      <c r="A177" s="1010" t="s">
        <v>4861</v>
      </c>
      <c r="B177" s="1010" t="s">
        <v>4862</v>
      </c>
      <c r="C177" s="1011" t="s">
        <v>4863</v>
      </c>
      <c r="D177" s="750" t="s">
        <v>4864</v>
      </c>
      <c r="E177" s="1012">
        <v>2</v>
      </c>
      <c r="F177" s="749" t="s">
        <v>4857</v>
      </c>
      <c r="G177" s="1005" t="s">
        <v>4780</v>
      </c>
      <c r="H177" s="752" t="s">
        <v>4857</v>
      </c>
      <c r="I177" s="1016" t="s">
        <v>4865</v>
      </c>
      <c r="J177" s="749" t="s">
        <v>3974</v>
      </c>
      <c r="K177" s="960" t="s">
        <v>4179</v>
      </c>
      <c r="L177" s="960"/>
      <c r="M177" s="939" t="s">
        <v>3979</v>
      </c>
      <c r="N177" s="926" t="s">
        <v>3979</v>
      </c>
      <c r="O177" s="926" t="s">
        <v>3974</v>
      </c>
      <c r="P177" s="926"/>
      <c r="Q177" s="940">
        <v>1</v>
      </c>
      <c r="R177" s="940">
        <v>1</v>
      </c>
      <c r="S177" s="1014" t="s">
        <v>4129</v>
      </c>
      <c r="T177" s="926" t="s">
        <v>3974</v>
      </c>
      <c r="U177" s="926" t="s">
        <v>3974</v>
      </c>
      <c r="V177" s="926" t="s">
        <v>3974</v>
      </c>
      <c r="W177" s="926" t="s">
        <v>3974</v>
      </c>
      <c r="X177" s="1015" t="s">
        <v>3979</v>
      </c>
      <c r="Y177" s="749" t="s">
        <v>3980</v>
      </c>
      <c r="Z177" s="752" t="s">
        <v>4782</v>
      </c>
      <c r="AA177" s="752" t="s">
        <v>4866</v>
      </c>
    </row>
    <row r="178" spans="1:27" ht="41.25" customHeight="1">
      <c r="A178" s="3404" t="s">
        <v>3427</v>
      </c>
      <c r="B178" s="925" t="s">
        <v>4867</v>
      </c>
      <c r="C178" s="1011" t="s">
        <v>4868</v>
      </c>
      <c r="D178" s="750" t="s">
        <v>4869</v>
      </c>
      <c r="E178" s="1012">
        <v>1</v>
      </c>
      <c r="F178" s="749" t="s">
        <v>4857</v>
      </c>
      <c r="G178" s="752" t="s">
        <v>4870</v>
      </c>
      <c r="H178" s="752" t="s">
        <v>4857</v>
      </c>
      <c r="I178" s="938" t="s">
        <v>4871</v>
      </c>
      <c r="J178" s="749" t="s">
        <v>3974</v>
      </c>
      <c r="K178" s="960" t="s">
        <v>4179</v>
      </c>
      <c r="L178" s="960"/>
      <c r="M178" s="939" t="s">
        <v>3979</v>
      </c>
      <c r="N178" s="926" t="s">
        <v>3979</v>
      </c>
      <c r="O178" s="926" t="s">
        <v>3974</v>
      </c>
      <c r="P178" s="926"/>
      <c r="Q178" s="940">
        <v>1</v>
      </c>
      <c r="R178" s="940">
        <v>1</v>
      </c>
      <c r="S178" s="1014" t="s">
        <v>4129</v>
      </c>
      <c r="T178" s="926" t="s">
        <v>3974</v>
      </c>
      <c r="U178" s="926" t="s">
        <v>3974</v>
      </c>
      <c r="V178" s="926" t="s">
        <v>3974</v>
      </c>
      <c r="W178" s="926" t="s">
        <v>3974</v>
      </c>
      <c r="X178" s="1015" t="s">
        <v>3979</v>
      </c>
      <c r="Y178" s="749" t="s">
        <v>3980</v>
      </c>
      <c r="Z178" s="752" t="s">
        <v>4872</v>
      </c>
      <c r="AA178" s="752" t="s">
        <v>4103</v>
      </c>
    </row>
    <row r="179" spans="1:27" ht="41.25" customHeight="1">
      <c r="A179" s="3404"/>
      <c r="B179" s="925" t="s">
        <v>4873</v>
      </c>
      <c r="C179" s="1011" t="s">
        <v>4874</v>
      </c>
      <c r="D179" s="750" t="s">
        <v>4875</v>
      </c>
      <c r="E179" s="1012">
        <v>1</v>
      </c>
      <c r="F179" s="749" t="s">
        <v>4857</v>
      </c>
      <c r="G179" s="752" t="s">
        <v>4876</v>
      </c>
      <c r="H179" s="752" t="s">
        <v>4857</v>
      </c>
      <c r="I179" s="938" t="s">
        <v>4877</v>
      </c>
      <c r="J179" s="749" t="s">
        <v>3974</v>
      </c>
      <c r="K179" s="960" t="s">
        <v>4179</v>
      </c>
      <c r="L179" s="960"/>
      <c r="M179" s="939" t="s">
        <v>3979</v>
      </c>
      <c r="N179" s="926" t="s">
        <v>3979</v>
      </c>
      <c r="O179" s="926" t="s">
        <v>3974</v>
      </c>
      <c r="P179" s="926"/>
      <c r="Q179" s="940">
        <v>1</v>
      </c>
      <c r="R179" s="940">
        <v>1</v>
      </c>
      <c r="S179" s="1014" t="s">
        <v>4129</v>
      </c>
      <c r="T179" s="926" t="s">
        <v>3974</v>
      </c>
      <c r="U179" s="926" t="s">
        <v>3974</v>
      </c>
      <c r="V179" s="926" t="s">
        <v>3974</v>
      </c>
      <c r="W179" s="926" t="s">
        <v>3974</v>
      </c>
      <c r="X179" s="1015" t="s">
        <v>3979</v>
      </c>
      <c r="Y179" s="749" t="s">
        <v>3980</v>
      </c>
      <c r="Z179" s="752" t="s">
        <v>4878</v>
      </c>
      <c r="AA179" s="752" t="s">
        <v>4103</v>
      </c>
    </row>
    <row r="180" spans="1:27" ht="41.25" customHeight="1">
      <c r="A180" s="3404"/>
      <c r="B180" s="925" t="s">
        <v>4879</v>
      </c>
      <c r="C180" s="1011" t="s">
        <v>4880</v>
      </c>
      <c r="D180" s="750" t="s">
        <v>4881</v>
      </c>
      <c r="E180" s="1012">
        <v>1</v>
      </c>
      <c r="F180" s="749" t="s">
        <v>4857</v>
      </c>
      <c r="G180" s="1005" t="s">
        <v>4882</v>
      </c>
      <c r="H180" s="752" t="s">
        <v>4857</v>
      </c>
      <c r="I180" s="1006" t="s">
        <v>4883</v>
      </c>
      <c r="J180" s="749" t="s">
        <v>3974</v>
      </c>
      <c r="K180" s="960" t="s">
        <v>4179</v>
      </c>
      <c r="L180" s="960"/>
      <c r="M180" s="939" t="s">
        <v>3979</v>
      </c>
      <c r="N180" s="926" t="s">
        <v>3979</v>
      </c>
      <c r="O180" s="926" t="s">
        <v>3974</v>
      </c>
      <c r="P180" s="926"/>
      <c r="Q180" s="940">
        <v>1</v>
      </c>
      <c r="R180" s="940">
        <v>1</v>
      </c>
      <c r="S180" s="1014" t="s">
        <v>4129</v>
      </c>
      <c r="T180" s="926" t="s">
        <v>3974</v>
      </c>
      <c r="U180" s="926" t="s">
        <v>3974</v>
      </c>
      <c r="V180" s="926" t="s">
        <v>3974</v>
      </c>
      <c r="W180" s="926" t="s">
        <v>3974</v>
      </c>
      <c r="X180" s="1015" t="s">
        <v>3979</v>
      </c>
      <c r="Y180" s="749" t="s">
        <v>3980</v>
      </c>
      <c r="Z180" s="752" t="s">
        <v>4884</v>
      </c>
      <c r="AA180" s="752" t="s">
        <v>4885</v>
      </c>
    </row>
    <row r="181" spans="1:27" ht="41.25" customHeight="1">
      <c r="A181" s="1010" t="s">
        <v>3429</v>
      </c>
      <c r="B181" s="1010" t="s">
        <v>4886</v>
      </c>
      <c r="C181" s="1011" t="s">
        <v>4887</v>
      </c>
      <c r="D181" s="750" t="s">
        <v>4888</v>
      </c>
      <c r="E181" s="1012">
        <v>1</v>
      </c>
      <c r="F181" s="749" t="s">
        <v>4857</v>
      </c>
      <c r="G181" s="752" t="s">
        <v>4889</v>
      </c>
      <c r="H181" s="752" t="s">
        <v>4857</v>
      </c>
      <c r="I181" s="938" t="s">
        <v>4890</v>
      </c>
      <c r="J181" s="749" t="s">
        <v>3974</v>
      </c>
      <c r="K181" s="960" t="s">
        <v>4179</v>
      </c>
      <c r="L181" s="960"/>
      <c r="M181" s="939" t="s">
        <v>3979</v>
      </c>
      <c r="N181" s="926" t="s">
        <v>3979</v>
      </c>
      <c r="O181" s="926" t="s">
        <v>3974</v>
      </c>
      <c r="P181" s="926"/>
      <c r="Q181" s="940">
        <v>1</v>
      </c>
      <c r="R181" s="940">
        <v>1</v>
      </c>
      <c r="S181" s="1014" t="s">
        <v>4129</v>
      </c>
      <c r="T181" s="926" t="s">
        <v>3974</v>
      </c>
      <c r="U181" s="926" t="s">
        <v>3974</v>
      </c>
      <c r="V181" s="926" t="s">
        <v>3974</v>
      </c>
      <c r="W181" s="926" t="s">
        <v>3974</v>
      </c>
      <c r="X181" s="1015" t="s">
        <v>3979</v>
      </c>
      <c r="Y181" s="749" t="s">
        <v>3980</v>
      </c>
      <c r="Z181" s="752" t="s">
        <v>4860</v>
      </c>
      <c r="AA181" s="752" t="s">
        <v>4103</v>
      </c>
    </row>
    <row r="182" spans="1:27" ht="41.25" customHeight="1">
      <c r="A182" s="1010" t="s">
        <v>4891</v>
      </c>
      <c r="B182" s="1010" t="s">
        <v>4892</v>
      </c>
      <c r="C182" s="1011" t="s">
        <v>4893</v>
      </c>
      <c r="D182" s="750" t="s">
        <v>4894</v>
      </c>
      <c r="E182" s="1012">
        <v>1</v>
      </c>
      <c r="F182" s="749" t="s">
        <v>4857</v>
      </c>
      <c r="G182" s="752" t="s">
        <v>4895</v>
      </c>
      <c r="H182" s="752" t="s">
        <v>4857</v>
      </c>
      <c r="I182" s="938" t="s">
        <v>4896</v>
      </c>
      <c r="J182" s="749" t="s">
        <v>3974</v>
      </c>
      <c r="K182" s="960" t="s">
        <v>4179</v>
      </c>
      <c r="L182" s="960"/>
      <c r="M182" s="939" t="s">
        <v>3979</v>
      </c>
      <c r="N182" s="926" t="s">
        <v>3979</v>
      </c>
      <c r="O182" s="926" t="s">
        <v>3974</v>
      </c>
      <c r="P182" s="926"/>
      <c r="Q182" s="940">
        <v>1</v>
      </c>
      <c r="R182" s="940">
        <v>1</v>
      </c>
      <c r="S182" s="1014" t="s">
        <v>4129</v>
      </c>
      <c r="T182" s="926" t="s">
        <v>3974</v>
      </c>
      <c r="U182" s="926" t="s">
        <v>3974</v>
      </c>
      <c r="V182" s="926" t="s">
        <v>3974</v>
      </c>
      <c r="W182" s="926" t="s">
        <v>3974</v>
      </c>
      <c r="X182" s="1015" t="s">
        <v>3979</v>
      </c>
      <c r="Y182" s="749" t="s">
        <v>3980</v>
      </c>
      <c r="Z182" s="752" t="s">
        <v>4860</v>
      </c>
      <c r="AA182" s="752" t="s">
        <v>4103</v>
      </c>
    </row>
    <row r="183" spans="1:27" ht="54.75" customHeight="1">
      <c r="A183" s="1010" t="s">
        <v>4897</v>
      </c>
      <c r="B183" s="3248" t="s">
        <v>4898</v>
      </c>
      <c r="C183" s="1011" t="s">
        <v>4899</v>
      </c>
      <c r="D183" s="750" t="s">
        <v>4900</v>
      </c>
      <c r="E183" s="1012">
        <v>1</v>
      </c>
      <c r="F183" s="749" t="s">
        <v>4857</v>
      </c>
      <c r="G183" s="752" t="s">
        <v>4901</v>
      </c>
      <c r="H183" s="752" t="s">
        <v>4857</v>
      </c>
      <c r="I183" s="938" t="s">
        <v>4902</v>
      </c>
      <c r="J183" s="749" t="s">
        <v>3974</v>
      </c>
      <c r="K183" s="960" t="s">
        <v>4179</v>
      </c>
      <c r="L183" s="960"/>
      <c r="M183" s="939" t="s">
        <v>3979</v>
      </c>
      <c r="N183" s="926" t="s">
        <v>3979</v>
      </c>
      <c r="O183" s="926" t="s">
        <v>3974</v>
      </c>
      <c r="P183" s="926"/>
      <c r="Q183" s="940">
        <v>1</v>
      </c>
      <c r="R183" s="940">
        <v>1</v>
      </c>
      <c r="S183" s="930" t="s">
        <v>3974</v>
      </c>
      <c r="T183" s="926" t="s">
        <v>3974</v>
      </c>
      <c r="U183" s="926" t="s">
        <v>3974</v>
      </c>
      <c r="V183" s="926" t="s">
        <v>3974</v>
      </c>
      <c r="W183" s="926" t="s">
        <v>3974</v>
      </c>
      <c r="X183" s="1015" t="s">
        <v>3979</v>
      </c>
      <c r="Y183" s="749" t="s">
        <v>3980</v>
      </c>
      <c r="Z183" s="752" t="s">
        <v>4903</v>
      </c>
      <c r="AA183" s="752" t="s">
        <v>4103</v>
      </c>
    </row>
    <row r="184" spans="1:27" ht="54.75" customHeight="1">
      <c r="A184" s="1010" t="s">
        <v>3432</v>
      </c>
      <c r="B184" s="1010" t="s">
        <v>4904</v>
      </c>
      <c r="C184" s="1011" t="s">
        <v>4905</v>
      </c>
      <c r="D184" s="750" t="s">
        <v>4906</v>
      </c>
      <c r="E184" s="1012">
        <v>1</v>
      </c>
      <c r="F184" s="749" t="s">
        <v>4857</v>
      </c>
      <c r="G184" s="752" t="s">
        <v>4907</v>
      </c>
      <c r="H184" s="752" t="s">
        <v>4857</v>
      </c>
      <c r="I184" s="938" t="s">
        <v>4908</v>
      </c>
      <c r="J184" s="749" t="s">
        <v>3974</v>
      </c>
      <c r="K184" s="960" t="s">
        <v>4179</v>
      </c>
      <c r="L184" s="960"/>
      <c r="M184" s="939" t="s">
        <v>3979</v>
      </c>
      <c r="N184" s="926" t="s">
        <v>3979</v>
      </c>
      <c r="O184" s="926" t="s">
        <v>3974</v>
      </c>
      <c r="P184" s="926"/>
      <c r="Q184" s="940">
        <v>1</v>
      </c>
      <c r="R184" s="940">
        <v>1</v>
      </c>
      <c r="S184" s="1014" t="s">
        <v>4129</v>
      </c>
      <c r="T184" s="926" t="s">
        <v>3974</v>
      </c>
      <c r="U184" s="926" t="s">
        <v>3974</v>
      </c>
      <c r="V184" s="926" t="s">
        <v>3974</v>
      </c>
      <c r="W184" s="926" t="s">
        <v>3974</v>
      </c>
      <c r="X184" s="1015" t="s">
        <v>3979</v>
      </c>
      <c r="Y184" s="749" t="s">
        <v>3980</v>
      </c>
      <c r="Z184" s="752" t="s">
        <v>4909</v>
      </c>
      <c r="AA184" s="752" t="s">
        <v>4910</v>
      </c>
    </row>
    <row r="185" spans="1:27" ht="41.25" customHeight="1">
      <c r="A185" s="1010" t="s">
        <v>3433</v>
      </c>
      <c r="B185" s="1010" t="s">
        <v>4911</v>
      </c>
      <c r="C185" s="1011" t="s">
        <v>4912</v>
      </c>
      <c r="D185" s="750" t="s">
        <v>4913</v>
      </c>
      <c r="E185" s="1012">
        <v>1</v>
      </c>
      <c r="F185" s="749" t="s">
        <v>4857</v>
      </c>
      <c r="G185" s="752" t="s">
        <v>4914</v>
      </c>
      <c r="H185" s="752" t="s">
        <v>4857</v>
      </c>
      <c r="I185" s="938" t="s">
        <v>4915</v>
      </c>
      <c r="J185" s="749" t="s">
        <v>3974</v>
      </c>
      <c r="K185" s="960" t="s">
        <v>4179</v>
      </c>
      <c r="L185" s="960"/>
      <c r="M185" s="939" t="s">
        <v>3979</v>
      </c>
      <c r="N185" s="926" t="s">
        <v>3979</v>
      </c>
      <c r="O185" s="926" t="s">
        <v>3974</v>
      </c>
      <c r="P185" s="926"/>
      <c r="Q185" s="940">
        <v>1</v>
      </c>
      <c r="R185" s="940">
        <v>1</v>
      </c>
      <c r="S185" s="1014" t="s">
        <v>4129</v>
      </c>
      <c r="T185" s="926" t="s">
        <v>3974</v>
      </c>
      <c r="U185" s="926" t="s">
        <v>3974</v>
      </c>
      <c r="V185" s="926" t="s">
        <v>3974</v>
      </c>
      <c r="W185" s="926" t="s">
        <v>3974</v>
      </c>
      <c r="X185" s="1015" t="s">
        <v>3979</v>
      </c>
      <c r="Y185" s="749" t="s">
        <v>3980</v>
      </c>
      <c r="Z185" s="752" t="s">
        <v>4837</v>
      </c>
      <c r="AA185" s="752" t="s">
        <v>4838</v>
      </c>
    </row>
    <row r="186" spans="1:27" ht="54.75" customHeight="1">
      <c r="A186" s="1010" t="s">
        <v>3449</v>
      </c>
      <c r="B186" s="1010" t="s">
        <v>4916</v>
      </c>
      <c r="C186" s="1011" t="s">
        <v>4917</v>
      </c>
      <c r="D186" s="750" t="s">
        <v>4918</v>
      </c>
      <c r="E186" s="1012">
        <v>1</v>
      </c>
      <c r="F186" s="749" t="s">
        <v>4919</v>
      </c>
      <c r="G186" s="1013" t="s">
        <v>4858</v>
      </c>
      <c r="H186" s="752" t="s">
        <v>4919</v>
      </c>
      <c r="I186" s="1013" t="s">
        <v>4920</v>
      </c>
      <c r="J186" s="749" t="s">
        <v>3974</v>
      </c>
      <c r="K186" s="960" t="s">
        <v>4179</v>
      </c>
      <c r="L186" s="959" t="s">
        <v>4921</v>
      </c>
      <c r="M186" s="939" t="s">
        <v>3979</v>
      </c>
      <c r="N186" s="926" t="s">
        <v>3979</v>
      </c>
      <c r="O186" s="926" t="s">
        <v>3974</v>
      </c>
      <c r="P186" s="926"/>
      <c r="Q186" s="940">
        <v>1</v>
      </c>
      <c r="R186" s="940">
        <v>1</v>
      </c>
      <c r="S186" s="941" t="s">
        <v>3974</v>
      </c>
      <c r="T186" s="926" t="s">
        <v>3974</v>
      </c>
      <c r="U186" s="926" t="s">
        <v>3974</v>
      </c>
      <c r="V186" s="926" t="s">
        <v>3974</v>
      </c>
      <c r="W186" s="926" t="s">
        <v>3974</v>
      </c>
      <c r="X186" s="1015" t="s">
        <v>3979</v>
      </c>
      <c r="Y186" s="749" t="s">
        <v>3980</v>
      </c>
      <c r="Z186" s="752" t="s">
        <v>4922</v>
      </c>
      <c r="AA186" s="752" t="s">
        <v>4923</v>
      </c>
    </row>
    <row r="187" spans="1:27" ht="41.25" customHeight="1">
      <c r="A187" s="1010" t="s">
        <v>4924</v>
      </c>
      <c r="B187" s="1010" t="s">
        <v>4925</v>
      </c>
      <c r="C187" s="1011" t="s">
        <v>4926</v>
      </c>
      <c r="D187" s="750" t="s">
        <v>4927</v>
      </c>
      <c r="E187" s="1012">
        <v>1</v>
      </c>
      <c r="F187" s="749" t="s">
        <v>4919</v>
      </c>
      <c r="G187" s="1005" t="s">
        <v>4780</v>
      </c>
      <c r="H187" s="752" t="s">
        <v>4919</v>
      </c>
      <c r="I187" s="938" t="s">
        <v>4928</v>
      </c>
      <c r="J187" s="749" t="s">
        <v>3974</v>
      </c>
      <c r="K187" s="960" t="s">
        <v>4179</v>
      </c>
      <c r="L187" s="959" t="s">
        <v>4921</v>
      </c>
      <c r="M187" s="939" t="s">
        <v>3979</v>
      </c>
      <c r="N187" s="926" t="s">
        <v>3979</v>
      </c>
      <c r="O187" s="926" t="s">
        <v>3974</v>
      </c>
      <c r="P187" s="926"/>
      <c r="Q187" s="940">
        <v>1</v>
      </c>
      <c r="R187" s="940">
        <v>1</v>
      </c>
      <c r="S187" s="941" t="s">
        <v>3974</v>
      </c>
      <c r="T187" s="926" t="s">
        <v>3974</v>
      </c>
      <c r="U187" s="926" t="s">
        <v>3974</v>
      </c>
      <c r="V187" s="926" t="s">
        <v>3974</v>
      </c>
      <c r="W187" s="926" t="s">
        <v>3974</v>
      </c>
      <c r="X187" s="1015" t="s">
        <v>3979</v>
      </c>
      <c r="Y187" s="749" t="s">
        <v>3980</v>
      </c>
      <c r="Z187" s="752" t="s">
        <v>4782</v>
      </c>
      <c r="AA187" s="752" t="s">
        <v>4866</v>
      </c>
    </row>
    <row r="188" spans="1:27" ht="41.25" customHeight="1">
      <c r="A188" s="3404" t="s">
        <v>3451</v>
      </c>
      <c r="B188" s="925" t="s">
        <v>4929</v>
      </c>
      <c r="C188" s="1011" t="s">
        <v>4930</v>
      </c>
      <c r="D188" s="750" t="s">
        <v>4931</v>
      </c>
      <c r="E188" s="1012">
        <v>1</v>
      </c>
      <c r="F188" s="749" t="s">
        <v>4919</v>
      </c>
      <c r="G188" s="752" t="s">
        <v>4870</v>
      </c>
      <c r="H188" s="752" t="s">
        <v>4919</v>
      </c>
      <c r="I188" s="938" t="s">
        <v>4932</v>
      </c>
      <c r="J188" s="749" t="s">
        <v>3974</v>
      </c>
      <c r="K188" s="960" t="s">
        <v>4179</v>
      </c>
      <c r="L188" s="959" t="s">
        <v>4921</v>
      </c>
      <c r="M188" s="939" t="s">
        <v>3979</v>
      </c>
      <c r="N188" s="926" t="s">
        <v>3979</v>
      </c>
      <c r="O188" s="926" t="s">
        <v>3974</v>
      </c>
      <c r="P188" s="926"/>
      <c r="Q188" s="940">
        <v>1</v>
      </c>
      <c r="R188" s="940">
        <v>1</v>
      </c>
      <c r="S188" s="941" t="s">
        <v>3974</v>
      </c>
      <c r="T188" s="926" t="s">
        <v>3974</v>
      </c>
      <c r="U188" s="926" t="s">
        <v>3974</v>
      </c>
      <c r="V188" s="926" t="s">
        <v>3974</v>
      </c>
      <c r="W188" s="926" t="s">
        <v>3974</v>
      </c>
      <c r="X188" s="1015" t="s">
        <v>3979</v>
      </c>
      <c r="Y188" s="749" t="s">
        <v>3980</v>
      </c>
      <c r="Z188" s="752" t="s">
        <v>4933</v>
      </c>
      <c r="AA188" s="752" t="s">
        <v>4923</v>
      </c>
    </row>
    <row r="189" spans="1:27" ht="27.75" customHeight="1">
      <c r="A189" s="3404"/>
      <c r="B189" s="925" t="s">
        <v>4934</v>
      </c>
      <c r="C189" s="1011" t="s">
        <v>4935</v>
      </c>
      <c r="D189" s="750" t="s">
        <v>4936</v>
      </c>
      <c r="E189" s="1012">
        <v>1</v>
      </c>
      <c r="F189" s="749" t="s">
        <v>4919</v>
      </c>
      <c r="G189" s="752" t="s">
        <v>4876</v>
      </c>
      <c r="H189" s="752" t="s">
        <v>4919</v>
      </c>
      <c r="I189" s="938" t="s">
        <v>4937</v>
      </c>
      <c r="J189" s="749" t="s">
        <v>3974</v>
      </c>
      <c r="K189" s="960" t="s">
        <v>4179</v>
      </c>
      <c r="L189" s="959" t="s">
        <v>4921</v>
      </c>
      <c r="M189" s="939" t="s">
        <v>3979</v>
      </c>
      <c r="N189" s="926" t="s">
        <v>3979</v>
      </c>
      <c r="O189" s="926" t="s">
        <v>3974</v>
      </c>
      <c r="P189" s="926"/>
      <c r="Q189" s="940">
        <v>1</v>
      </c>
      <c r="R189" s="940">
        <v>1</v>
      </c>
      <c r="S189" s="941" t="s">
        <v>3974</v>
      </c>
      <c r="T189" s="926" t="s">
        <v>3974</v>
      </c>
      <c r="U189" s="926" t="s">
        <v>3974</v>
      </c>
      <c r="V189" s="926" t="s">
        <v>3974</v>
      </c>
      <c r="W189" s="926" t="s">
        <v>3974</v>
      </c>
      <c r="X189" s="1015" t="s">
        <v>3979</v>
      </c>
      <c r="Y189" s="749" t="s">
        <v>3980</v>
      </c>
      <c r="Z189" s="752" t="s">
        <v>4878</v>
      </c>
      <c r="AA189" s="752" t="s">
        <v>4923</v>
      </c>
    </row>
    <row r="190" spans="1:27" ht="41.25" customHeight="1">
      <c r="A190" s="3404"/>
      <c r="B190" s="925" t="s">
        <v>4938</v>
      </c>
      <c r="C190" s="1011" t="s">
        <v>4939</v>
      </c>
      <c r="D190" s="750" t="s">
        <v>4940</v>
      </c>
      <c r="E190" s="1012">
        <v>1</v>
      </c>
      <c r="F190" s="749" t="s">
        <v>4919</v>
      </c>
      <c r="G190" s="1005" t="s">
        <v>4882</v>
      </c>
      <c r="H190" s="752" t="s">
        <v>4919</v>
      </c>
      <c r="I190" s="938" t="s">
        <v>4941</v>
      </c>
      <c r="J190" s="749" t="s">
        <v>3974</v>
      </c>
      <c r="K190" s="960" t="s">
        <v>4179</v>
      </c>
      <c r="L190" s="959" t="s">
        <v>4921</v>
      </c>
      <c r="M190" s="939" t="s">
        <v>3979</v>
      </c>
      <c r="N190" s="926" t="s">
        <v>3979</v>
      </c>
      <c r="O190" s="926" t="s">
        <v>3974</v>
      </c>
      <c r="P190" s="926"/>
      <c r="Q190" s="940">
        <v>1</v>
      </c>
      <c r="R190" s="940">
        <v>1</v>
      </c>
      <c r="S190" s="941" t="s">
        <v>3974</v>
      </c>
      <c r="T190" s="926" t="s">
        <v>3974</v>
      </c>
      <c r="U190" s="926" t="s">
        <v>3974</v>
      </c>
      <c r="V190" s="926" t="s">
        <v>3974</v>
      </c>
      <c r="W190" s="926" t="s">
        <v>3974</v>
      </c>
      <c r="X190" s="1015" t="s">
        <v>3979</v>
      </c>
      <c r="Y190" s="749" t="s">
        <v>3980</v>
      </c>
      <c r="Z190" s="752" t="s">
        <v>4884</v>
      </c>
      <c r="AA190" s="752" t="s">
        <v>4885</v>
      </c>
    </row>
    <row r="191" spans="1:27" ht="68.25" customHeight="1">
      <c r="A191" s="1010" t="s">
        <v>3452</v>
      </c>
      <c r="B191" s="1010" t="s">
        <v>4942</v>
      </c>
      <c r="C191" s="1011" t="s">
        <v>4943</v>
      </c>
      <c r="D191" s="750" t="s">
        <v>4944</v>
      </c>
      <c r="E191" s="1012">
        <v>1</v>
      </c>
      <c r="F191" s="749" t="s">
        <v>4919</v>
      </c>
      <c r="G191" s="752" t="s">
        <v>4945</v>
      </c>
      <c r="H191" s="752" t="s">
        <v>4919</v>
      </c>
      <c r="I191" s="938" t="s">
        <v>4946</v>
      </c>
      <c r="J191" s="749" t="s">
        <v>3974</v>
      </c>
      <c r="K191" s="960" t="s">
        <v>4179</v>
      </c>
      <c r="L191" s="959" t="s">
        <v>4921</v>
      </c>
      <c r="M191" s="939" t="s">
        <v>3979</v>
      </c>
      <c r="N191" s="926" t="s">
        <v>3979</v>
      </c>
      <c r="O191" s="926" t="s">
        <v>3974</v>
      </c>
      <c r="P191" s="926"/>
      <c r="Q191" s="940">
        <v>1</v>
      </c>
      <c r="R191" s="940">
        <v>1</v>
      </c>
      <c r="S191" s="941" t="s">
        <v>3974</v>
      </c>
      <c r="T191" s="926" t="s">
        <v>3974</v>
      </c>
      <c r="U191" s="926" t="s">
        <v>3974</v>
      </c>
      <c r="V191" s="926" t="s">
        <v>3974</v>
      </c>
      <c r="W191" s="926" t="s">
        <v>3974</v>
      </c>
      <c r="X191" s="1015" t="s">
        <v>3979</v>
      </c>
      <c r="Y191" s="749" t="s">
        <v>3980</v>
      </c>
      <c r="Z191" s="752" t="s">
        <v>4922</v>
      </c>
      <c r="AA191" s="752" t="s">
        <v>4923</v>
      </c>
    </row>
    <row r="192" spans="1:27" ht="68.25" customHeight="1">
      <c r="A192" s="1010" t="s">
        <v>4947</v>
      </c>
      <c r="B192" s="1010" t="s">
        <v>4948</v>
      </c>
      <c r="C192" s="1011" t="s">
        <v>4949</v>
      </c>
      <c r="D192" s="750" t="s">
        <v>4950</v>
      </c>
      <c r="E192" s="1012">
        <v>1</v>
      </c>
      <c r="F192" s="749" t="s">
        <v>4919</v>
      </c>
      <c r="G192" s="752" t="s">
        <v>4951</v>
      </c>
      <c r="H192" s="752" t="s">
        <v>4919</v>
      </c>
      <c r="I192" s="938" t="s">
        <v>4952</v>
      </c>
      <c r="J192" s="749" t="s">
        <v>3974</v>
      </c>
      <c r="K192" s="960" t="s">
        <v>4179</v>
      </c>
      <c r="L192" s="959" t="s">
        <v>4921</v>
      </c>
      <c r="M192" s="939" t="s">
        <v>3979</v>
      </c>
      <c r="N192" s="926" t="s">
        <v>3979</v>
      </c>
      <c r="O192" s="926" t="s">
        <v>3974</v>
      </c>
      <c r="P192" s="926"/>
      <c r="Q192" s="940">
        <v>1</v>
      </c>
      <c r="R192" s="940">
        <v>1</v>
      </c>
      <c r="S192" s="941" t="s">
        <v>3974</v>
      </c>
      <c r="T192" s="926" t="s">
        <v>3974</v>
      </c>
      <c r="U192" s="926" t="s">
        <v>3974</v>
      </c>
      <c r="V192" s="926" t="s">
        <v>3974</v>
      </c>
      <c r="W192" s="926" t="s">
        <v>3974</v>
      </c>
      <c r="X192" s="1015" t="s">
        <v>3979</v>
      </c>
      <c r="Y192" s="749" t="s">
        <v>3980</v>
      </c>
      <c r="Z192" s="752" t="s">
        <v>4922</v>
      </c>
      <c r="AA192" s="752" t="s">
        <v>4923</v>
      </c>
    </row>
    <row r="193" spans="1:28" ht="68.25" customHeight="1">
      <c r="A193" s="1010" t="s">
        <v>4953</v>
      </c>
      <c r="B193" s="1010" t="s">
        <v>4954</v>
      </c>
      <c r="C193" s="1011" t="s">
        <v>4955</v>
      </c>
      <c r="D193" s="750" t="s">
        <v>4956</v>
      </c>
      <c r="E193" s="1012">
        <v>1</v>
      </c>
      <c r="F193" s="749" t="s">
        <v>4919</v>
      </c>
      <c r="G193" s="752" t="s">
        <v>4957</v>
      </c>
      <c r="H193" s="752" t="s">
        <v>4919</v>
      </c>
      <c r="I193" s="938" t="s">
        <v>4958</v>
      </c>
      <c r="J193" s="749" t="s">
        <v>3974</v>
      </c>
      <c r="K193" s="960" t="s">
        <v>4179</v>
      </c>
      <c r="L193" s="959" t="s">
        <v>4921</v>
      </c>
      <c r="M193" s="939" t="s">
        <v>3979</v>
      </c>
      <c r="N193" s="926" t="s">
        <v>3979</v>
      </c>
      <c r="O193" s="926" t="s">
        <v>3974</v>
      </c>
      <c r="P193" s="926"/>
      <c r="Q193" s="940">
        <v>1</v>
      </c>
      <c r="R193" s="940">
        <v>1</v>
      </c>
      <c r="S193" s="941" t="s">
        <v>3974</v>
      </c>
      <c r="T193" s="926" t="s">
        <v>3974</v>
      </c>
      <c r="U193" s="926" t="s">
        <v>3974</v>
      </c>
      <c r="V193" s="926" t="s">
        <v>3974</v>
      </c>
      <c r="W193" s="926" t="s">
        <v>3974</v>
      </c>
      <c r="X193" s="1015" t="s">
        <v>3979</v>
      </c>
      <c r="Y193" s="749" t="s">
        <v>3980</v>
      </c>
      <c r="Z193" s="752" t="s">
        <v>4959</v>
      </c>
      <c r="AA193" s="752" t="s">
        <v>4923</v>
      </c>
    </row>
    <row r="194" spans="1:28" ht="54.75" customHeight="1">
      <c r="A194" s="1010" t="s">
        <v>3455</v>
      </c>
      <c r="B194" s="1010" t="s">
        <v>4960</v>
      </c>
      <c r="C194" s="1011" t="s">
        <v>4961</v>
      </c>
      <c r="D194" s="750" t="s">
        <v>4962</v>
      </c>
      <c r="E194" s="1012">
        <v>1</v>
      </c>
      <c r="F194" s="749" t="s">
        <v>4919</v>
      </c>
      <c r="G194" s="752" t="s">
        <v>4963</v>
      </c>
      <c r="H194" s="752" t="s">
        <v>4919</v>
      </c>
      <c r="I194" s="938" t="s">
        <v>4964</v>
      </c>
      <c r="J194" s="749" t="s">
        <v>3974</v>
      </c>
      <c r="K194" s="960" t="s">
        <v>4179</v>
      </c>
      <c r="L194" s="959" t="s">
        <v>4921</v>
      </c>
      <c r="M194" s="939" t="s">
        <v>3979</v>
      </c>
      <c r="N194" s="926" t="s">
        <v>3979</v>
      </c>
      <c r="O194" s="926" t="s">
        <v>3974</v>
      </c>
      <c r="P194" s="926"/>
      <c r="Q194" s="940">
        <v>1</v>
      </c>
      <c r="R194" s="940">
        <v>1</v>
      </c>
      <c r="S194" s="941" t="s">
        <v>3974</v>
      </c>
      <c r="T194" s="926" t="s">
        <v>3974</v>
      </c>
      <c r="U194" s="926" t="s">
        <v>3974</v>
      </c>
      <c r="V194" s="926" t="s">
        <v>3974</v>
      </c>
      <c r="W194" s="926" t="s">
        <v>3974</v>
      </c>
      <c r="X194" s="1015" t="s">
        <v>3979</v>
      </c>
      <c r="Y194" s="749" t="s">
        <v>3980</v>
      </c>
      <c r="Z194" s="752" t="s">
        <v>4965</v>
      </c>
      <c r="AA194" s="752" t="s">
        <v>4910</v>
      </c>
    </row>
    <row r="195" spans="1:28" ht="27.75" customHeight="1">
      <c r="A195" s="579" t="s">
        <v>3456</v>
      </c>
      <c r="B195" s="579" t="s">
        <v>4966</v>
      </c>
      <c r="C195" s="618" t="s">
        <v>4967</v>
      </c>
      <c r="D195" s="562" t="s">
        <v>4968</v>
      </c>
      <c r="E195" s="580">
        <v>1</v>
      </c>
      <c r="F195" s="581" t="s">
        <v>4919</v>
      </c>
      <c r="G195" s="539" t="s">
        <v>4969</v>
      </c>
      <c r="H195" s="539" t="s">
        <v>4919</v>
      </c>
      <c r="I195" s="541" t="s">
        <v>4915</v>
      </c>
      <c r="J195" s="749" t="s">
        <v>3974</v>
      </c>
      <c r="K195" s="960" t="s">
        <v>4179</v>
      </c>
      <c r="L195" s="959" t="s">
        <v>4921</v>
      </c>
      <c r="M195" s="939" t="s">
        <v>3979</v>
      </c>
      <c r="N195" s="926" t="s">
        <v>3979</v>
      </c>
      <c r="O195" s="926" t="s">
        <v>3974</v>
      </c>
      <c r="P195" s="926"/>
      <c r="Q195" s="940">
        <v>1</v>
      </c>
      <c r="R195" s="940">
        <v>1</v>
      </c>
      <c r="S195" s="941" t="s">
        <v>3974</v>
      </c>
      <c r="T195" s="926" t="s">
        <v>3974</v>
      </c>
      <c r="U195" s="926" t="s">
        <v>3974</v>
      </c>
      <c r="V195" s="926" t="s">
        <v>3974</v>
      </c>
      <c r="W195" s="926" t="s">
        <v>3974</v>
      </c>
      <c r="X195" s="1015" t="s">
        <v>3979</v>
      </c>
      <c r="Y195" s="749" t="s">
        <v>3980</v>
      </c>
      <c r="Z195" s="752" t="s">
        <v>4837</v>
      </c>
      <c r="AA195" s="752" t="s">
        <v>4838</v>
      </c>
    </row>
    <row r="196" spans="1:28" s="9" customFormat="1" ht="15.75" customHeight="1">
      <c r="A196" s="481" t="s">
        <v>4970</v>
      </c>
      <c r="B196" s="323" t="s">
        <v>4971</v>
      </c>
      <c r="C196" s="482" t="s">
        <v>4972</v>
      </c>
      <c r="D196" s="332" t="s">
        <v>4973</v>
      </c>
      <c r="E196" s="323">
        <v>3</v>
      </c>
      <c r="F196" s="323" t="s">
        <v>4974</v>
      </c>
      <c r="G196" s="482" t="s">
        <v>4972</v>
      </c>
      <c r="H196" s="322"/>
      <c r="I196" s="482" t="s">
        <v>4975</v>
      </c>
      <c r="J196" s="1019" t="s">
        <v>3974</v>
      </c>
      <c r="K196" s="967" t="s">
        <v>4179</v>
      </c>
      <c r="L196" s="956" t="s">
        <v>3974</v>
      </c>
      <c r="M196" s="970" t="s">
        <v>3979</v>
      </c>
      <c r="N196" s="956" t="s">
        <v>3979</v>
      </c>
      <c r="O196" s="956" t="s">
        <v>3974</v>
      </c>
      <c r="P196" s="956"/>
      <c r="Q196" s="1020">
        <v>1</v>
      </c>
      <c r="R196" s="1020">
        <v>1</v>
      </c>
      <c r="S196" s="1021" t="s">
        <v>3974</v>
      </c>
      <c r="T196" s="956" t="s">
        <v>3974</v>
      </c>
      <c r="U196" s="956" t="s">
        <v>3974</v>
      </c>
      <c r="V196" s="956" t="s">
        <v>3974</v>
      </c>
      <c r="W196" s="956" t="s">
        <v>3974</v>
      </c>
      <c r="X196" s="1022" t="s">
        <v>3979</v>
      </c>
      <c r="Y196" s="1023" t="s">
        <v>3980</v>
      </c>
      <c r="Z196" s="1024" t="s">
        <v>4976</v>
      </c>
      <c r="AA196" s="1024" t="s">
        <v>4977</v>
      </c>
      <c r="AB196" s="319" t="s">
        <v>4978</v>
      </c>
    </row>
    <row r="197" spans="1:28" ht="27.75" customHeight="1">
      <c r="A197" s="33" t="s">
        <v>4979</v>
      </c>
      <c r="B197" s="33" t="s">
        <v>4980</v>
      </c>
      <c r="C197" s="619" t="s">
        <v>4981</v>
      </c>
      <c r="D197" s="30" t="s">
        <v>4982</v>
      </c>
      <c r="E197" s="352">
        <v>1</v>
      </c>
      <c r="F197" s="309" t="s">
        <v>4983</v>
      </c>
      <c r="G197" s="35" t="s">
        <v>4984</v>
      </c>
      <c r="H197" s="35"/>
      <c r="I197" s="36" t="s">
        <v>4985</v>
      </c>
      <c r="J197" s="1025" t="s">
        <v>3974</v>
      </c>
      <c r="K197" s="960" t="s">
        <v>4179</v>
      </c>
      <c r="L197" s="926" t="s">
        <v>3974</v>
      </c>
      <c r="M197" s="939" t="s">
        <v>3979</v>
      </c>
      <c r="N197" s="926" t="s">
        <v>3979</v>
      </c>
      <c r="O197" s="926" t="s">
        <v>3974</v>
      </c>
      <c r="P197" s="926"/>
      <c r="Q197" s="940">
        <v>1</v>
      </c>
      <c r="R197" s="940">
        <v>1</v>
      </c>
      <c r="S197" s="1014" t="s">
        <v>4129</v>
      </c>
      <c r="T197" s="926" t="s">
        <v>3974</v>
      </c>
      <c r="U197" s="926" t="s">
        <v>3974</v>
      </c>
      <c r="V197" s="926" t="s">
        <v>3974</v>
      </c>
      <c r="W197" s="926" t="s">
        <v>3974</v>
      </c>
      <c r="X197" s="1015" t="s">
        <v>3979</v>
      </c>
      <c r="Y197" s="749" t="s">
        <v>3980</v>
      </c>
      <c r="Z197" s="752" t="s">
        <v>4986</v>
      </c>
      <c r="AA197" s="752" t="s">
        <v>4987</v>
      </c>
    </row>
    <row r="198" spans="1:28" ht="27.75" customHeight="1">
      <c r="A198" s="206" t="s">
        <v>4988</v>
      </c>
      <c r="B198" s="1010" t="s">
        <v>4989</v>
      </c>
      <c r="C198" s="619" t="s">
        <v>4990</v>
      </c>
      <c r="D198" s="30" t="s">
        <v>4991</v>
      </c>
      <c r="E198" s="352">
        <v>1</v>
      </c>
      <c r="F198" s="581" t="s">
        <v>4992</v>
      </c>
      <c r="G198" s="34" t="s">
        <v>4990</v>
      </c>
      <c r="H198" s="539"/>
      <c r="I198" s="34" t="s">
        <v>4993</v>
      </c>
      <c r="J198" s="1025" t="s">
        <v>3974</v>
      </c>
      <c r="K198" s="960" t="s">
        <v>4179</v>
      </c>
      <c r="L198" s="926" t="s">
        <v>3974</v>
      </c>
      <c r="M198" s="939" t="s">
        <v>3979</v>
      </c>
      <c r="N198" s="926" t="s">
        <v>3979</v>
      </c>
      <c r="O198" s="926" t="s">
        <v>3974</v>
      </c>
      <c r="P198" s="926"/>
      <c r="Q198" s="940">
        <v>1</v>
      </c>
      <c r="R198" s="940">
        <v>1</v>
      </c>
      <c r="S198" s="941" t="s">
        <v>3974</v>
      </c>
      <c r="T198" s="926" t="s">
        <v>3974</v>
      </c>
      <c r="U198" s="926" t="s">
        <v>3974</v>
      </c>
      <c r="V198" s="926" t="s">
        <v>3974</v>
      </c>
      <c r="W198" s="926" t="s">
        <v>3974</v>
      </c>
      <c r="X198" s="1015" t="s">
        <v>3979</v>
      </c>
      <c r="Y198" s="749" t="s">
        <v>3980</v>
      </c>
      <c r="Z198" s="752" t="s">
        <v>4994</v>
      </c>
      <c r="AA198" s="752" t="s">
        <v>4995</v>
      </c>
    </row>
    <row r="199" spans="1:28" ht="15.75" customHeight="1">
      <c r="A199" s="207" t="s">
        <v>4996</v>
      </c>
      <c r="B199" s="207" t="s">
        <v>4997</v>
      </c>
      <c r="C199" s="208" t="s">
        <v>4998</v>
      </c>
      <c r="D199" s="30" t="s">
        <v>4999</v>
      </c>
      <c r="E199" s="352">
        <v>1</v>
      </c>
      <c r="F199" s="942" t="s">
        <v>4116</v>
      </c>
      <c r="G199" s="1110" t="s">
        <v>4998</v>
      </c>
      <c r="H199" s="539"/>
      <c r="I199" s="34" t="s">
        <v>5000</v>
      </c>
      <c r="J199" s="1025" t="s">
        <v>3974</v>
      </c>
      <c r="K199" s="960" t="s">
        <v>4179</v>
      </c>
      <c r="L199" s="926" t="s">
        <v>3974</v>
      </c>
      <c r="M199" s="939" t="s">
        <v>3979</v>
      </c>
      <c r="N199" s="926" t="s">
        <v>3979</v>
      </c>
      <c r="O199" s="926" t="s">
        <v>3974</v>
      </c>
      <c r="P199" s="926"/>
      <c r="Q199" s="940">
        <v>1</v>
      </c>
      <c r="R199" s="940">
        <v>1</v>
      </c>
      <c r="S199" s="941" t="s">
        <v>3974</v>
      </c>
      <c r="T199" s="926" t="s">
        <v>3974</v>
      </c>
      <c r="U199" s="926" t="s">
        <v>3974</v>
      </c>
      <c r="V199" s="926" t="s">
        <v>3974</v>
      </c>
      <c r="W199" s="926" t="s">
        <v>3974</v>
      </c>
      <c r="X199" s="1015" t="s">
        <v>3979</v>
      </c>
      <c r="Y199" s="749" t="s">
        <v>3980</v>
      </c>
      <c r="Z199" s="752" t="s">
        <v>5001</v>
      </c>
      <c r="AA199" s="752" t="s">
        <v>5002</v>
      </c>
    </row>
    <row r="200" spans="1:28" ht="15.75" customHeight="1">
      <c r="A200" s="1140" t="s">
        <v>5003</v>
      </c>
      <c r="B200" s="1170" t="s">
        <v>5004</v>
      </c>
      <c r="C200" s="1170" t="s">
        <v>5005</v>
      </c>
      <c r="D200" s="1343" t="s">
        <v>5006</v>
      </c>
      <c r="E200" s="1460" t="s">
        <v>506</v>
      </c>
      <c r="F200" s="1461" t="s">
        <v>4116</v>
      </c>
      <c r="G200" s="1170" t="s">
        <v>5007</v>
      </c>
      <c r="H200" s="1462"/>
      <c r="I200" s="1463"/>
      <c r="J200" s="1201"/>
      <c r="K200" s="1464"/>
      <c r="L200" s="1252"/>
      <c r="M200" s="1465"/>
      <c r="N200" s="1252"/>
      <c r="O200" s="1252"/>
      <c r="P200" s="1252"/>
      <c r="Q200" s="1257"/>
      <c r="R200" s="1257"/>
      <c r="S200" s="1466"/>
      <c r="T200" s="1252"/>
      <c r="U200" s="1252"/>
      <c r="V200" s="1252"/>
      <c r="W200" s="1252"/>
      <c r="X200" s="1467"/>
      <c r="Y200" s="1468"/>
      <c r="Z200" s="1332" t="s">
        <v>5008</v>
      </c>
      <c r="AA200" s="1332" t="s">
        <v>5009</v>
      </c>
      <c r="AB200" s="1336"/>
    </row>
    <row r="201" spans="1:28" ht="15.75" customHeight="1">
      <c r="A201" s="1337" t="s">
        <v>5010</v>
      </c>
      <c r="B201" s="1341" t="s">
        <v>5011</v>
      </c>
      <c r="C201" s="1341" t="s">
        <v>5012</v>
      </c>
      <c r="D201" s="1343" t="s">
        <v>5013</v>
      </c>
      <c r="E201" s="1460" t="s">
        <v>506</v>
      </c>
      <c r="F201" s="1469" t="s">
        <v>4116</v>
      </c>
      <c r="G201" s="1341" t="s">
        <v>5012</v>
      </c>
      <c r="H201" s="1462"/>
      <c r="I201" s="1463"/>
      <c r="J201" s="1348"/>
      <c r="K201" s="1470"/>
      <c r="L201" s="1350"/>
      <c r="M201" s="1471"/>
      <c r="N201" s="1350"/>
      <c r="O201" s="1350"/>
      <c r="P201" s="1350"/>
      <c r="Q201" s="1351"/>
      <c r="R201" s="1351"/>
      <c r="S201" s="1472"/>
      <c r="T201" s="1350"/>
      <c r="U201" s="1350"/>
      <c r="V201" s="1350"/>
      <c r="W201" s="1350"/>
      <c r="X201" s="1473"/>
      <c r="Y201" s="1474"/>
      <c r="Z201" s="1353" t="s">
        <v>5008</v>
      </c>
      <c r="AA201" s="1353" t="s">
        <v>5009</v>
      </c>
      <c r="AB201" s="1336"/>
    </row>
    <row r="202" spans="1:28" ht="15.75" customHeight="1">
      <c r="A202" s="1337" t="s">
        <v>5014</v>
      </c>
      <c r="B202" s="1497" t="s">
        <v>5015</v>
      </c>
      <c r="C202" s="1341" t="s">
        <v>5016</v>
      </c>
      <c r="D202" s="1343" t="s">
        <v>5017</v>
      </c>
      <c r="E202" s="1460" t="s">
        <v>506</v>
      </c>
      <c r="F202" s="1469" t="s">
        <v>4116</v>
      </c>
      <c r="G202" s="1341" t="s">
        <v>5016</v>
      </c>
      <c r="H202" s="1462"/>
      <c r="I202" s="1463"/>
      <c r="J202" s="1348"/>
      <c r="K202" s="1470"/>
      <c r="L202" s="1350"/>
      <c r="M202" s="1471"/>
      <c r="N202" s="1350"/>
      <c r="O202" s="1350"/>
      <c r="P202" s="1350"/>
      <c r="Q202" s="1351"/>
      <c r="R202" s="1351"/>
      <c r="S202" s="1472"/>
      <c r="T202" s="1350"/>
      <c r="U202" s="1350"/>
      <c r="V202" s="1350"/>
      <c r="W202" s="1350"/>
      <c r="X202" s="1473"/>
      <c r="Y202" s="1474"/>
      <c r="Z202" s="1353" t="s">
        <v>5008</v>
      </c>
      <c r="AA202" s="1353" t="s">
        <v>5009</v>
      </c>
      <c r="AB202" s="1336"/>
    </row>
    <row r="203" spans="1:28" ht="27.75" customHeight="1">
      <c r="A203" s="1337" t="s">
        <v>5018</v>
      </c>
      <c r="B203" s="1341" t="s">
        <v>5019</v>
      </c>
      <c r="C203" s="1341" t="s">
        <v>5020</v>
      </c>
      <c r="D203" s="1343" t="s">
        <v>5021</v>
      </c>
      <c r="E203" s="1460" t="s">
        <v>506</v>
      </c>
      <c r="F203" s="1469" t="s">
        <v>4116</v>
      </c>
      <c r="G203" s="1341" t="s">
        <v>5020</v>
      </c>
      <c r="H203" s="1462"/>
      <c r="I203" s="1463"/>
      <c r="J203" s="1348"/>
      <c r="K203" s="1470"/>
      <c r="L203" s="1350"/>
      <c r="M203" s="1471"/>
      <c r="N203" s="1350"/>
      <c r="O203" s="1350"/>
      <c r="P203" s="1350"/>
      <c r="Q203" s="1351"/>
      <c r="R203" s="1351"/>
      <c r="S203" s="1472"/>
      <c r="T203" s="1350"/>
      <c r="U203" s="1350"/>
      <c r="V203" s="1350"/>
      <c r="W203" s="1350"/>
      <c r="X203" s="1473"/>
      <c r="Y203" s="1474"/>
      <c r="Z203" s="1353" t="s">
        <v>5022</v>
      </c>
      <c r="AA203" s="1353" t="s">
        <v>5023</v>
      </c>
      <c r="AB203" s="1336"/>
    </row>
    <row r="204" spans="1:28" ht="15.75" customHeight="1">
      <c r="A204" s="1337" t="s">
        <v>5024</v>
      </c>
      <c r="B204" s="1341" t="s">
        <v>5025</v>
      </c>
      <c r="C204" s="1341" t="s">
        <v>5026</v>
      </c>
      <c r="D204" s="1343" t="s">
        <v>5027</v>
      </c>
      <c r="E204" s="1460" t="s">
        <v>506</v>
      </c>
      <c r="F204" s="1469" t="s">
        <v>4116</v>
      </c>
      <c r="G204" s="1341" t="s">
        <v>5026</v>
      </c>
      <c r="H204" s="1462"/>
      <c r="I204" s="1463"/>
      <c r="J204" s="1348"/>
      <c r="K204" s="1470"/>
      <c r="L204" s="1350"/>
      <c r="M204" s="1471"/>
      <c r="N204" s="1350"/>
      <c r="O204" s="1350"/>
      <c r="P204" s="1350"/>
      <c r="Q204" s="1351"/>
      <c r="R204" s="1351"/>
      <c r="S204" s="1472"/>
      <c r="T204" s="1350"/>
      <c r="U204" s="1350"/>
      <c r="V204" s="1350"/>
      <c r="W204" s="1350"/>
      <c r="X204" s="1473"/>
      <c r="Y204" s="1474"/>
      <c r="Z204" s="1353" t="s">
        <v>5008</v>
      </c>
      <c r="AA204" s="1353" t="s">
        <v>5009</v>
      </c>
      <c r="AB204" s="1336"/>
    </row>
    <row r="205" spans="1:28" ht="27.75" customHeight="1">
      <c r="A205" s="1337" t="s">
        <v>5028</v>
      </c>
      <c r="B205" s="1341" t="s">
        <v>5029</v>
      </c>
      <c r="C205" s="1341" t="s">
        <v>5030</v>
      </c>
      <c r="D205" s="1343" t="s">
        <v>5031</v>
      </c>
      <c r="E205" s="1460" t="s">
        <v>506</v>
      </c>
      <c r="F205" s="1469" t="s">
        <v>4116</v>
      </c>
      <c r="G205" s="1341" t="s">
        <v>5030</v>
      </c>
      <c r="H205" s="1462"/>
      <c r="I205" s="1463"/>
      <c r="J205" s="1348"/>
      <c r="K205" s="1470"/>
      <c r="L205" s="1350"/>
      <c r="M205" s="1471"/>
      <c r="N205" s="1350"/>
      <c r="O205" s="1350"/>
      <c r="P205" s="1350"/>
      <c r="Q205" s="1351"/>
      <c r="R205" s="1351"/>
      <c r="S205" s="1472"/>
      <c r="T205" s="1350"/>
      <c r="U205" s="1350"/>
      <c r="V205" s="1350"/>
      <c r="W205" s="1350"/>
      <c r="X205" s="1473"/>
      <c r="Y205" s="1474"/>
      <c r="Z205" s="1353" t="s">
        <v>5032</v>
      </c>
      <c r="AA205" s="1353" t="s">
        <v>5033</v>
      </c>
      <c r="AB205" s="1336"/>
    </row>
    <row r="206" spans="1:28" ht="27.75" customHeight="1">
      <c r="A206" s="1337" t="s">
        <v>5034</v>
      </c>
      <c r="B206" s="1341" t="s">
        <v>5035</v>
      </c>
      <c r="C206" s="1341" t="s">
        <v>5036</v>
      </c>
      <c r="D206" s="1343" t="s">
        <v>5037</v>
      </c>
      <c r="E206" s="1460" t="s">
        <v>506</v>
      </c>
      <c r="F206" s="1469" t="s">
        <v>4116</v>
      </c>
      <c r="G206" s="1341" t="s">
        <v>5036</v>
      </c>
      <c r="H206" s="1462"/>
      <c r="I206" s="1463"/>
      <c r="J206" s="1348"/>
      <c r="K206" s="1470"/>
      <c r="L206" s="1350"/>
      <c r="M206" s="1471"/>
      <c r="N206" s="1350"/>
      <c r="O206" s="1350"/>
      <c r="P206" s="1350"/>
      <c r="Q206" s="1351"/>
      <c r="R206" s="1351"/>
      <c r="S206" s="1472"/>
      <c r="T206" s="1350"/>
      <c r="U206" s="1350"/>
      <c r="V206" s="1350"/>
      <c r="W206" s="1350"/>
      <c r="X206" s="1473"/>
      <c r="Y206" s="1474"/>
      <c r="Z206" s="1353" t="s">
        <v>5022</v>
      </c>
      <c r="AA206" s="1353" t="s">
        <v>5023</v>
      </c>
      <c r="AB206" s="1336"/>
    </row>
    <row r="207" spans="1:28" ht="15.75" customHeight="1">
      <c r="A207" s="41" t="s">
        <v>5038</v>
      </c>
      <c r="B207" s="196" t="s">
        <v>5039</v>
      </c>
      <c r="C207" s="885" t="s">
        <v>5040</v>
      </c>
      <c r="D207" s="30" t="s">
        <v>5041</v>
      </c>
      <c r="E207" s="352">
        <v>1</v>
      </c>
      <c r="F207" s="942" t="s">
        <v>4116</v>
      </c>
      <c r="G207" s="1107" t="s">
        <v>5042</v>
      </c>
      <c r="H207" s="539"/>
      <c r="I207" s="34"/>
      <c r="J207" s="1025"/>
      <c r="K207" s="960"/>
      <c r="L207" s="926"/>
      <c r="M207" s="939"/>
      <c r="N207" s="926"/>
      <c r="O207" s="926"/>
      <c r="P207" s="926"/>
      <c r="Q207" s="940"/>
      <c r="R207" s="940"/>
      <c r="S207" s="941"/>
      <c r="T207" s="926"/>
      <c r="U207" s="926"/>
      <c r="V207" s="926"/>
      <c r="W207" s="926"/>
      <c r="X207" s="1015"/>
      <c r="Y207" s="749"/>
      <c r="Z207" s="752" t="s">
        <v>5043</v>
      </c>
      <c r="AA207" s="752" t="s">
        <v>5009</v>
      </c>
    </row>
    <row r="208" spans="1:28" ht="15.75" customHeight="1">
      <c r="A208" s="41" t="s">
        <v>5044</v>
      </c>
      <c r="B208" s="196" t="s">
        <v>5045</v>
      </c>
      <c r="C208" s="885" t="s">
        <v>5046</v>
      </c>
      <c r="D208" s="30" t="s">
        <v>5047</v>
      </c>
      <c r="E208" s="352">
        <v>1</v>
      </c>
      <c r="F208" s="942" t="s">
        <v>4116</v>
      </c>
      <c r="G208" s="1107" t="s">
        <v>5046</v>
      </c>
      <c r="H208" s="539"/>
      <c r="I208" s="34"/>
      <c r="J208" s="1025"/>
      <c r="K208" s="960"/>
      <c r="L208" s="926"/>
      <c r="M208" s="939"/>
      <c r="N208" s="926"/>
      <c r="O208" s="926"/>
      <c r="P208" s="926"/>
      <c r="Q208" s="940"/>
      <c r="R208" s="940"/>
      <c r="S208" s="941"/>
      <c r="T208" s="926"/>
      <c r="U208" s="926"/>
      <c r="V208" s="926"/>
      <c r="W208" s="926"/>
      <c r="X208" s="1015"/>
      <c r="Y208" s="749"/>
      <c r="Z208" s="752" t="s">
        <v>5043</v>
      </c>
      <c r="AA208" s="752" t="s">
        <v>5009</v>
      </c>
    </row>
    <row r="209" spans="1:28" ht="15.75" customHeight="1">
      <c r="A209" s="41" t="s">
        <v>5048</v>
      </c>
      <c r="B209" s="196" t="s">
        <v>5049</v>
      </c>
      <c r="C209" s="885" t="s">
        <v>5050</v>
      </c>
      <c r="D209" s="30" t="s">
        <v>5051</v>
      </c>
      <c r="E209" s="352">
        <v>1</v>
      </c>
      <c r="F209" s="942" t="s">
        <v>4116</v>
      </c>
      <c r="G209" s="1107" t="s">
        <v>5050</v>
      </c>
      <c r="H209" s="539"/>
      <c r="I209" s="34"/>
      <c r="J209" s="1025"/>
      <c r="K209" s="960"/>
      <c r="L209" s="926"/>
      <c r="M209" s="939"/>
      <c r="N209" s="926"/>
      <c r="O209" s="926"/>
      <c r="P209" s="926"/>
      <c r="Q209" s="940"/>
      <c r="R209" s="940"/>
      <c r="S209" s="941"/>
      <c r="T209" s="926"/>
      <c r="U209" s="926"/>
      <c r="V209" s="926"/>
      <c r="W209" s="926"/>
      <c r="X209" s="1015"/>
      <c r="Y209" s="749"/>
      <c r="Z209" s="752" t="s">
        <v>5043</v>
      </c>
      <c r="AA209" s="752" t="s">
        <v>5009</v>
      </c>
    </row>
    <row r="210" spans="1:28" ht="27.75" customHeight="1">
      <c r="A210" s="41" t="s">
        <v>5052</v>
      </c>
      <c r="B210" s="196" t="s">
        <v>5053</v>
      </c>
      <c r="C210" s="885" t="s">
        <v>5054</v>
      </c>
      <c r="D210" s="30" t="s">
        <v>5055</v>
      </c>
      <c r="E210" s="352">
        <v>1</v>
      </c>
      <c r="F210" s="942" t="s">
        <v>4116</v>
      </c>
      <c r="G210" s="1107" t="s">
        <v>5054</v>
      </c>
      <c r="H210" s="539"/>
      <c r="I210" s="34"/>
      <c r="J210" s="1025"/>
      <c r="K210" s="960"/>
      <c r="L210" s="926"/>
      <c r="M210" s="939"/>
      <c r="N210" s="926"/>
      <c r="O210" s="926"/>
      <c r="P210" s="926"/>
      <c r="Q210" s="940"/>
      <c r="R210" s="940"/>
      <c r="S210" s="941"/>
      <c r="T210" s="926"/>
      <c r="U210" s="926"/>
      <c r="V210" s="926"/>
      <c r="W210" s="926"/>
      <c r="X210" s="1015"/>
      <c r="Y210" s="749"/>
      <c r="Z210" s="752" t="s">
        <v>5022</v>
      </c>
      <c r="AA210" s="752" t="s">
        <v>5023</v>
      </c>
    </row>
    <row r="211" spans="1:28" ht="15.75" customHeight="1">
      <c r="A211" s="41" t="s">
        <v>5056</v>
      </c>
      <c r="B211" s="196" t="s">
        <v>5057</v>
      </c>
      <c r="C211" s="885" t="s">
        <v>5058</v>
      </c>
      <c r="D211" s="30" t="s">
        <v>5059</v>
      </c>
      <c r="E211" s="352">
        <v>1</v>
      </c>
      <c r="F211" s="942" t="s">
        <v>4116</v>
      </c>
      <c r="G211" s="1107" t="s">
        <v>5058</v>
      </c>
      <c r="H211" s="539"/>
      <c r="I211" s="34"/>
      <c r="J211" s="1025"/>
      <c r="K211" s="960"/>
      <c r="L211" s="926"/>
      <c r="M211" s="939"/>
      <c r="N211" s="926"/>
      <c r="O211" s="926"/>
      <c r="P211" s="926"/>
      <c r="Q211" s="940"/>
      <c r="R211" s="940"/>
      <c r="S211" s="941"/>
      <c r="T211" s="926"/>
      <c r="U211" s="926"/>
      <c r="V211" s="926"/>
      <c r="W211" s="926"/>
      <c r="X211" s="1015"/>
      <c r="Y211" s="749"/>
      <c r="Z211" s="752" t="s">
        <v>5043</v>
      </c>
      <c r="AA211" s="752" t="s">
        <v>5009</v>
      </c>
    </row>
    <row r="212" spans="1:28" ht="27.75" customHeight="1">
      <c r="A212" s="41" t="s">
        <v>5060</v>
      </c>
      <c r="B212" s="196" t="s">
        <v>5061</v>
      </c>
      <c r="C212" s="885" t="s">
        <v>5062</v>
      </c>
      <c r="D212" s="30" t="s">
        <v>5063</v>
      </c>
      <c r="E212" s="352">
        <v>1</v>
      </c>
      <c r="F212" s="942" t="s">
        <v>4116</v>
      </c>
      <c r="G212" s="1107" t="s">
        <v>5062</v>
      </c>
      <c r="H212" s="539"/>
      <c r="I212" s="34"/>
      <c r="J212" s="1025"/>
      <c r="K212" s="960"/>
      <c r="L212" s="926"/>
      <c r="M212" s="939"/>
      <c r="N212" s="926"/>
      <c r="O212" s="926"/>
      <c r="P212" s="926"/>
      <c r="Q212" s="940"/>
      <c r="R212" s="940"/>
      <c r="S212" s="941"/>
      <c r="T212" s="926"/>
      <c r="U212" s="926"/>
      <c r="V212" s="926"/>
      <c r="W212" s="926"/>
      <c r="X212" s="1015"/>
      <c r="Y212" s="749"/>
      <c r="Z212" s="752" t="s">
        <v>5032</v>
      </c>
      <c r="AA212" s="752" t="s">
        <v>5033</v>
      </c>
    </row>
    <row r="213" spans="1:28" ht="27.75" customHeight="1">
      <c r="A213" s="41" t="s">
        <v>5064</v>
      </c>
      <c r="B213" s="196" t="s">
        <v>5065</v>
      </c>
      <c r="C213" s="885" t="s">
        <v>5066</v>
      </c>
      <c r="D213" s="30" t="s">
        <v>5067</v>
      </c>
      <c r="E213" s="352">
        <v>1</v>
      </c>
      <c r="F213" s="942" t="s">
        <v>4116</v>
      </c>
      <c r="G213" s="1107" t="s">
        <v>5066</v>
      </c>
      <c r="H213" s="539"/>
      <c r="I213" s="34"/>
      <c r="J213" s="1025"/>
      <c r="K213" s="960"/>
      <c r="L213" s="926"/>
      <c r="M213" s="939"/>
      <c r="N213" s="926"/>
      <c r="O213" s="926"/>
      <c r="P213" s="926"/>
      <c r="Q213" s="940"/>
      <c r="R213" s="940"/>
      <c r="S213" s="941"/>
      <c r="T213" s="926"/>
      <c r="U213" s="926"/>
      <c r="V213" s="926"/>
      <c r="W213" s="926"/>
      <c r="X213" s="1015"/>
      <c r="Y213" s="749"/>
      <c r="Z213" s="752" t="s">
        <v>5022</v>
      </c>
      <c r="AA213" s="752" t="s">
        <v>5023</v>
      </c>
    </row>
    <row r="214" spans="1:28" ht="15.75" customHeight="1">
      <c r="A214" s="41" t="s">
        <v>5068</v>
      </c>
      <c r="B214" s="196" t="s">
        <v>5069</v>
      </c>
      <c r="C214" s="885" t="s">
        <v>5070</v>
      </c>
      <c r="D214" s="30" t="s">
        <v>5071</v>
      </c>
      <c r="E214" s="352">
        <v>1</v>
      </c>
      <c r="F214" s="942" t="s">
        <v>4116</v>
      </c>
      <c r="G214" s="1107" t="s">
        <v>5072</v>
      </c>
      <c r="H214" s="539"/>
      <c r="I214" s="34"/>
      <c r="J214" s="1025"/>
      <c r="K214" s="960"/>
      <c r="L214" s="926"/>
      <c r="M214" s="939"/>
      <c r="N214" s="926"/>
      <c r="O214" s="926"/>
      <c r="P214" s="926"/>
      <c r="Q214" s="940"/>
      <c r="R214" s="940"/>
      <c r="S214" s="941"/>
      <c r="T214" s="926"/>
      <c r="U214" s="926"/>
      <c r="V214" s="926"/>
      <c r="W214" s="926"/>
      <c r="X214" s="1015"/>
      <c r="Y214" s="749"/>
      <c r="Z214" s="752" t="s">
        <v>5073</v>
      </c>
      <c r="AA214" s="752" t="s">
        <v>5009</v>
      </c>
    </row>
    <row r="215" spans="1:28" ht="15.75" customHeight="1">
      <c r="A215" s="41" t="s">
        <v>5074</v>
      </c>
      <c r="B215" s="196" t="s">
        <v>5075</v>
      </c>
      <c r="C215" s="885" t="s">
        <v>5076</v>
      </c>
      <c r="D215" s="30" t="s">
        <v>5077</v>
      </c>
      <c r="E215" s="352">
        <v>1</v>
      </c>
      <c r="F215" s="942" t="s">
        <v>4116</v>
      </c>
      <c r="G215" s="1107" t="s">
        <v>5076</v>
      </c>
      <c r="H215" s="539"/>
      <c r="I215" s="34"/>
      <c r="J215" s="1025"/>
      <c r="K215" s="960"/>
      <c r="L215" s="926"/>
      <c r="M215" s="939"/>
      <c r="N215" s="926"/>
      <c r="O215" s="926"/>
      <c r="P215" s="926"/>
      <c r="Q215" s="940"/>
      <c r="R215" s="940"/>
      <c r="S215" s="941"/>
      <c r="T215" s="926"/>
      <c r="U215" s="926"/>
      <c r="V215" s="926"/>
      <c r="W215" s="926"/>
      <c r="X215" s="1015"/>
      <c r="Y215" s="749"/>
      <c r="Z215" s="752" t="s">
        <v>5073</v>
      </c>
      <c r="AA215" s="752" t="s">
        <v>5009</v>
      </c>
    </row>
    <row r="216" spans="1:28" ht="15.75" customHeight="1">
      <c r="A216" s="41" t="s">
        <v>5078</v>
      </c>
      <c r="B216" s="196" t="s">
        <v>5079</v>
      </c>
      <c r="C216" s="885" t="s">
        <v>5080</v>
      </c>
      <c r="D216" s="30" t="s">
        <v>5081</v>
      </c>
      <c r="E216" s="352">
        <v>1</v>
      </c>
      <c r="F216" s="942" t="s">
        <v>4116</v>
      </c>
      <c r="G216" s="1107" t="s">
        <v>5080</v>
      </c>
      <c r="H216" s="539"/>
      <c r="I216" s="34"/>
      <c r="J216" s="1025"/>
      <c r="K216" s="960"/>
      <c r="L216" s="926"/>
      <c r="M216" s="939"/>
      <c r="N216" s="926"/>
      <c r="O216" s="926"/>
      <c r="P216" s="926"/>
      <c r="Q216" s="940"/>
      <c r="R216" s="940"/>
      <c r="S216" s="941"/>
      <c r="T216" s="926"/>
      <c r="U216" s="926"/>
      <c r="V216" s="926"/>
      <c r="W216" s="926"/>
      <c r="X216" s="1015"/>
      <c r="Y216" s="749"/>
      <c r="Z216" s="752" t="s">
        <v>5073</v>
      </c>
      <c r="AA216" s="752" t="s">
        <v>5009</v>
      </c>
    </row>
    <row r="217" spans="1:28" ht="27.75" customHeight="1">
      <c r="A217" s="41" t="s">
        <v>5082</v>
      </c>
      <c r="B217" s="196" t="s">
        <v>5083</v>
      </c>
      <c r="C217" s="885" t="s">
        <v>5084</v>
      </c>
      <c r="D217" s="30" t="s">
        <v>5085</v>
      </c>
      <c r="E217" s="352">
        <v>1</v>
      </c>
      <c r="F217" s="942" t="s">
        <v>4116</v>
      </c>
      <c r="G217" s="1107" t="s">
        <v>5084</v>
      </c>
      <c r="H217" s="539"/>
      <c r="I217" s="34"/>
      <c r="J217" s="1025"/>
      <c r="K217" s="960"/>
      <c r="L217" s="926"/>
      <c r="M217" s="939"/>
      <c r="N217" s="926"/>
      <c r="O217" s="926"/>
      <c r="P217" s="926"/>
      <c r="Q217" s="940"/>
      <c r="R217" s="940"/>
      <c r="S217" s="941"/>
      <c r="T217" s="926"/>
      <c r="U217" s="926"/>
      <c r="V217" s="926"/>
      <c r="W217" s="926"/>
      <c r="X217" s="1015"/>
      <c r="Y217" s="749"/>
      <c r="Z217" s="752" t="s">
        <v>5022</v>
      </c>
      <c r="AA217" s="752" t="s">
        <v>5023</v>
      </c>
    </row>
    <row r="218" spans="1:28" ht="15.75" customHeight="1">
      <c r="A218" s="41" t="s">
        <v>5086</v>
      </c>
      <c r="B218" s="196" t="s">
        <v>5087</v>
      </c>
      <c r="C218" s="885" t="s">
        <v>5088</v>
      </c>
      <c r="D218" s="30" t="s">
        <v>5089</v>
      </c>
      <c r="E218" s="352">
        <v>1</v>
      </c>
      <c r="F218" s="942" t="s">
        <v>4116</v>
      </c>
      <c r="G218" s="1107" t="s">
        <v>5088</v>
      </c>
      <c r="H218" s="539"/>
      <c r="I218" s="34"/>
      <c r="J218" s="1025"/>
      <c r="K218" s="960"/>
      <c r="L218" s="926"/>
      <c r="M218" s="939"/>
      <c r="N218" s="926"/>
      <c r="O218" s="926"/>
      <c r="P218" s="926"/>
      <c r="Q218" s="940"/>
      <c r="R218" s="940"/>
      <c r="S218" s="941"/>
      <c r="T218" s="926"/>
      <c r="U218" s="926"/>
      <c r="V218" s="926"/>
      <c r="W218" s="926"/>
      <c r="X218" s="1015"/>
      <c r="Y218" s="749"/>
      <c r="Z218" s="752" t="s">
        <v>5073</v>
      </c>
      <c r="AA218" s="752" t="s">
        <v>5009</v>
      </c>
    </row>
    <row r="219" spans="1:28" ht="27.75" customHeight="1">
      <c r="A219" s="41" t="s">
        <v>5090</v>
      </c>
      <c r="B219" s="196" t="s">
        <v>5091</v>
      </c>
      <c r="C219" s="885" t="s">
        <v>5092</v>
      </c>
      <c r="D219" s="30" t="s">
        <v>5093</v>
      </c>
      <c r="E219" s="352">
        <v>1</v>
      </c>
      <c r="F219" s="942" t="s">
        <v>4116</v>
      </c>
      <c r="G219" s="1107" t="s">
        <v>5092</v>
      </c>
      <c r="H219" s="539"/>
      <c r="I219" s="34"/>
      <c r="J219" s="1025"/>
      <c r="K219" s="960"/>
      <c r="L219" s="926"/>
      <c r="M219" s="939"/>
      <c r="N219" s="926"/>
      <c r="O219" s="926"/>
      <c r="P219" s="926"/>
      <c r="Q219" s="940"/>
      <c r="R219" s="940"/>
      <c r="S219" s="941"/>
      <c r="T219" s="926"/>
      <c r="U219" s="926"/>
      <c r="V219" s="926"/>
      <c r="W219" s="926"/>
      <c r="X219" s="1015"/>
      <c r="Y219" s="749"/>
      <c r="Z219" s="752" t="s">
        <v>5032</v>
      </c>
      <c r="AA219" s="752" t="s">
        <v>5033</v>
      </c>
    </row>
    <row r="220" spans="1:28" ht="27.75" customHeight="1">
      <c r="A220" s="41" t="s">
        <v>5094</v>
      </c>
      <c r="B220" s="204" t="s">
        <v>5095</v>
      </c>
      <c r="C220" s="533" t="s">
        <v>5096</v>
      </c>
      <c r="D220" s="30" t="s">
        <v>5097</v>
      </c>
      <c r="E220" s="352">
        <v>1</v>
      </c>
      <c r="F220" s="942" t="s">
        <v>4116</v>
      </c>
      <c r="G220" s="1111" t="s">
        <v>5096</v>
      </c>
      <c r="H220" s="539"/>
      <c r="I220" s="34"/>
      <c r="J220" s="1025"/>
      <c r="K220" s="960"/>
      <c r="L220" s="926"/>
      <c r="M220" s="939"/>
      <c r="N220" s="926"/>
      <c r="O220" s="926"/>
      <c r="P220" s="926"/>
      <c r="Q220" s="940"/>
      <c r="R220" s="940"/>
      <c r="S220" s="941"/>
      <c r="T220" s="926"/>
      <c r="U220" s="926"/>
      <c r="V220" s="926"/>
      <c r="W220" s="926"/>
      <c r="X220" s="1015"/>
      <c r="Y220" s="749"/>
      <c r="Z220" s="752" t="s">
        <v>5022</v>
      </c>
      <c r="AA220" s="752" t="s">
        <v>5023</v>
      </c>
    </row>
    <row r="221" spans="1:28" ht="27.75" customHeight="1">
      <c r="A221" s="1140" t="s">
        <v>5098</v>
      </c>
      <c r="B221" s="1170" t="s">
        <v>5099</v>
      </c>
      <c r="C221" s="1170" t="s">
        <v>5100</v>
      </c>
      <c r="D221" s="1343" t="s">
        <v>5101</v>
      </c>
      <c r="E221" s="1460" t="s">
        <v>506</v>
      </c>
      <c r="F221" s="1461" t="s">
        <v>4116</v>
      </c>
      <c r="G221" s="1170" t="s">
        <v>5100</v>
      </c>
      <c r="H221" s="1462"/>
      <c r="I221" s="1463"/>
      <c r="J221" s="1201"/>
      <c r="K221" s="1464"/>
      <c r="L221" s="1252"/>
      <c r="M221" s="1465"/>
      <c r="N221" s="1252"/>
      <c r="O221" s="1252"/>
      <c r="P221" s="1252"/>
      <c r="Q221" s="1257"/>
      <c r="R221" s="1257"/>
      <c r="S221" s="1466"/>
      <c r="T221" s="1252"/>
      <c r="U221" s="1252"/>
      <c r="V221" s="1252"/>
      <c r="W221" s="1252"/>
      <c r="X221" s="1467"/>
      <c r="Y221" s="1468"/>
      <c r="Z221" s="1332" t="s">
        <v>5102</v>
      </c>
      <c r="AA221" s="1332" t="s">
        <v>5103</v>
      </c>
      <c r="AB221" s="1336"/>
    </row>
    <row r="222" spans="1:28" ht="27.75" customHeight="1">
      <c r="A222" s="1337" t="s">
        <v>5104</v>
      </c>
      <c r="B222" s="1341" t="s">
        <v>5105</v>
      </c>
      <c r="C222" s="1341" t="s">
        <v>5106</v>
      </c>
      <c r="D222" s="1343" t="s">
        <v>5107</v>
      </c>
      <c r="E222" s="1460" t="s">
        <v>506</v>
      </c>
      <c r="F222" s="1469" t="s">
        <v>4116</v>
      </c>
      <c r="G222" s="1341" t="s">
        <v>5106</v>
      </c>
      <c r="H222" s="1462"/>
      <c r="I222" s="1463"/>
      <c r="J222" s="1348"/>
      <c r="K222" s="1470"/>
      <c r="L222" s="1350"/>
      <c r="M222" s="1471"/>
      <c r="N222" s="1350"/>
      <c r="O222" s="1350"/>
      <c r="P222" s="1350"/>
      <c r="Q222" s="1351"/>
      <c r="R222" s="1351"/>
      <c r="S222" s="1472"/>
      <c r="T222" s="1350"/>
      <c r="U222" s="1350"/>
      <c r="V222" s="1350"/>
      <c r="W222" s="1350"/>
      <c r="X222" s="1473"/>
      <c r="Y222" s="1474"/>
      <c r="Z222" s="1353" t="s">
        <v>5108</v>
      </c>
      <c r="AA222" s="1353" t="s">
        <v>5109</v>
      </c>
      <c r="AB222" s="1336"/>
    </row>
    <row r="223" spans="1:28" ht="27.75" customHeight="1">
      <c r="A223" s="41" t="s">
        <v>5110</v>
      </c>
      <c r="B223" s="196" t="s">
        <v>5111</v>
      </c>
      <c r="C223" s="885" t="s">
        <v>5112</v>
      </c>
      <c r="D223" s="30" t="s">
        <v>5113</v>
      </c>
      <c r="E223" s="352">
        <v>1</v>
      </c>
      <c r="F223" s="942" t="s">
        <v>4116</v>
      </c>
      <c r="G223" s="1107" t="s">
        <v>5112</v>
      </c>
      <c r="H223" s="539"/>
      <c r="I223" s="34"/>
      <c r="J223" s="1025"/>
      <c r="K223" s="960"/>
      <c r="L223" s="926"/>
      <c r="M223" s="939"/>
      <c r="N223" s="926"/>
      <c r="O223" s="926"/>
      <c r="P223" s="926"/>
      <c r="Q223" s="940"/>
      <c r="R223" s="940"/>
      <c r="S223" s="941"/>
      <c r="T223" s="926"/>
      <c r="U223" s="926"/>
      <c r="V223" s="926"/>
      <c r="W223" s="926"/>
      <c r="X223" s="1015"/>
      <c r="Y223" s="749"/>
      <c r="Z223" s="752" t="s">
        <v>5114</v>
      </c>
      <c r="AA223" s="752" t="s">
        <v>5115</v>
      </c>
    </row>
    <row r="224" spans="1:28" ht="27.75" customHeight="1">
      <c r="A224" s="41" t="s">
        <v>5116</v>
      </c>
      <c r="B224" s="196" t="s">
        <v>5117</v>
      </c>
      <c r="C224" s="885" t="s">
        <v>5118</v>
      </c>
      <c r="D224" s="30" t="s">
        <v>5119</v>
      </c>
      <c r="E224" s="352">
        <v>1</v>
      </c>
      <c r="F224" s="942" t="s">
        <v>4116</v>
      </c>
      <c r="G224" s="1107" t="s">
        <v>5118</v>
      </c>
      <c r="H224" s="539"/>
      <c r="I224" s="34"/>
      <c r="J224" s="1025"/>
      <c r="K224" s="960"/>
      <c r="L224" s="926"/>
      <c r="M224" s="939"/>
      <c r="N224" s="926"/>
      <c r="O224" s="926"/>
      <c r="P224" s="926"/>
      <c r="Q224" s="940"/>
      <c r="R224" s="940"/>
      <c r="S224" s="941"/>
      <c r="T224" s="926"/>
      <c r="U224" s="926"/>
      <c r="V224" s="926"/>
      <c r="W224" s="926"/>
      <c r="X224" s="1015"/>
      <c r="Y224" s="749"/>
      <c r="Z224" s="752" t="s">
        <v>5114</v>
      </c>
      <c r="AA224" s="752" t="s">
        <v>5115</v>
      </c>
    </row>
    <row r="225" spans="1:28" ht="27.75" customHeight="1">
      <c r="A225" s="41" t="s">
        <v>5120</v>
      </c>
      <c r="B225" s="196" t="s">
        <v>5121</v>
      </c>
      <c r="C225" s="885" t="s">
        <v>5122</v>
      </c>
      <c r="D225" s="30" t="s">
        <v>5123</v>
      </c>
      <c r="E225" s="352">
        <v>1</v>
      </c>
      <c r="F225" s="942" t="s">
        <v>4116</v>
      </c>
      <c r="G225" s="1107" t="s">
        <v>5122</v>
      </c>
      <c r="H225" s="539"/>
      <c r="I225" s="34"/>
      <c r="J225" s="1025"/>
      <c r="K225" s="960"/>
      <c r="L225" s="926"/>
      <c r="M225" s="939"/>
      <c r="N225" s="926"/>
      <c r="O225" s="926"/>
      <c r="P225" s="926"/>
      <c r="Q225" s="940"/>
      <c r="R225" s="940"/>
      <c r="S225" s="941"/>
      <c r="T225" s="926"/>
      <c r="U225" s="926"/>
      <c r="V225" s="926"/>
      <c r="W225" s="926"/>
      <c r="X225" s="1015"/>
      <c r="Y225" s="749"/>
      <c r="Z225" s="752" t="s">
        <v>5114</v>
      </c>
      <c r="AA225" s="752" t="s">
        <v>5115</v>
      </c>
    </row>
    <row r="226" spans="1:28" ht="27.75" customHeight="1">
      <c r="A226" s="1140" t="s">
        <v>5124</v>
      </c>
      <c r="B226" s="1170" t="s">
        <v>5125</v>
      </c>
      <c r="C226" s="1170" t="s">
        <v>5126</v>
      </c>
      <c r="D226" s="1343" t="s">
        <v>5127</v>
      </c>
      <c r="E226" s="1460" t="s">
        <v>506</v>
      </c>
      <c r="F226" s="1461" t="s">
        <v>4116</v>
      </c>
      <c r="G226" s="1170" t="s">
        <v>5126</v>
      </c>
      <c r="H226" s="1462"/>
      <c r="I226" s="1463"/>
      <c r="J226" s="1201"/>
      <c r="K226" s="1464"/>
      <c r="L226" s="1252"/>
      <c r="M226" s="1465"/>
      <c r="N226" s="1252"/>
      <c r="O226" s="1252"/>
      <c r="P226" s="1252"/>
      <c r="Q226" s="1257"/>
      <c r="R226" s="1257"/>
      <c r="S226" s="1466"/>
      <c r="T226" s="1252"/>
      <c r="U226" s="1252"/>
      <c r="V226" s="1252"/>
      <c r="W226" s="1252"/>
      <c r="X226" s="1467"/>
      <c r="Y226" s="1468"/>
      <c r="Z226" s="1332" t="s">
        <v>5114</v>
      </c>
      <c r="AA226" s="1332" t="s">
        <v>5115</v>
      </c>
      <c r="AB226" s="1336"/>
    </row>
    <row r="227" spans="1:28" ht="27.75" customHeight="1">
      <c r="A227" s="1337" t="s">
        <v>5128</v>
      </c>
      <c r="B227" s="1341" t="s">
        <v>5129</v>
      </c>
      <c r="C227" s="1341" t="s">
        <v>5130</v>
      </c>
      <c r="D227" s="1343" t="s">
        <v>5131</v>
      </c>
      <c r="E227" s="1460" t="s">
        <v>506</v>
      </c>
      <c r="F227" s="1469" t="s">
        <v>4116</v>
      </c>
      <c r="G227" s="1341" t="s">
        <v>5130</v>
      </c>
      <c r="H227" s="1462"/>
      <c r="I227" s="1463"/>
      <c r="J227" s="1348"/>
      <c r="K227" s="1470"/>
      <c r="L227" s="1350"/>
      <c r="M227" s="1471"/>
      <c r="N227" s="1350"/>
      <c r="O227" s="1350"/>
      <c r="P227" s="1350"/>
      <c r="Q227" s="1351"/>
      <c r="R227" s="1351"/>
      <c r="S227" s="1472"/>
      <c r="T227" s="1350"/>
      <c r="U227" s="1350"/>
      <c r="V227" s="1350"/>
      <c r="W227" s="1350"/>
      <c r="X227" s="1473"/>
      <c r="Y227" s="1474"/>
      <c r="Z227" s="1353" t="s">
        <v>5114</v>
      </c>
      <c r="AA227" s="1353" t="s">
        <v>5115</v>
      </c>
      <c r="AB227" s="1336"/>
    </row>
    <row r="228" spans="1:28" ht="29.25" customHeight="1">
      <c r="A228" s="41" t="s">
        <v>5132</v>
      </c>
      <c r="B228" s="196" t="s">
        <v>5133</v>
      </c>
      <c r="C228" s="885" t="s">
        <v>5134</v>
      </c>
      <c r="D228" s="30" t="s">
        <v>5135</v>
      </c>
      <c r="E228" s="352">
        <v>1</v>
      </c>
      <c r="F228" s="942" t="s">
        <v>4116</v>
      </c>
      <c r="G228" s="1107" t="s">
        <v>5134</v>
      </c>
      <c r="H228" s="539"/>
      <c r="I228" s="34"/>
      <c r="J228" s="1025"/>
      <c r="K228" s="960"/>
      <c r="L228" s="926"/>
      <c r="M228" s="939"/>
      <c r="N228" s="926"/>
      <c r="O228" s="926"/>
      <c r="P228" s="926"/>
      <c r="Q228" s="940"/>
      <c r="R228" s="940"/>
      <c r="S228" s="941"/>
      <c r="T228" s="926"/>
      <c r="U228" s="926"/>
      <c r="V228" s="926"/>
      <c r="W228" s="926"/>
      <c r="X228" s="1015"/>
      <c r="Y228" s="749"/>
      <c r="Z228" s="752" t="s">
        <v>5114</v>
      </c>
      <c r="AA228" s="752" t="s">
        <v>5115</v>
      </c>
    </row>
    <row r="229" spans="1:28" ht="29.25" customHeight="1">
      <c r="A229" s="41" t="s">
        <v>5136</v>
      </c>
      <c r="B229" s="196" t="s">
        <v>5137</v>
      </c>
      <c r="C229" s="885" t="s">
        <v>5138</v>
      </c>
      <c r="D229" s="30" t="s">
        <v>5139</v>
      </c>
      <c r="E229" s="352">
        <v>1</v>
      </c>
      <c r="F229" s="942" t="s">
        <v>4116</v>
      </c>
      <c r="G229" s="1107" t="s">
        <v>5138</v>
      </c>
      <c r="H229" s="539"/>
      <c r="I229" s="34"/>
      <c r="J229" s="1025"/>
      <c r="K229" s="960"/>
      <c r="L229" s="926"/>
      <c r="M229" s="939"/>
      <c r="N229" s="926"/>
      <c r="O229" s="926"/>
      <c r="P229" s="926"/>
      <c r="Q229" s="940"/>
      <c r="R229" s="940"/>
      <c r="S229" s="941"/>
      <c r="T229" s="926"/>
      <c r="U229" s="926"/>
      <c r="V229" s="926"/>
      <c r="W229" s="926"/>
      <c r="X229" s="1015"/>
      <c r="Y229" s="749"/>
      <c r="Z229" s="752" t="s">
        <v>5114</v>
      </c>
      <c r="AA229" s="752" t="s">
        <v>5115</v>
      </c>
    </row>
    <row r="230" spans="1:28" ht="29.25" customHeight="1">
      <c r="A230" s="41" t="s">
        <v>5140</v>
      </c>
      <c r="B230" s="196" t="s">
        <v>5141</v>
      </c>
      <c r="C230" s="885" t="s">
        <v>5142</v>
      </c>
      <c r="D230" s="30" t="s">
        <v>5143</v>
      </c>
      <c r="E230" s="352">
        <v>1</v>
      </c>
      <c r="F230" s="942" t="s">
        <v>4116</v>
      </c>
      <c r="G230" s="1107" t="s">
        <v>5142</v>
      </c>
      <c r="H230" s="539"/>
      <c r="I230" s="34"/>
      <c r="J230" s="1025"/>
      <c r="K230" s="960"/>
      <c r="L230" s="926"/>
      <c r="M230" s="939"/>
      <c r="N230" s="926"/>
      <c r="O230" s="926"/>
      <c r="P230" s="926"/>
      <c r="Q230" s="940"/>
      <c r="R230" s="940"/>
      <c r="S230" s="941"/>
      <c r="T230" s="926"/>
      <c r="U230" s="926"/>
      <c r="V230" s="926"/>
      <c r="W230" s="926"/>
      <c r="X230" s="1015"/>
      <c r="Y230" s="749"/>
      <c r="Z230" s="752" t="s">
        <v>5114</v>
      </c>
      <c r="AA230" s="752" t="s">
        <v>5115</v>
      </c>
    </row>
    <row r="231" spans="1:28" ht="29.25" customHeight="1">
      <c r="A231" s="41" t="s">
        <v>5144</v>
      </c>
      <c r="B231" s="196" t="s">
        <v>5145</v>
      </c>
      <c r="C231" s="885" t="s">
        <v>5146</v>
      </c>
      <c r="D231" s="30" t="s">
        <v>5147</v>
      </c>
      <c r="E231" s="352">
        <v>1</v>
      </c>
      <c r="F231" s="942" t="s">
        <v>4116</v>
      </c>
      <c r="G231" s="1107" t="s">
        <v>5146</v>
      </c>
      <c r="H231" s="539"/>
      <c r="I231" s="34"/>
      <c r="J231" s="1025"/>
      <c r="K231" s="960"/>
      <c r="L231" s="926"/>
      <c r="M231" s="939"/>
      <c r="N231" s="926"/>
      <c r="O231" s="926"/>
      <c r="P231" s="926"/>
      <c r="Q231" s="940"/>
      <c r="R231" s="940"/>
      <c r="S231" s="941"/>
      <c r="T231" s="926"/>
      <c r="U231" s="926"/>
      <c r="V231" s="926"/>
      <c r="W231" s="926"/>
      <c r="X231" s="1015"/>
      <c r="Y231" s="749"/>
      <c r="Z231" s="752" t="s">
        <v>5114</v>
      </c>
      <c r="AA231" s="752" t="s">
        <v>5115</v>
      </c>
    </row>
    <row r="232" spans="1:28" ht="27.75" customHeight="1">
      <c r="A232" s="41" t="s">
        <v>5148</v>
      </c>
      <c r="B232" s="196" t="s">
        <v>5149</v>
      </c>
      <c r="C232" s="885" t="s">
        <v>5150</v>
      </c>
      <c r="D232" s="30" t="s">
        <v>5151</v>
      </c>
      <c r="E232" s="352">
        <v>1</v>
      </c>
      <c r="F232" s="942" t="s">
        <v>4116</v>
      </c>
      <c r="G232" s="1107" t="s">
        <v>5150</v>
      </c>
      <c r="H232" s="539"/>
      <c r="I232" s="34"/>
      <c r="J232" s="1025"/>
      <c r="K232" s="960"/>
      <c r="L232" s="926"/>
      <c r="M232" s="939"/>
      <c r="N232" s="926"/>
      <c r="O232" s="926"/>
      <c r="P232" s="926"/>
      <c r="Q232" s="940"/>
      <c r="R232" s="940"/>
      <c r="S232" s="941"/>
      <c r="T232" s="926"/>
      <c r="U232" s="926"/>
      <c r="V232" s="926"/>
      <c r="W232" s="926"/>
      <c r="X232" s="1015"/>
      <c r="Y232" s="749"/>
      <c r="Z232" s="752" t="s">
        <v>5114</v>
      </c>
      <c r="AA232" s="752" t="s">
        <v>5115</v>
      </c>
    </row>
    <row r="233" spans="1:28" ht="29.25" customHeight="1">
      <c r="A233" s="41" t="s">
        <v>5152</v>
      </c>
      <c r="B233" s="196" t="s">
        <v>5153</v>
      </c>
      <c r="C233" s="885" t="s">
        <v>5154</v>
      </c>
      <c r="D233" s="30" t="s">
        <v>5155</v>
      </c>
      <c r="E233" s="352">
        <v>1</v>
      </c>
      <c r="F233" s="942" t="s">
        <v>4116</v>
      </c>
      <c r="G233" s="1107" t="s">
        <v>5154</v>
      </c>
      <c r="H233" s="539"/>
      <c r="I233" s="34"/>
      <c r="J233" s="1025"/>
      <c r="K233" s="960"/>
      <c r="L233" s="926"/>
      <c r="M233" s="939"/>
      <c r="N233" s="926"/>
      <c r="O233" s="926"/>
      <c r="P233" s="926"/>
      <c r="Q233" s="940"/>
      <c r="R233" s="940"/>
      <c r="S233" s="941"/>
      <c r="T233" s="926"/>
      <c r="U233" s="926"/>
      <c r="V233" s="926"/>
      <c r="W233" s="926"/>
      <c r="X233" s="1015"/>
      <c r="Y233" s="749"/>
      <c r="Z233" s="752" t="s">
        <v>5114</v>
      </c>
      <c r="AA233" s="752" t="s">
        <v>5115</v>
      </c>
    </row>
    <row r="234" spans="1:28" ht="29.25" customHeight="1">
      <c r="A234" s="1140" t="s">
        <v>5156</v>
      </c>
      <c r="B234" s="1170" t="s">
        <v>5157</v>
      </c>
      <c r="C234" s="1170" t="s">
        <v>5158</v>
      </c>
      <c r="D234" s="1343" t="s">
        <v>5159</v>
      </c>
      <c r="E234" s="1460" t="s">
        <v>506</v>
      </c>
      <c r="F234" s="1461" t="s">
        <v>4116</v>
      </c>
      <c r="G234" s="1170" t="s">
        <v>5158</v>
      </c>
      <c r="H234" s="1462"/>
      <c r="I234" s="1463"/>
      <c r="J234" s="1201"/>
      <c r="K234" s="1464"/>
      <c r="L234" s="1252"/>
      <c r="M234" s="1465"/>
      <c r="N234" s="1252"/>
      <c r="O234" s="1252"/>
      <c r="P234" s="1252"/>
      <c r="Q234" s="1257"/>
      <c r="R234" s="1257"/>
      <c r="S234" s="1466"/>
      <c r="T234" s="1252"/>
      <c r="U234" s="1252"/>
      <c r="V234" s="1252"/>
      <c r="W234" s="1252"/>
      <c r="X234" s="1467"/>
      <c r="Y234" s="1468"/>
      <c r="Z234" s="1332" t="s">
        <v>5114</v>
      </c>
      <c r="AA234" s="1332" t="s">
        <v>5115</v>
      </c>
      <c r="AB234" s="1336"/>
    </row>
    <row r="235" spans="1:28" ht="29.25" customHeight="1">
      <c r="A235" s="1337" t="s">
        <v>5160</v>
      </c>
      <c r="B235" s="1341" t="s">
        <v>5161</v>
      </c>
      <c r="C235" s="1341" t="s">
        <v>5162</v>
      </c>
      <c r="D235" s="1343" t="s">
        <v>5163</v>
      </c>
      <c r="E235" s="1460" t="s">
        <v>506</v>
      </c>
      <c r="F235" s="1469" t="s">
        <v>4116</v>
      </c>
      <c r="G235" s="1341" t="s">
        <v>5162</v>
      </c>
      <c r="H235" s="1462"/>
      <c r="I235" s="1463"/>
      <c r="J235" s="1348"/>
      <c r="K235" s="1470"/>
      <c r="L235" s="1350"/>
      <c r="M235" s="1471"/>
      <c r="N235" s="1350"/>
      <c r="O235" s="1350"/>
      <c r="P235" s="1350"/>
      <c r="Q235" s="1351"/>
      <c r="R235" s="1351"/>
      <c r="S235" s="1472"/>
      <c r="T235" s="1350"/>
      <c r="U235" s="1350"/>
      <c r="V235" s="1350"/>
      <c r="W235" s="1350"/>
      <c r="X235" s="1473"/>
      <c r="Y235" s="1474"/>
      <c r="Z235" s="1353" t="s">
        <v>5114</v>
      </c>
      <c r="AA235" s="1353" t="s">
        <v>5115</v>
      </c>
      <c r="AB235" s="1336"/>
    </row>
    <row r="236" spans="1:28" ht="15.75" customHeight="1">
      <c r="A236" s="41" t="s">
        <v>5164</v>
      </c>
      <c r="B236" s="205" t="s">
        <v>5165</v>
      </c>
      <c r="C236" s="889" t="s">
        <v>5166</v>
      </c>
      <c r="D236" s="30" t="s">
        <v>5167</v>
      </c>
      <c r="E236" s="352">
        <v>1</v>
      </c>
      <c r="F236" s="942" t="s">
        <v>4116</v>
      </c>
      <c r="G236" s="1112" t="s">
        <v>4331</v>
      </c>
      <c r="H236" s="539"/>
      <c r="I236" s="34"/>
      <c r="J236" s="1025"/>
      <c r="K236" s="960"/>
      <c r="L236" s="926"/>
      <c r="M236" s="939"/>
      <c r="N236" s="926"/>
      <c r="O236" s="926"/>
      <c r="P236" s="926"/>
      <c r="Q236" s="940"/>
      <c r="R236" s="940"/>
      <c r="S236" s="941"/>
      <c r="T236" s="926"/>
      <c r="U236" s="926"/>
      <c r="V236" s="926"/>
      <c r="W236" s="926"/>
      <c r="X236" s="1015"/>
      <c r="Y236" s="749"/>
      <c r="Z236" s="752" t="s">
        <v>5168</v>
      </c>
      <c r="AA236" s="752" t="s">
        <v>4483</v>
      </c>
    </row>
    <row r="237" spans="1:28" ht="15.75" customHeight="1">
      <c r="A237" s="41" t="s">
        <v>5169</v>
      </c>
      <c r="B237" s="205" t="s">
        <v>5170</v>
      </c>
      <c r="C237" s="889" t="s">
        <v>5171</v>
      </c>
      <c r="D237" s="30" t="s">
        <v>5172</v>
      </c>
      <c r="E237" s="352">
        <v>1</v>
      </c>
      <c r="F237" s="942" t="s">
        <v>4116</v>
      </c>
      <c r="G237" s="1112" t="s">
        <v>4347</v>
      </c>
      <c r="H237" s="539"/>
      <c r="I237" s="34"/>
      <c r="J237" s="1025"/>
      <c r="K237" s="960"/>
      <c r="L237" s="926"/>
      <c r="M237" s="939"/>
      <c r="N237" s="926"/>
      <c r="O237" s="926"/>
      <c r="P237" s="926"/>
      <c r="Q237" s="940"/>
      <c r="R237" s="940"/>
      <c r="S237" s="941"/>
      <c r="T237" s="926"/>
      <c r="U237" s="926"/>
      <c r="V237" s="926"/>
      <c r="W237" s="926"/>
      <c r="X237" s="1015"/>
      <c r="Y237" s="749"/>
      <c r="Z237" s="752" t="s">
        <v>5173</v>
      </c>
      <c r="AA237" s="752" t="s">
        <v>5174</v>
      </c>
    </row>
    <row r="238" spans="1:28" ht="15.75" customHeight="1">
      <c r="A238" s="41" t="s">
        <v>5175</v>
      </c>
      <c r="B238" s="205" t="s">
        <v>5176</v>
      </c>
      <c r="C238" s="889" t="s">
        <v>5177</v>
      </c>
      <c r="D238" s="30" t="s">
        <v>5178</v>
      </c>
      <c r="E238" s="352">
        <v>1</v>
      </c>
      <c r="F238" s="942" t="s">
        <v>4116</v>
      </c>
      <c r="G238" s="1107" t="s">
        <v>5177</v>
      </c>
      <c r="H238" s="539"/>
      <c r="I238" s="34"/>
      <c r="J238" s="1025"/>
      <c r="K238" s="960"/>
      <c r="L238" s="926"/>
      <c r="M238" s="939"/>
      <c r="N238" s="926"/>
      <c r="O238" s="926"/>
      <c r="P238" s="926"/>
      <c r="Q238" s="940"/>
      <c r="R238" s="940"/>
      <c r="S238" s="941"/>
      <c r="T238" s="926"/>
      <c r="U238" s="926"/>
      <c r="V238" s="926"/>
      <c r="W238" s="926"/>
      <c r="X238" s="1015"/>
      <c r="Y238" s="749"/>
      <c r="Z238" s="752" t="s">
        <v>5168</v>
      </c>
      <c r="AA238" s="752" t="s">
        <v>4483</v>
      </c>
    </row>
    <row r="239" spans="1:28" s="5" customFormat="1" ht="15.75" customHeight="1">
      <c r="A239" s="1475" t="s">
        <v>5179</v>
      </c>
      <c r="B239" s="1476" t="s">
        <v>5180</v>
      </c>
      <c r="C239" s="1476" t="s">
        <v>5181</v>
      </c>
      <c r="D239" s="1343" t="s">
        <v>5182</v>
      </c>
      <c r="E239" s="1460" t="s">
        <v>506</v>
      </c>
      <c r="F239" s="1461" t="s">
        <v>4116</v>
      </c>
      <c r="G239" s="1476" t="s">
        <v>5181</v>
      </c>
      <c r="H239" s="1477"/>
      <c r="I239" s="1478"/>
      <c r="J239" s="1479"/>
      <c r="K239" s="1480"/>
      <c r="L239" s="1480"/>
      <c r="M239" s="1252"/>
      <c r="N239" s="1252"/>
      <c r="O239" s="1252"/>
      <c r="P239" s="1252"/>
      <c r="Q239" s="1481"/>
      <c r="R239" s="1481"/>
      <c r="S239" s="1482"/>
      <c r="T239" s="1252"/>
      <c r="U239" s="1252"/>
      <c r="V239" s="1252"/>
      <c r="W239" s="1252"/>
      <c r="X239" s="1483"/>
      <c r="Y239" s="1484"/>
      <c r="Z239" s="1213" t="s">
        <v>5183</v>
      </c>
      <c r="AA239" s="1213" t="s">
        <v>5184</v>
      </c>
      <c r="AB239" s="1485"/>
    </row>
    <row r="240" spans="1:28" s="5" customFormat="1" ht="15.75" customHeight="1">
      <c r="A240" s="1475" t="s">
        <v>5185</v>
      </c>
      <c r="B240" s="1476" t="s">
        <v>5186</v>
      </c>
      <c r="C240" s="1476" t="s">
        <v>5187</v>
      </c>
      <c r="D240" s="1343" t="s">
        <v>5188</v>
      </c>
      <c r="E240" s="1460" t="s">
        <v>506</v>
      </c>
      <c r="F240" s="1469" t="s">
        <v>4116</v>
      </c>
      <c r="G240" s="1476" t="s">
        <v>5187</v>
      </c>
      <c r="H240" s="1477"/>
      <c r="I240" s="1486"/>
      <c r="J240" s="1487"/>
      <c r="K240" s="1488"/>
      <c r="L240" s="1488"/>
      <c r="M240" s="1350"/>
      <c r="N240" s="1350"/>
      <c r="O240" s="1350"/>
      <c r="P240" s="1350"/>
      <c r="Q240" s="1489"/>
      <c r="R240" s="1489"/>
      <c r="S240" s="1490"/>
      <c r="T240" s="1350"/>
      <c r="U240" s="1350"/>
      <c r="V240" s="1350"/>
      <c r="W240" s="1350"/>
      <c r="X240" s="1491"/>
      <c r="Y240" s="1492"/>
      <c r="Z240" s="1214" t="s">
        <v>5189</v>
      </c>
      <c r="AA240" s="1214" t="s">
        <v>5184</v>
      </c>
      <c r="AB240" s="1485"/>
    </row>
    <row r="241" spans="1:28" s="5" customFormat="1" ht="15.75" customHeight="1">
      <c r="A241" s="547" t="s">
        <v>5190</v>
      </c>
      <c r="B241" s="547" t="s">
        <v>5191</v>
      </c>
      <c r="C241" s="547" t="s">
        <v>5192</v>
      </c>
      <c r="D241" s="30" t="s">
        <v>5193</v>
      </c>
      <c r="E241" s="352">
        <v>1</v>
      </c>
      <c r="F241" s="942" t="s">
        <v>4116</v>
      </c>
      <c r="G241" s="1111" t="s">
        <v>5192</v>
      </c>
      <c r="H241" s="620"/>
      <c r="I241" s="1028"/>
      <c r="J241" s="888"/>
      <c r="K241" s="976"/>
      <c r="L241" s="976"/>
      <c r="M241" s="926"/>
      <c r="N241" s="926"/>
      <c r="O241" s="926"/>
      <c r="P241" s="926"/>
      <c r="Q241" s="932"/>
      <c r="R241" s="932"/>
      <c r="S241" s="930"/>
      <c r="T241" s="926"/>
      <c r="U241" s="926"/>
      <c r="V241" s="926"/>
      <c r="W241" s="926"/>
      <c r="X241" s="1029"/>
      <c r="Y241" s="888"/>
      <c r="Z241" s="1214" t="s">
        <v>5194</v>
      </c>
      <c r="AA241" s="1214" t="s">
        <v>5184</v>
      </c>
      <c r="AB241" s="316"/>
    </row>
    <row r="242" spans="1:28" s="5" customFormat="1" ht="15.75" customHeight="1">
      <c r="A242" s="547" t="s">
        <v>5195</v>
      </c>
      <c r="B242" s="547" t="s">
        <v>5196</v>
      </c>
      <c r="C242" s="547" t="s">
        <v>5197</v>
      </c>
      <c r="D242" s="30" t="s">
        <v>5198</v>
      </c>
      <c r="E242" s="352">
        <v>1</v>
      </c>
      <c r="F242" s="942" t="s">
        <v>4116</v>
      </c>
      <c r="G242" s="1111" t="s">
        <v>5197</v>
      </c>
      <c r="H242" s="620"/>
      <c r="I242" s="1028"/>
      <c r="J242" s="888"/>
      <c r="K242" s="976"/>
      <c r="L242" s="976"/>
      <c r="M242" s="926"/>
      <c r="N242" s="926"/>
      <c r="O242" s="926"/>
      <c r="P242" s="926"/>
      <c r="Q242" s="932"/>
      <c r="R242" s="932"/>
      <c r="S242" s="930"/>
      <c r="T242" s="926"/>
      <c r="U242" s="926"/>
      <c r="V242" s="926"/>
      <c r="W242" s="926"/>
      <c r="X242" s="1029"/>
      <c r="Y242" s="888"/>
      <c r="Z242" s="1214" t="s">
        <v>5199</v>
      </c>
      <c r="AA242" s="1214" t="s">
        <v>5184</v>
      </c>
      <c r="AB242" s="316"/>
    </row>
    <row r="243" spans="1:28" s="5" customFormat="1" ht="15.75" customHeight="1">
      <c r="A243" s="547" t="s">
        <v>5200</v>
      </c>
      <c r="B243" s="547" t="s">
        <v>5201</v>
      </c>
      <c r="C243" s="547" t="s">
        <v>5202</v>
      </c>
      <c r="D243" s="30" t="s">
        <v>5203</v>
      </c>
      <c r="E243" s="352">
        <v>1</v>
      </c>
      <c r="F243" s="942" t="s">
        <v>4116</v>
      </c>
      <c r="G243" s="1111" t="s">
        <v>5202</v>
      </c>
      <c r="H243" s="620"/>
      <c r="I243" s="1028"/>
      <c r="J243" s="888"/>
      <c r="K243" s="976"/>
      <c r="L243" s="976"/>
      <c r="M243" s="926"/>
      <c r="N243" s="926"/>
      <c r="O243" s="926"/>
      <c r="P243" s="926"/>
      <c r="Q243" s="932"/>
      <c r="R243" s="932"/>
      <c r="S243" s="930"/>
      <c r="T243" s="926"/>
      <c r="U243" s="926"/>
      <c r="V243" s="926"/>
      <c r="W243" s="926"/>
      <c r="X243" s="1029"/>
      <c r="Y243" s="888"/>
      <c r="Z243" s="1214" t="s">
        <v>5204</v>
      </c>
      <c r="AA243" s="1214" t="s">
        <v>5184</v>
      </c>
      <c r="AB243" s="316"/>
    </row>
    <row r="244" spans="1:28" s="5" customFormat="1" ht="15.75" customHeight="1">
      <c r="A244" s="547" t="s">
        <v>5205</v>
      </c>
      <c r="B244" s="547" t="s">
        <v>5206</v>
      </c>
      <c r="C244" s="547" t="s">
        <v>5207</v>
      </c>
      <c r="D244" s="30" t="s">
        <v>5208</v>
      </c>
      <c r="E244" s="352">
        <v>1</v>
      </c>
      <c r="F244" s="942" t="s">
        <v>4116</v>
      </c>
      <c r="G244" s="1111" t="s">
        <v>5207</v>
      </c>
      <c r="H244" s="620"/>
      <c r="I244" s="1028"/>
      <c r="J244" s="888"/>
      <c r="K244" s="976"/>
      <c r="L244" s="976"/>
      <c r="M244" s="926"/>
      <c r="N244" s="926"/>
      <c r="O244" s="926"/>
      <c r="P244" s="926"/>
      <c r="Q244" s="932"/>
      <c r="R244" s="932"/>
      <c r="S244" s="930"/>
      <c r="T244" s="926"/>
      <c r="U244" s="926"/>
      <c r="V244" s="926"/>
      <c r="W244" s="926"/>
      <c r="X244" s="1029"/>
      <c r="Y244" s="888"/>
      <c r="Z244" s="1214" t="s">
        <v>5209</v>
      </c>
      <c r="AA244" s="1214" t="s">
        <v>5184</v>
      </c>
      <c r="AB244" s="316"/>
    </row>
    <row r="245" spans="1:28" s="5" customFormat="1" ht="41.25" customHeight="1">
      <c r="A245" s="1494"/>
      <c r="B245" s="1476" t="s">
        <v>5210</v>
      </c>
      <c r="C245" s="1476" t="s">
        <v>5211</v>
      </c>
      <c r="D245" s="1343" t="s">
        <v>5212</v>
      </c>
      <c r="E245" s="1460" t="s">
        <v>506</v>
      </c>
      <c r="F245" s="1461" t="s">
        <v>4116</v>
      </c>
      <c r="G245" s="1476" t="s">
        <v>5211</v>
      </c>
      <c r="H245" s="1477"/>
      <c r="I245" s="1478"/>
      <c r="J245" s="1479"/>
      <c r="K245" s="1480"/>
      <c r="L245" s="1480"/>
      <c r="M245" s="1252"/>
      <c r="N245" s="1252"/>
      <c r="O245" s="1252"/>
      <c r="P245" s="1252"/>
      <c r="Q245" s="1481"/>
      <c r="R245" s="1481"/>
      <c r="S245" s="1482"/>
      <c r="T245" s="1252"/>
      <c r="U245" s="1252"/>
      <c r="V245" s="1252"/>
      <c r="W245" s="1252"/>
      <c r="X245" s="1483"/>
      <c r="Y245" s="1484"/>
      <c r="Z245" s="1158" t="s">
        <v>5114</v>
      </c>
      <c r="AA245" s="1206" t="s">
        <v>5115</v>
      </c>
      <c r="AB245" s="1485"/>
    </row>
    <row r="246" spans="1:28" s="5" customFormat="1" ht="41.25" customHeight="1">
      <c r="A246" s="1494"/>
      <c r="B246" s="1476" t="s">
        <v>1928</v>
      </c>
      <c r="C246" s="1495" t="s">
        <v>5213</v>
      </c>
      <c r="D246" s="1459" t="s">
        <v>5214</v>
      </c>
      <c r="E246" s="1460" t="s">
        <v>506</v>
      </c>
      <c r="F246" s="1469" t="s">
        <v>4116</v>
      </c>
      <c r="G246" s="1495" t="s">
        <v>5213</v>
      </c>
      <c r="H246" s="1496"/>
      <c r="I246" s="1486"/>
      <c r="J246" s="1487"/>
      <c r="K246" s="1488"/>
      <c r="L246" s="1488"/>
      <c r="M246" s="1350"/>
      <c r="N246" s="1350"/>
      <c r="O246" s="1350"/>
      <c r="P246" s="1350"/>
      <c r="Q246" s="1489"/>
      <c r="R246" s="1489"/>
      <c r="S246" s="1490"/>
      <c r="T246" s="1350"/>
      <c r="U246" s="1350"/>
      <c r="V246" s="1350"/>
      <c r="W246" s="1350"/>
      <c r="X246" s="1491"/>
      <c r="Y246" s="1492"/>
      <c r="Z246" s="1207" t="s">
        <v>5114</v>
      </c>
      <c r="AA246" s="1208" t="s">
        <v>5115</v>
      </c>
      <c r="AB246" s="1485"/>
    </row>
    <row r="247" spans="1:28" s="5" customFormat="1" ht="41.25" customHeight="1">
      <c r="A247" s="3366" t="s">
        <v>5215</v>
      </c>
      <c r="B247" s="947" t="s">
        <v>5216</v>
      </c>
      <c r="C247" s="1027" t="s">
        <v>5217</v>
      </c>
      <c r="D247" s="946" t="s">
        <v>5218</v>
      </c>
      <c r="E247" s="947">
        <v>1</v>
      </c>
      <c r="F247" s="3364" t="s">
        <v>5219</v>
      </c>
      <c r="G247" s="1028" t="s">
        <v>5220</v>
      </c>
      <c r="H247" s="3364" t="s">
        <v>5219</v>
      </c>
      <c r="I247" s="1028" t="s">
        <v>5221</v>
      </c>
      <c r="J247" s="888" t="s">
        <v>3974</v>
      </c>
      <c r="K247" s="976" t="s">
        <v>4179</v>
      </c>
      <c r="L247" s="976"/>
      <c r="M247" s="926" t="s">
        <v>3979</v>
      </c>
      <c r="N247" s="926" t="s">
        <v>3979</v>
      </c>
      <c r="O247" s="926" t="s">
        <v>3974</v>
      </c>
      <c r="P247" s="926"/>
      <c r="Q247" s="932">
        <v>1</v>
      </c>
      <c r="R247" s="932">
        <v>1</v>
      </c>
      <c r="S247" s="930" t="s">
        <v>3974</v>
      </c>
      <c r="T247" s="926" t="s">
        <v>3974</v>
      </c>
      <c r="U247" s="926" t="s">
        <v>3979</v>
      </c>
      <c r="V247" s="926" t="s">
        <v>3979</v>
      </c>
      <c r="W247" s="926" t="s">
        <v>3979</v>
      </c>
      <c r="X247" s="1029" t="s">
        <v>3975</v>
      </c>
      <c r="Y247" s="888" t="s">
        <v>3980</v>
      </c>
      <c r="Z247" s="948" t="s">
        <v>5222</v>
      </c>
      <c r="AA247" s="948" t="s">
        <v>5223</v>
      </c>
      <c r="AB247" s="316"/>
    </row>
    <row r="248" spans="1:28" ht="41.25" customHeight="1">
      <c r="A248" s="3376"/>
      <c r="B248" s="947" t="s">
        <v>5224</v>
      </c>
      <c r="C248" s="1027" t="s">
        <v>5225</v>
      </c>
      <c r="D248" s="750" t="s">
        <v>5226</v>
      </c>
      <c r="E248" s="947">
        <v>2</v>
      </c>
      <c r="F248" s="3365"/>
      <c r="G248" s="1030" t="s">
        <v>5227</v>
      </c>
      <c r="H248" s="3365"/>
      <c r="I248" s="1030" t="s">
        <v>5228</v>
      </c>
      <c r="J248" s="749" t="s">
        <v>3974</v>
      </c>
      <c r="K248" s="960" t="s">
        <v>4179</v>
      </c>
      <c r="L248" s="960"/>
      <c r="M248" s="939" t="s">
        <v>3979</v>
      </c>
      <c r="N248" s="749" t="s">
        <v>3979</v>
      </c>
      <c r="O248" s="926" t="s">
        <v>3974</v>
      </c>
      <c r="P248" s="926"/>
      <c r="Q248" s="940">
        <v>1</v>
      </c>
      <c r="R248" s="940">
        <v>1</v>
      </c>
      <c r="S248" s="941" t="s">
        <v>3974</v>
      </c>
      <c r="T248" s="926" t="s">
        <v>3974</v>
      </c>
      <c r="U248" s="939" t="s">
        <v>3979</v>
      </c>
      <c r="V248" s="1031">
        <v>0.5</v>
      </c>
      <c r="W248" s="926" t="s">
        <v>3979</v>
      </c>
      <c r="X248" s="979" t="s">
        <v>3979</v>
      </c>
      <c r="Y248" s="749" t="s">
        <v>3980</v>
      </c>
      <c r="Z248" s="752" t="s">
        <v>5222</v>
      </c>
      <c r="AA248" s="948" t="s">
        <v>5223</v>
      </c>
    </row>
    <row r="249" spans="1:28" ht="41.25" customHeight="1">
      <c r="A249" s="3376"/>
      <c r="B249" s="947" t="s">
        <v>5229</v>
      </c>
      <c r="C249" s="1027" t="s">
        <v>5230</v>
      </c>
      <c r="D249" s="750" t="s">
        <v>5231</v>
      </c>
      <c r="E249" s="947">
        <v>3</v>
      </c>
      <c r="F249" s="3366"/>
      <c r="G249" s="1030" t="s">
        <v>5232</v>
      </c>
      <c r="H249" s="3366"/>
      <c r="I249" s="1030" t="s">
        <v>5233</v>
      </c>
      <c r="J249" s="749" t="s">
        <v>3974</v>
      </c>
      <c r="K249" s="960" t="s">
        <v>4179</v>
      </c>
      <c r="L249" s="959" t="s">
        <v>5234</v>
      </c>
      <c r="M249" s="749" t="s">
        <v>3975</v>
      </c>
      <c r="N249" s="749" t="s">
        <v>3975</v>
      </c>
      <c r="O249" s="926" t="s">
        <v>3976</v>
      </c>
      <c r="P249" s="926"/>
      <c r="Q249" s="940">
        <v>0</v>
      </c>
      <c r="R249" s="940">
        <v>0</v>
      </c>
      <c r="S249" s="941" t="s">
        <v>3974</v>
      </c>
      <c r="T249" s="749" t="s">
        <v>3975</v>
      </c>
      <c r="U249" s="749" t="s">
        <v>3975</v>
      </c>
      <c r="V249" s="749" t="s">
        <v>3975</v>
      </c>
      <c r="W249" s="749" t="s">
        <v>3975</v>
      </c>
      <c r="X249" s="1032" t="s">
        <v>3979</v>
      </c>
      <c r="Y249" s="749" t="s">
        <v>3980</v>
      </c>
      <c r="Z249" s="752" t="s">
        <v>5222</v>
      </c>
      <c r="AA249" s="752" t="s">
        <v>5235</v>
      </c>
    </row>
    <row r="250" spans="1:28" ht="41.25" customHeight="1">
      <c r="A250" s="3376" t="s">
        <v>5236</v>
      </c>
      <c r="B250" s="947" t="s">
        <v>5237</v>
      </c>
      <c r="C250" s="1027" t="s">
        <v>5238</v>
      </c>
      <c r="D250" s="750" t="s">
        <v>5239</v>
      </c>
      <c r="E250" s="947">
        <v>1</v>
      </c>
      <c r="F250" s="3364" t="s">
        <v>5219</v>
      </c>
      <c r="G250" s="1030" t="s">
        <v>5240</v>
      </c>
      <c r="H250" s="3364" t="s">
        <v>5219</v>
      </c>
      <c r="I250" s="1030" t="s">
        <v>5241</v>
      </c>
      <c r="J250" s="749" t="s">
        <v>3974</v>
      </c>
      <c r="K250" s="960" t="s">
        <v>4179</v>
      </c>
      <c r="L250" s="960"/>
      <c r="M250" s="939" t="s">
        <v>3979</v>
      </c>
      <c r="N250" s="926" t="s">
        <v>3979</v>
      </c>
      <c r="O250" s="926" t="s">
        <v>3974</v>
      </c>
      <c r="P250" s="926"/>
      <c r="Q250" s="940">
        <v>1</v>
      </c>
      <c r="R250" s="940">
        <v>1</v>
      </c>
      <c r="S250" s="941" t="s">
        <v>3974</v>
      </c>
      <c r="T250" s="939" t="s">
        <v>3979</v>
      </c>
      <c r="U250" s="939" t="s">
        <v>3979</v>
      </c>
      <c r="V250" s="926" t="s">
        <v>3979</v>
      </c>
      <c r="W250" s="926" t="s">
        <v>3979</v>
      </c>
      <c r="X250" s="1033" t="s">
        <v>3975</v>
      </c>
      <c r="Y250" s="749" t="s">
        <v>3980</v>
      </c>
      <c r="Z250" s="752" t="s">
        <v>5242</v>
      </c>
      <c r="AA250" s="948" t="s">
        <v>5223</v>
      </c>
    </row>
    <row r="251" spans="1:28" ht="41.25" customHeight="1">
      <c r="A251" s="3376"/>
      <c r="B251" s="947" t="s">
        <v>5243</v>
      </c>
      <c r="C251" s="1027" t="s">
        <v>5244</v>
      </c>
      <c r="D251" s="750" t="s">
        <v>5245</v>
      </c>
      <c r="E251" s="947">
        <v>2</v>
      </c>
      <c r="F251" s="3365"/>
      <c r="G251" s="1030" t="s">
        <v>5246</v>
      </c>
      <c r="H251" s="3365"/>
      <c r="I251" s="1030" t="s">
        <v>5247</v>
      </c>
      <c r="J251" s="749" t="s">
        <v>3974</v>
      </c>
      <c r="K251" s="960" t="s">
        <v>4179</v>
      </c>
      <c r="L251" s="960"/>
      <c r="M251" s="939" t="s">
        <v>3979</v>
      </c>
      <c r="N251" s="749" t="s">
        <v>3979</v>
      </c>
      <c r="O251" s="926" t="s">
        <v>3974</v>
      </c>
      <c r="P251" s="926"/>
      <c r="Q251" s="940">
        <v>1</v>
      </c>
      <c r="R251" s="940">
        <v>1</v>
      </c>
      <c r="S251" s="941" t="s">
        <v>3974</v>
      </c>
      <c r="T251" s="939" t="s">
        <v>3979</v>
      </c>
      <c r="U251" s="939" t="s">
        <v>3979</v>
      </c>
      <c r="V251" s="1031" t="s">
        <v>3979</v>
      </c>
      <c r="W251" s="926" t="s">
        <v>3979</v>
      </c>
      <c r="X251" s="1034" t="s">
        <v>3975</v>
      </c>
      <c r="Y251" s="749" t="s">
        <v>3980</v>
      </c>
      <c r="Z251" s="752" t="s">
        <v>5242</v>
      </c>
      <c r="AA251" s="948" t="s">
        <v>5223</v>
      </c>
    </row>
    <row r="252" spans="1:28" ht="27.75" customHeight="1">
      <c r="A252" s="3376"/>
      <c r="B252" s="947" t="s">
        <v>5248</v>
      </c>
      <c r="C252" s="1027" t="s">
        <v>5249</v>
      </c>
      <c r="D252" s="750" t="s">
        <v>5250</v>
      </c>
      <c r="E252" s="947">
        <v>3</v>
      </c>
      <c r="F252" s="3366"/>
      <c r="G252" s="1030" t="s">
        <v>5251</v>
      </c>
      <c r="H252" s="3366"/>
      <c r="I252" s="1030" t="s">
        <v>5233</v>
      </c>
      <c r="J252" s="749" t="s">
        <v>3974</v>
      </c>
      <c r="K252" s="960" t="s">
        <v>4179</v>
      </c>
      <c r="L252" s="959" t="s">
        <v>5234</v>
      </c>
      <c r="M252" s="749" t="s">
        <v>3975</v>
      </c>
      <c r="N252" s="749" t="s">
        <v>3975</v>
      </c>
      <c r="O252" s="926" t="s">
        <v>3976</v>
      </c>
      <c r="P252" s="926"/>
      <c r="Q252" s="940">
        <v>0</v>
      </c>
      <c r="R252" s="940">
        <v>0</v>
      </c>
      <c r="S252" s="941" t="s">
        <v>3974</v>
      </c>
      <c r="T252" s="749" t="s">
        <v>3975</v>
      </c>
      <c r="U252" s="749" t="s">
        <v>3975</v>
      </c>
      <c r="V252" s="749" t="s">
        <v>3975</v>
      </c>
      <c r="W252" s="749" t="s">
        <v>3975</v>
      </c>
      <c r="X252" s="1032" t="s">
        <v>3979</v>
      </c>
      <c r="Y252" s="749" t="s">
        <v>3980</v>
      </c>
      <c r="Z252" s="752" t="s">
        <v>5242</v>
      </c>
      <c r="AA252" s="752" t="s">
        <v>5252</v>
      </c>
    </row>
    <row r="253" spans="1:28" ht="54.75" customHeight="1">
      <c r="A253" s="3376" t="s">
        <v>5253</v>
      </c>
      <c r="B253" s="947" t="s">
        <v>5254</v>
      </c>
      <c r="C253" s="1027" t="s">
        <v>5255</v>
      </c>
      <c r="D253" s="750" t="s">
        <v>5256</v>
      </c>
      <c r="E253" s="947">
        <v>1</v>
      </c>
      <c r="F253" s="3364" t="s">
        <v>5219</v>
      </c>
      <c r="G253" s="1030" t="s">
        <v>5257</v>
      </c>
      <c r="H253" s="3364" t="s">
        <v>5219</v>
      </c>
      <c r="I253" s="1030" t="s">
        <v>5258</v>
      </c>
      <c r="J253" s="749" t="s">
        <v>3974</v>
      </c>
      <c r="K253" s="960" t="s">
        <v>4179</v>
      </c>
      <c r="L253" s="960"/>
      <c r="M253" s="939" t="s">
        <v>3979</v>
      </c>
      <c r="N253" s="749" t="s">
        <v>3979</v>
      </c>
      <c r="O253" s="926" t="s">
        <v>3974</v>
      </c>
      <c r="P253" s="926"/>
      <c r="Q253" s="940" t="s">
        <v>5259</v>
      </c>
      <c r="R253" s="940" t="s">
        <v>5259</v>
      </c>
      <c r="S253" s="941" t="s">
        <v>3974</v>
      </c>
      <c r="T253" s="749" t="s">
        <v>3979</v>
      </c>
      <c r="U253" s="939" t="s">
        <v>3975</v>
      </c>
      <c r="V253" s="926" t="s">
        <v>3979</v>
      </c>
      <c r="W253" s="749" t="s">
        <v>3975</v>
      </c>
      <c r="X253" s="1034" t="s">
        <v>3975</v>
      </c>
      <c r="Y253" s="749" t="s">
        <v>3980</v>
      </c>
      <c r="Z253" s="752" t="s">
        <v>5260</v>
      </c>
      <c r="AA253" s="948" t="s">
        <v>5223</v>
      </c>
    </row>
    <row r="254" spans="1:28" ht="54.75" customHeight="1">
      <c r="A254" s="3376"/>
      <c r="B254" s="947" t="s">
        <v>5261</v>
      </c>
      <c r="C254" s="1027" t="s">
        <v>5262</v>
      </c>
      <c r="D254" s="750" t="s">
        <v>5263</v>
      </c>
      <c r="E254" s="947">
        <v>2</v>
      </c>
      <c r="F254" s="3365"/>
      <c r="G254" s="1030" t="s">
        <v>5264</v>
      </c>
      <c r="H254" s="3365"/>
      <c r="I254" s="1030" t="s">
        <v>5265</v>
      </c>
      <c r="J254" s="749" t="s">
        <v>3974</v>
      </c>
      <c r="K254" s="960" t="s">
        <v>4179</v>
      </c>
      <c r="L254" s="960"/>
      <c r="M254" s="939" t="s">
        <v>3979</v>
      </c>
      <c r="N254" s="749" t="s">
        <v>3979</v>
      </c>
      <c r="O254" s="926" t="s">
        <v>3974</v>
      </c>
      <c r="P254" s="926"/>
      <c r="Q254" s="940" t="s">
        <v>5259</v>
      </c>
      <c r="R254" s="940" t="s">
        <v>5259</v>
      </c>
      <c r="S254" s="941" t="s">
        <v>3974</v>
      </c>
      <c r="T254" s="749" t="s">
        <v>3979</v>
      </c>
      <c r="U254" s="939" t="s">
        <v>3975</v>
      </c>
      <c r="V254" s="1031" t="s">
        <v>3979</v>
      </c>
      <c r="W254" s="749" t="s">
        <v>3975</v>
      </c>
      <c r="X254" s="1034" t="s">
        <v>3975</v>
      </c>
      <c r="Y254" s="749" t="s">
        <v>3980</v>
      </c>
      <c r="Z254" s="752" t="s">
        <v>5260</v>
      </c>
      <c r="AA254" s="948" t="s">
        <v>5223</v>
      </c>
    </row>
    <row r="255" spans="1:28" ht="41.25" customHeight="1">
      <c r="A255" s="3376"/>
      <c r="B255" s="947" t="s">
        <v>5266</v>
      </c>
      <c r="C255" s="1027" t="s">
        <v>5267</v>
      </c>
      <c r="D255" s="750" t="s">
        <v>5268</v>
      </c>
      <c r="E255" s="947">
        <v>3</v>
      </c>
      <c r="F255" s="3366"/>
      <c r="G255" s="1030" t="s">
        <v>5269</v>
      </c>
      <c r="H255" s="3366"/>
      <c r="I255" s="1030" t="s">
        <v>5233</v>
      </c>
      <c r="J255" s="749" t="s">
        <v>3974</v>
      </c>
      <c r="K255" s="960" t="s">
        <v>4179</v>
      </c>
      <c r="L255" s="959" t="s">
        <v>5234</v>
      </c>
      <c r="M255" s="749" t="s">
        <v>3975</v>
      </c>
      <c r="N255" s="749" t="s">
        <v>3975</v>
      </c>
      <c r="O255" s="926" t="s">
        <v>3976</v>
      </c>
      <c r="P255" s="926"/>
      <c r="Q255" s="749" t="s">
        <v>3975</v>
      </c>
      <c r="R255" s="749" t="s">
        <v>3975</v>
      </c>
      <c r="S255" s="941" t="s">
        <v>3974</v>
      </c>
      <c r="T255" s="749" t="s">
        <v>3975</v>
      </c>
      <c r="U255" s="749" t="s">
        <v>3975</v>
      </c>
      <c r="V255" s="749" t="s">
        <v>3975</v>
      </c>
      <c r="W255" s="749" t="s">
        <v>3975</v>
      </c>
      <c r="X255" s="1032" t="s">
        <v>3979</v>
      </c>
      <c r="Y255" s="749" t="s">
        <v>3980</v>
      </c>
      <c r="Z255" s="752" t="s">
        <v>5260</v>
      </c>
      <c r="AA255" s="752" t="s">
        <v>5270</v>
      </c>
    </row>
    <row r="256" spans="1:28" ht="54.75" customHeight="1">
      <c r="A256" s="3376" t="s">
        <v>5271</v>
      </c>
      <c r="B256" s="947" t="s">
        <v>5272</v>
      </c>
      <c r="C256" s="1027" t="s">
        <v>5273</v>
      </c>
      <c r="D256" s="750" t="s">
        <v>5274</v>
      </c>
      <c r="E256" s="947">
        <v>1</v>
      </c>
      <c r="F256" s="3364" t="s">
        <v>5219</v>
      </c>
      <c r="G256" s="1030" t="s">
        <v>5275</v>
      </c>
      <c r="H256" s="3364" t="s">
        <v>5219</v>
      </c>
      <c r="I256" s="1030" t="s">
        <v>5276</v>
      </c>
      <c r="J256" s="749" t="s">
        <v>3974</v>
      </c>
      <c r="K256" s="960" t="s">
        <v>4179</v>
      </c>
      <c r="L256" s="960"/>
      <c r="M256" s="749" t="s">
        <v>3979</v>
      </c>
      <c r="N256" s="749" t="s">
        <v>3979</v>
      </c>
      <c r="O256" s="926" t="s">
        <v>3974</v>
      </c>
      <c r="P256" s="926"/>
      <c r="Q256" s="940" t="s">
        <v>5259</v>
      </c>
      <c r="R256" s="940" t="s">
        <v>5259</v>
      </c>
      <c r="S256" s="941" t="s">
        <v>3974</v>
      </c>
      <c r="T256" s="749" t="s">
        <v>3979</v>
      </c>
      <c r="U256" s="749" t="s">
        <v>3979</v>
      </c>
      <c r="V256" s="749" t="s">
        <v>3975</v>
      </c>
      <c r="W256" s="749" t="s">
        <v>3979</v>
      </c>
      <c r="X256" s="1034" t="s">
        <v>3975</v>
      </c>
      <c r="Y256" s="749" t="s">
        <v>5277</v>
      </c>
      <c r="Z256" s="752" t="s">
        <v>5278</v>
      </c>
      <c r="AA256" s="752" t="s">
        <v>5279</v>
      </c>
    </row>
    <row r="257" spans="1:28" ht="54.75" customHeight="1">
      <c r="A257" s="3376"/>
      <c r="B257" s="947" t="s">
        <v>5280</v>
      </c>
      <c r="C257" s="1027" t="s">
        <v>5281</v>
      </c>
      <c r="D257" s="750" t="s">
        <v>5282</v>
      </c>
      <c r="E257" s="947">
        <v>2</v>
      </c>
      <c r="F257" s="3365"/>
      <c r="G257" s="1030" t="s">
        <v>5283</v>
      </c>
      <c r="H257" s="3365"/>
      <c r="I257" s="1030" t="s">
        <v>5284</v>
      </c>
      <c r="J257" s="749" t="s">
        <v>3974</v>
      </c>
      <c r="K257" s="960" t="s">
        <v>4179</v>
      </c>
      <c r="L257" s="960"/>
      <c r="M257" s="749" t="s">
        <v>3979</v>
      </c>
      <c r="N257" s="749" t="s">
        <v>3979</v>
      </c>
      <c r="O257" s="926" t="s">
        <v>3974</v>
      </c>
      <c r="P257" s="926"/>
      <c r="Q257" s="940" t="s">
        <v>5259</v>
      </c>
      <c r="R257" s="940" t="s">
        <v>5259</v>
      </c>
      <c r="S257" s="941" t="s">
        <v>3974</v>
      </c>
      <c r="T257" s="749" t="s">
        <v>3979</v>
      </c>
      <c r="U257" s="749" t="s">
        <v>3979</v>
      </c>
      <c r="V257" s="749" t="s">
        <v>3975</v>
      </c>
      <c r="W257" s="749" t="s">
        <v>3979</v>
      </c>
      <c r="X257" s="1034" t="s">
        <v>3975</v>
      </c>
      <c r="Y257" s="749" t="s">
        <v>5277</v>
      </c>
      <c r="Z257" s="752" t="s">
        <v>5278</v>
      </c>
      <c r="AA257" s="752" t="s">
        <v>5279</v>
      </c>
    </row>
    <row r="258" spans="1:28" ht="41.25" customHeight="1">
      <c r="A258" s="3376"/>
      <c r="B258" s="947" t="s">
        <v>5285</v>
      </c>
      <c r="C258" s="1027" t="s">
        <v>5286</v>
      </c>
      <c r="D258" s="750" t="s">
        <v>5287</v>
      </c>
      <c r="E258" s="947">
        <v>3</v>
      </c>
      <c r="F258" s="3366"/>
      <c r="G258" s="1030" t="s">
        <v>5288</v>
      </c>
      <c r="H258" s="3366"/>
      <c r="I258" s="1030" t="s">
        <v>5233</v>
      </c>
      <c r="J258" s="749" t="s">
        <v>3974</v>
      </c>
      <c r="K258" s="960" t="s">
        <v>4179</v>
      </c>
      <c r="L258" s="960"/>
      <c r="M258" s="749" t="s">
        <v>3979</v>
      </c>
      <c r="N258" s="749" t="s">
        <v>3975</v>
      </c>
      <c r="O258" s="926" t="s">
        <v>3976</v>
      </c>
      <c r="P258" s="926"/>
      <c r="Q258" s="940">
        <v>0</v>
      </c>
      <c r="R258" s="940">
        <v>0</v>
      </c>
      <c r="S258" s="941" t="s">
        <v>3974</v>
      </c>
      <c r="T258" s="749" t="s">
        <v>3975</v>
      </c>
      <c r="U258" s="749" t="s">
        <v>3979</v>
      </c>
      <c r="V258" s="749" t="s">
        <v>3975</v>
      </c>
      <c r="W258" s="749" t="s">
        <v>3979</v>
      </c>
      <c r="X258" s="1032" t="s">
        <v>3979</v>
      </c>
      <c r="Y258" s="749" t="s">
        <v>5277</v>
      </c>
      <c r="Z258" s="752" t="s">
        <v>5278</v>
      </c>
      <c r="AA258" s="752" t="s">
        <v>5289</v>
      </c>
    </row>
    <row r="259" spans="1:28" ht="54.75" customHeight="1">
      <c r="A259" s="3376" t="s">
        <v>5290</v>
      </c>
      <c r="B259" s="947" t="s">
        <v>5291</v>
      </c>
      <c r="C259" s="1027" t="s">
        <v>5292</v>
      </c>
      <c r="D259" s="750" t="s">
        <v>5293</v>
      </c>
      <c r="E259" s="947">
        <v>1</v>
      </c>
      <c r="F259" s="3364" t="s">
        <v>5219</v>
      </c>
      <c r="G259" s="1035" t="s">
        <v>5294</v>
      </c>
      <c r="H259" s="3364" t="s">
        <v>5219</v>
      </c>
      <c r="I259" s="1035" t="s">
        <v>5295</v>
      </c>
      <c r="J259" s="749" t="s">
        <v>3974</v>
      </c>
      <c r="K259" s="960" t="s">
        <v>4179</v>
      </c>
      <c r="L259" s="960"/>
      <c r="M259" s="749" t="s">
        <v>3979</v>
      </c>
      <c r="N259" s="749" t="s">
        <v>3979</v>
      </c>
      <c r="O259" s="926" t="s">
        <v>3974</v>
      </c>
      <c r="P259" s="926"/>
      <c r="Q259" s="940">
        <v>1</v>
      </c>
      <c r="R259" s="940">
        <v>0</v>
      </c>
      <c r="S259" s="941" t="s">
        <v>3974</v>
      </c>
      <c r="T259" s="749" t="s">
        <v>3979</v>
      </c>
      <c r="U259" s="749" t="s">
        <v>3979</v>
      </c>
      <c r="V259" s="749" t="s">
        <v>3975</v>
      </c>
      <c r="W259" s="749" t="s">
        <v>3975</v>
      </c>
      <c r="X259" s="1034" t="s">
        <v>3975</v>
      </c>
      <c r="Y259" s="749" t="s">
        <v>3980</v>
      </c>
      <c r="Z259" s="752" t="s">
        <v>5296</v>
      </c>
      <c r="AA259" s="948" t="s">
        <v>5223</v>
      </c>
    </row>
    <row r="260" spans="1:28" ht="54.75" customHeight="1">
      <c r="A260" s="3376"/>
      <c r="B260" s="947" t="s">
        <v>5297</v>
      </c>
      <c r="C260" s="1027" t="s">
        <v>5298</v>
      </c>
      <c r="D260" s="750" t="s">
        <v>5299</v>
      </c>
      <c r="E260" s="947">
        <v>2</v>
      </c>
      <c r="F260" s="3365"/>
      <c r="G260" s="1035" t="s">
        <v>5300</v>
      </c>
      <c r="H260" s="3365"/>
      <c r="I260" s="1035" t="s">
        <v>5301</v>
      </c>
      <c r="J260" s="749" t="s">
        <v>3974</v>
      </c>
      <c r="K260" s="960" t="s">
        <v>4179</v>
      </c>
      <c r="L260" s="960"/>
      <c r="M260" s="749" t="s">
        <v>3979</v>
      </c>
      <c r="N260" s="749" t="s">
        <v>3979</v>
      </c>
      <c r="O260" s="926" t="s">
        <v>3974</v>
      </c>
      <c r="P260" s="926"/>
      <c r="Q260" s="940">
        <v>1</v>
      </c>
      <c r="R260" s="940">
        <v>0</v>
      </c>
      <c r="S260" s="941" t="s">
        <v>3974</v>
      </c>
      <c r="T260" s="749" t="s">
        <v>3979</v>
      </c>
      <c r="U260" s="749" t="s">
        <v>3979</v>
      </c>
      <c r="V260" s="749" t="s">
        <v>3975</v>
      </c>
      <c r="W260" s="749" t="s">
        <v>3975</v>
      </c>
      <c r="X260" s="1034" t="s">
        <v>3975</v>
      </c>
      <c r="Y260" s="749" t="s">
        <v>3980</v>
      </c>
      <c r="Z260" s="752" t="s">
        <v>5296</v>
      </c>
      <c r="AA260" s="948" t="s">
        <v>5223</v>
      </c>
    </row>
    <row r="261" spans="1:28" ht="27.75" customHeight="1">
      <c r="A261" s="3376"/>
      <c r="B261" s="947" t="s">
        <v>5302</v>
      </c>
      <c r="C261" s="1027" t="s">
        <v>5303</v>
      </c>
      <c r="D261" s="750" t="s">
        <v>5304</v>
      </c>
      <c r="E261" s="947">
        <v>3</v>
      </c>
      <c r="F261" s="3366"/>
      <c r="G261" s="1035" t="s">
        <v>5305</v>
      </c>
      <c r="H261" s="3366"/>
      <c r="I261" s="1035" t="s">
        <v>5233</v>
      </c>
      <c r="J261" s="749" t="s">
        <v>3974</v>
      </c>
      <c r="K261" s="960" t="s">
        <v>4179</v>
      </c>
      <c r="L261" s="960"/>
      <c r="M261" s="749" t="s">
        <v>3979</v>
      </c>
      <c r="N261" s="749" t="s">
        <v>3979</v>
      </c>
      <c r="O261" s="926" t="s">
        <v>3976</v>
      </c>
      <c r="P261" s="926"/>
      <c r="Q261" s="940">
        <v>1</v>
      </c>
      <c r="R261" s="940">
        <v>0</v>
      </c>
      <c r="S261" s="941" t="s">
        <v>3974</v>
      </c>
      <c r="T261" s="749" t="s">
        <v>3979</v>
      </c>
      <c r="U261" s="749" t="s">
        <v>3979</v>
      </c>
      <c r="V261" s="749" t="s">
        <v>3975</v>
      </c>
      <c r="W261" s="749" t="s">
        <v>3975</v>
      </c>
      <c r="X261" s="1032" t="s">
        <v>3979</v>
      </c>
      <c r="Y261" s="749" t="s">
        <v>3980</v>
      </c>
      <c r="Z261" s="752" t="s">
        <v>5296</v>
      </c>
      <c r="AA261" s="752" t="s">
        <v>5252</v>
      </c>
    </row>
    <row r="262" spans="1:28" ht="122.25" customHeight="1">
      <c r="A262" s="3376" t="s">
        <v>5306</v>
      </c>
      <c r="B262" s="947" t="s">
        <v>5307</v>
      </c>
      <c r="C262" s="1027" t="s">
        <v>5308</v>
      </c>
      <c r="D262" s="750" t="s">
        <v>5309</v>
      </c>
      <c r="E262" s="947">
        <v>1</v>
      </c>
      <c r="F262" s="3364" t="s">
        <v>5219</v>
      </c>
      <c r="G262" s="1413" t="s">
        <v>5310</v>
      </c>
      <c r="H262" s="3364" t="s">
        <v>5219</v>
      </c>
      <c r="I262" s="3249" t="s">
        <v>5311</v>
      </c>
      <c r="J262" s="749" t="s">
        <v>3974</v>
      </c>
      <c r="K262" s="960" t="s">
        <v>4179</v>
      </c>
      <c r="L262" s="960"/>
      <c r="M262" s="749" t="s">
        <v>3979</v>
      </c>
      <c r="N262" s="749" t="s">
        <v>3979</v>
      </c>
      <c r="O262" s="926" t="s">
        <v>3974</v>
      </c>
      <c r="P262" s="926"/>
      <c r="Q262" s="940">
        <v>1</v>
      </c>
      <c r="R262" s="940">
        <v>1</v>
      </c>
      <c r="S262" s="941" t="s">
        <v>3974</v>
      </c>
      <c r="T262" s="749" t="s">
        <v>3979</v>
      </c>
      <c r="U262" s="749" t="s">
        <v>3975</v>
      </c>
      <c r="V262" s="749" t="s">
        <v>3979</v>
      </c>
      <c r="W262" s="749" t="s">
        <v>3979</v>
      </c>
      <c r="X262" s="1034" t="s">
        <v>3975</v>
      </c>
      <c r="Y262" s="749" t="s">
        <v>3980</v>
      </c>
      <c r="Z262" s="752" t="s">
        <v>5312</v>
      </c>
      <c r="AA262" s="752" t="s">
        <v>5313</v>
      </c>
    </row>
    <row r="263" spans="1:28" ht="122.25" customHeight="1">
      <c r="A263" s="3376"/>
      <c r="B263" s="947" t="s">
        <v>5314</v>
      </c>
      <c r="C263" s="1027" t="s">
        <v>5315</v>
      </c>
      <c r="D263" s="750" t="s">
        <v>5316</v>
      </c>
      <c r="E263" s="947">
        <v>2</v>
      </c>
      <c r="F263" s="3365"/>
      <c r="G263" s="1414" t="s">
        <v>5317</v>
      </c>
      <c r="H263" s="3365"/>
      <c r="I263" s="3250" t="s">
        <v>5318</v>
      </c>
      <c r="J263" s="749" t="s">
        <v>3974</v>
      </c>
      <c r="K263" s="960" t="s">
        <v>4179</v>
      </c>
      <c r="L263" s="960"/>
      <c r="M263" s="749" t="s">
        <v>3979</v>
      </c>
      <c r="N263" s="749" t="s">
        <v>3979</v>
      </c>
      <c r="O263" s="926" t="s">
        <v>3974</v>
      </c>
      <c r="P263" s="926"/>
      <c r="Q263" s="940">
        <v>1</v>
      </c>
      <c r="R263" s="940">
        <v>1</v>
      </c>
      <c r="S263" s="941" t="s">
        <v>3974</v>
      </c>
      <c r="T263" s="749" t="s">
        <v>3979</v>
      </c>
      <c r="U263" s="749" t="s">
        <v>3975</v>
      </c>
      <c r="V263" s="749" t="s">
        <v>3979</v>
      </c>
      <c r="W263" s="749" t="s">
        <v>3979</v>
      </c>
      <c r="X263" s="1034" t="s">
        <v>3975</v>
      </c>
      <c r="Y263" s="749" t="s">
        <v>3980</v>
      </c>
      <c r="Z263" s="752" t="s">
        <v>5312</v>
      </c>
      <c r="AA263" s="752" t="s">
        <v>5313</v>
      </c>
    </row>
    <row r="264" spans="1:28" ht="41.25" customHeight="1">
      <c r="A264" s="3376"/>
      <c r="B264" s="947" t="s">
        <v>5319</v>
      </c>
      <c r="C264" s="1027" t="s">
        <v>5320</v>
      </c>
      <c r="D264" s="750" t="s">
        <v>5321</v>
      </c>
      <c r="E264" s="947">
        <v>3</v>
      </c>
      <c r="F264" s="3366"/>
      <c r="G264" s="1415" t="s">
        <v>5322</v>
      </c>
      <c r="H264" s="3366"/>
      <c r="I264" s="1036" t="s">
        <v>5233</v>
      </c>
      <c r="J264" s="749" t="s">
        <v>3974</v>
      </c>
      <c r="K264" s="960" t="s">
        <v>4179</v>
      </c>
      <c r="L264" s="960"/>
      <c r="M264" s="749" t="s">
        <v>3975</v>
      </c>
      <c r="N264" s="749" t="s">
        <v>3975</v>
      </c>
      <c r="O264" s="926" t="s">
        <v>3976</v>
      </c>
      <c r="P264" s="926"/>
      <c r="Q264" s="940">
        <v>0</v>
      </c>
      <c r="R264" s="940">
        <v>0</v>
      </c>
      <c r="S264" s="941" t="s">
        <v>3974</v>
      </c>
      <c r="T264" s="749" t="s">
        <v>3975</v>
      </c>
      <c r="U264" s="749" t="s">
        <v>3975</v>
      </c>
      <c r="V264" s="749" t="s">
        <v>3979</v>
      </c>
      <c r="W264" s="749" t="s">
        <v>3979</v>
      </c>
      <c r="X264" s="1032" t="s">
        <v>3979</v>
      </c>
      <c r="Y264" s="749" t="s">
        <v>3980</v>
      </c>
      <c r="Z264" s="752" t="s">
        <v>5312</v>
      </c>
      <c r="AA264" s="752" t="s">
        <v>5323</v>
      </c>
    </row>
    <row r="265" spans="1:28" ht="41.25" customHeight="1">
      <c r="A265" s="3376" t="s">
        <v>5324</v>
      </c>
      <c r="B265" s="947" t="s">
        <v>5325</v>
      </c>
      <c r="C265" s="1027" t="s">
        <v>5326</v>
      </c>
      <c r="D265" s="750" t="s">
        <v>5327</v>
      </c>
      <c r="E265" s="947">
        <v>1</v>
      </c>
      <c r="F265" s="3364" t="s">
        <v>5219</v>
      </c>
      <c r="G265" s="1035" t="s">
        <v>5328</v>
      </c>
      <c r="H265" s="3364" t="s">
        <v>5219</v>
      </c>
      <c r="I265" s="1030" t="s">
        <v>5329</v>
      </c>
      <c r="J265" s="749" t="s">
        <v>3974</v>
      </c>
      <c r="K265" s="960" t="s">
        <v>4179</v>
      </c>
      <c r="L265" s="960"/>
      <c r="M265" s="749" t="s">
        <v>3979</v>
      </c>
      <c r="N265" s="749" t="s">
        <v>3979</v>
      </c>
      <c r="O265" s="926" t="s">
        <v>3974</v>
      </c>
      <c r="P265" s="926"/>
      <c r="Q265" s="940">
        <v>1</v>
      </c>
      <c r="R265" s="940">
        <v>0</v>
      </c>
      <c r="S265" s="941" t="s">
        <v>3974</v>
      </c>
      <c r="T265" s="749" t="s">
        <v>3979</v>
      </c>
      <c r="U265" s="749" t="s">
        <v>3979</v>
      </c>
      <c r="V265" s="749" t="s">
        <v>3975</v>
      </c>
      <c r="W265" s="749" t="s">
        <v>3975</v>
      </c>
      <c r="X265" s="1034" t="s">
        <v>3975</v>
      </c>
      <c r="Y265" s="749" t="s">
        <v>3974</v>
      </c>
      <c r="Z265" s="752" t="s">
        <v>5296</v>
      </c>
      <c r="AA265" s="752" t="s">
        <v>5330</v>
      </c>
    </row>
    <row r="266" spans="1:28" ht="41.25" customHeight="1">
      <c r="A266" s="3376"/>
      <c r="B266" s="947" t="s">
        <v>5331</v>
      </c>
      <c r="C266" s="1027" t="s">
        <v>5332</v>
      </c>
      <c r="D266" s="750" t="s">
        <v>5333</v>
      </c>
      <c r="E266" s="947">
        <v>2</v>
      </c>
      <c r="F266" s="3365"/>
      <c r="G266" s="1035" t="s">
        <v>5334</v>
      </c>
      <c r="H266" s="3365"/>
      <c r="I266" s="1030" t="s">
        <v>5335</v>
      </c>
      <c r="J266" s="749" t="s">
        <v>3974</v>
      </c>
      <c r="K266" s="960" t="s">
        <v>4179</v>
      </c>
      <c r="L266" s="960"/>
      <c r="M266" s="749" t="s">
        <v>3979</v>
      </c>
      <c r="N266" s="749" t="s">
        <v>3979</v>
      </c>
      <c r="O266" s="926" t="s">
        <v>3974</v>
      </c>
      <c r="P266" s="926"/>
      <c r="Q266" s="940">
        <v>1</v>
      </c>
      <c r="R266" s="940">
        <v>0</v>
      </c>
      <c r="S266" s="941" t="s">
        <v>3974</v>
      </c>
      <c r="T266" s="749" t="s">
        <v>3979</v>
      </c>
      <c r="U266" s="749" t="s">
        <v>3979</v>
      </c>
      <c r="V266" s="749" t="s">
        <v>3975</v>
      </c>
      <c r="W266" s="749" t="s">
        <v>3975</v>
      </c>
      <c r="X266" s="1034" t="s">
        <v>3975</v>
      </c>
      <c r="Y266" s="749" t="s">
        <v>3974</v>
      </c>
      <c r="Z266" s="752" t="s">
        <v>5296</v>
      </c>
      <c r="AA266" s="752" t="s">
        <v>5330</v>
      </c>
    </row>
    <row r="267" spans="1:28" ht="27.75" customHeight="1">
      <c r="A267" s="3376"/>
      <c r="B267" s="947" t="s">
        <v>5336</v>
      </c>
      <c r="C267" s="1027" t="s">
        <v>5337</v>
      </c>
      <c r="D267" s="750" t="s">
        <v>5338</v>
      </c>
      <c r="E267" s="947">
        <v>3</v>
      </c>
      <c r="F267" s="3366"/>
      <c r="G267" s="1035" t="s">
        <v>5339</v>
      </c>
      <c r="H267" s="3366"/>
      <c r="I267" s="1030" t="s">
        <v>5233</v>
      </c>
      <c r="J267" s="749" t="s">
        <v>3974</v>
      </c>
      <c r="K267" s="960" t="s">
        <v>4179</v>
      </c>
      <c r="L267" s="960"/>
      <c r="M267" s="749" t="s">
        <v>3979</v>
      </c>
      <c r="N267" s="749" t="s">
        <v>3979</v>
      </c>
      <c r="O267" s="926" t="s">
        <v>3974</v>
      </c>
      <c r="P267" s="926"/>
      <c r="Q267" s="940">
        <v>1</v>
      </c>
      <c r="R267" s="940">
        <v>0</v>
      </c>
      <c r="S267" s="941" t="s">
        <v>3974</v>
      </c>
      <c r="T267" s="749" t="s">
        <v>3979</v>
      </c>
      <c r="U267" s="749" t="s">
        <v>3979</v>
      </c>
      <c r="V267" s="749" t="s">
        <v>3975</v>
      </c>
      <c r="W267" s="749" t="s">
        <v>3975</v>
      </c>
      <c r="X267" s="1032" t="s">
        <v>3975</v>
      </c>
      <c r="Y267" s="749" t="s">
        <v>3974</v>
      </c>
      <c r="Z267" s="752" t="s">
        <v>5296</v>
      </c>
      <c r="AA267" s="752" t="s">
        <v>5340</v>
      </c>
    </row>
    <row r="268" spans="1:28" s="9" customFormat="1" ht="162.75" customHeight="1">
      <c r="A268" s="3376" t="s">
        <v>5341</v>
      </c>
      <c r="B268" s="947" t="s">
        <v>5342</v>
      </c>
      <c r="C268" s="1027" t="s">
        <v>5343</v>
      </c>
      <c r="D268" s="750" t="s">
        <v>5344</v>
      </c>
      <c r="E268" s="947">
        <v>1</v>
      </c>
      <c r="F268" s="3364" t="s">
        <v>5219</v>
      </c>
      <c r="G268" s="1416" t="s">
        <v>5345</v>
      </c>
      <c r="H268" s="3364" t="s">
        <v>5219</v>
      </c>
      <c r="I268" s="3251" t="s">
        <v>5346</v>
      </c>
      <c r="J268" s="749" t="s">
        <v>3974</v>
      </c>
      <c r="K268" s="960" t="s">
        <v>4179</v>
      </c>
      <c r="L268" s="960"/>
      <c r="M268" s="749" t="s">
        <v>3979</v>
      </c>
      <c r="N268" s="749" t="s">
        <v>3979</v>
      </c>
      <c r="O268" s="926" t="s">
        <v>3974</v>
      </c>
      <c r="P268" s="926"/>
      <c r="Q268" s="749" t="s">
        <v>3974</v>
      </c>
      <c r="R268" s="749" t="s">
        <v>3974</v>
      </c>
      <c r="S268" s="941" t="s">
        <v>3974</v>
      </c>
      <c r="T268" s="749" t="s">
        <v>3979</v>
      </c>
      <c r="U268" s="749" t="s">
        <v>3979</v>
      </c>
      <c r="V268" s="749" t="s">
        <v>3979</v>
      </c>
      <c r="W268" s="749" t="s">
        <v>3979</v>
      </c>
      <c r="X268" s="749" t="s">
        <v>3974</v>
      </c>
      <c r="Y268" s="749" t="s">
        <v>3974</v>
      </c>
      <c r="Z268" s="1024"/>
      <c r="AA268" s="752" t="s">
        <v>5313</v>
      </c>
      <c r="AB268" s="319"/>
    </row>
    <row r="269" spans="1:28" s="9" customFormat="1" ht="162.75" customHeight="1">
      <c r="A269" s="3376"/>
      <c r="B269" s="947" t="s">
        <v>5347</v>
      </c>
      <c r="C269" s="1027" t="s">
        <v>5348</v>
      </c>
      <c r="D269" s="750" t="s">
        <v>5349</v>
      </c>
      <c r="E269" s="947">
        <v>2</v>
      </c>
      <c r="F269" s="3365"/>
      <c r="G269" s="1417" t="s">
        <v>5350</v>
      </c>
      <c r="H269" s="3365"/>
      <c r="I269" s="3252" t="s">
        <v>5351</v>
      </c>
      <c r="J269" s="749" t="s">
        <v>3974</v>
      </c>
      <c r="K269" s="960" t="s">
        <v>4179</v>
      </c>
      <c r="L269" s="960"/>
      <c r="M269" s="749" t="s">
        <v>3979</v>
      </c>
      <c r="N269" s="749" t="s">
        <v>3979</v>
      </c>
      <c r="O269" s="926" t="s">
        <v>3974</v>
      </c>
      <c r="P269" s="926"/>
      <c r="Q269" s="749" t="s">
        <v>3974</v>
      </c>
      <c r="R269" s="749" t="s">
        <v>3974</v>
      </c>
      <c r="S269" s="941" t="s">
        <v>3974</v>
      </c>
      <c r="T269" s="749" t="s">
        <v>3979</v>
      </c>
      <c r="U269" s="749" t="s">
        <v>3975</v>
      </c>
      <c r="V269" s="749" t="s">
        <v>3979</v>
      </c>
      <c r="W269" s="749" t="s">
        <v>3979</v>
      </c>
      <c r="X269" s="749" t="s">
        <v>3974</v>
      </c>
      <c r="Y269" s="749" t="s">
        <v>3974</v>
      </c>
      <c r="Z269" s="1024"/>
      <c r="AA269" s="752" t="s">
        <v>5313</v>
      </c>
      <c r="AB269" s="319"/>
    </row>
    <row r="270" spans="1:28" s="9" customFormat="1" ht="41.25" customHeight="1">
      <c r="A270" s="3376"/>
      <c r="B270" s="947" t="s">
        <v>5352</v>
      </c>
      <c r="C270" s="1027" t="s">
        <v>5353</v>
      </c>
      <c r="D270" s="750" t="s">
        <v>5354</v>
      </c>
      <c r="E270" s="947">
        <v>3</v>
      </c>
      <c r="F270" s="3366"/>
      <c r="G270" s="1418" t="s">
        <v>5355</v>
      </c>
      <c r="H270" s="3366"/>
      <c r="I270" s="311" t="s">
        <v>5233</v>
      </c>
      <c r="J270" s="749" t="s">
        <v>3974</v>
      </c>
      <c r="K270" s="960" t="s">
        <v>4179</v>
      </c>
      <c r="L270" s="960"/>
      <c r="M270" s="749" t="s">
        <v>3975</v>
      </c>
      <c r="N270" s="749" t="s">
        <v>3975</v>
      </c>
      <c r="O270" s="926" t="s">
        <v>3974</v>
      </c>
      <c r="P270" s="926"/>
      <c r="Q270" s="749" t="s">
        <v>3974</v>
      </c>
      <c r="R270" s="749" t="s">
        <v>3974</v>
      </c>
      <c r="S270" s="941" t="s">
        <v>3974</v>
      </c>
      <c r="T270" s="749" t="s">
        <v>3975</v>
      </c>
      <c r="U270" s="749" t="s">
        <v>3975</v>
      </c>
      <c r="V270" s="749" t="s">
        <v>3979</v>
      </c>
      <c r="W270" s="749" t="s">
        <v>3979</v>
      </c>
      <c r="X270" s="749" t="s">
        <v>3974</v>
      </c>
      <c r="Y270" s="749" t="s">
        <v>3974</v>
      </c>
      <c r="Z270" s="1024"/>
      <c r="AA270" s="752" t="s">
        <v>5323</v>
      </c>
      <c r="AB270" s="319"/>
    </row>
    <row r="271" spans="1:28" ht="54.75" customHeight="1">
      <c r="A271" s="3376" t="s">
        <v>5356</v>
      </c>
      <c r="B271" s="947" t="s">
        <v>5357</v>
      </c>
      <c r="C271" s="1027" t="s">
        <v>5358</v>
      </c>
      <c r="D271" s="750" t="s">
        <v>5359</v>
      </c>
      <c r="E271" s="947">
        <v>1</v>
      </c>
      <c r="F271" s="3364" t="s">
        <v>4771</v>
      </c>
      <c r="G271" s="1030" t="s">
        <v>5360</v>
      </c>
      <c r="H271" s="3364" t="s">
        <v>4771</v>
      </c>
      <c r="I271" s="1030" t="s">
        <v>5361</v>
      </c>
      <c r="J271" s="749" t="s">
        <v>3974</v>
      </c>
      <c r="K271" s="960" t="s">
        <v>4179</v>
      </c>
      <c r="L271" s="960"/>
      <c r="M271" s="749" t="s">
        <v>3974</v>
      </c>
      <c r="N271" s="749" t="s">
        <v>3974</v>
      </c>
      <c r="O271" s="893" t="s">
        <v>3974</v>
      </c>
      <c r="P271" s="893"/>
      <c r="Q271" s="749" t="s">
        <v>3974</v>
      </c>
      <c r="R271" s="749" t="s">
        <v>3974</v>
      </c>
      <c r="S271" s="941" t="s">
        <v>3974</v>
      </c>
      <c r="T271" s="749" t="s">
        <v>3974</v>
      </c>
      <c r="U271" s="749" t="s">
        <v>3974</v>
      </c>
      <c r="V271" s="749" t="s">
        <v>3979</v>
      </c>
      <c r="W271" s="749" t="s">
        <v>3975</v>
      </c>
      <c r="X271" s="979" t="s">
        <v>3979</v>
      </c>
      <c r="Y271" s="749" t="s">
        <v>3980</v>
      </c>
      <c r="Z271" s="752" t="s">
        <v>4820</v>
      </c>
      <c r="AA271" s="752" t="s">
        <v>5362</v>
      </c>
    </row>
    <row r="272" spans="1:28" ht="54.75" customHeight="1">
      <c r="A272" s="3376"/>
      <c r="B272" s="947" t="s">
        <v>5363</v>
      </c>
      <c r="C272" s="1027" t="s">
        <v>5364</v>
      </c>
      <c r="D272" s="750" t="s">
        <v>5365</v>
      </c>
      <c r="E272" s="947">
        <v>2</v>
      </c>
      <c r="F272" s="3365"/>
      <c r="G272" s="1030" t="s">
        <v>5366</v>
      </c>
      <c r="H272" s="3365"/>
      <c r="I272" s="1030" t="s">
        <v>5367</v>
      </c>
      <c r="J272" s="749" t="s">
        <v>3974</v>
      </c>
      <c r="K272" s="960" t="s">
        <v>4179</v>
      </c>
      <c r="L272" s="960"/>
      <c r="M272" s="749" t="s">
        <v>3974</v>
      </c>
      <c r="N272" s="749" t="s">
        <v>3974</v>
      </c>
      <c r="O272" s="893" t="s">
        <v>3974</v>
      </c>
      <c r="P272" s="893"/>
      <c r="Q272" s="749" t="s">
        <v>3974</v>
      </c>
      <c r="R272" s="749" t="s">
        <v>3974</v>
      </c>
      <c r="S272" s="941" t="s">
        <v>3974</v>
      </c>
      <c r="T272" s="749" t="s">
        <v>3974</v>
      </c>
      <c r="U272" s="749" t="s">
        <v>3974</v>
      </c>
      <c r="V272" s="749" t="s">
        <v>3975</v>
      </c>
      <c r="W272" s="749" t="s">
        <v>3975</v>
      </c>
      <c r="X272" s="979" t="s">
        <v>3979</v>
      </c>
      <c r="Y272" s="749" t="s">
        <v>3980</v>
      </c>
      <c r="Z272" s="752" t="s">
        <v>4820</v>
      </c>
      <c r="AA272" s="752" t="s">
        <v>5362</v>
      </c>
    </row>
    <row r="273" spans="1:28" ht="27.75" customHeight="1">
      <c r="A273" s="3376"/>
      <c r="B273" s="947" t="s">
        <v>5368</v>
      </c>
      <c r="C273" s="1027" t="s">
        <v>5369</v>
      </c>
      <c r="D273" s="750" t="s">
        <v>5370</v>
      </c>
      <c r="E273" s="947">
        <v>3</v>
      </c>
      <c r="F273" s="3366"/>
      <c r="G273" s="1030" t="s">
        <v>5371</v>
      </c>
      <c r="H273" s="3366"/>
      <c r="I273" s="1030" t="s">
        <v>5233</v>
      </c>
      <c r="J273" s="749" t="s">
        <v>3974</v>
      </c>
      <c r="K273" s="960" t="s">
        <v>4179</v>
      </c>
      <c r="L273" s="960"/>
      <c r="M273" s="749" t="s">
        <v>3974</v>
      </c>
      <c r="N273" s="749" t="s">
        <v>3974</v>
      </c>
      <c r="O273" s="893" t="s">
        <v>3974</v>
      </c>
      <c r="P273" s="893"/>
      <c r="Q273" s="749" t="s">
        <v>3974</v>
      </c>
      <c r="R273" s="749" t="s">
        <v>3974</v>
      </c>
      <c r="S273" s="941" t="s">
        <v>3974</v>
      </c>
      <c r="T273" s="749" t="s">
        <v>3974</v>
      </c>
      <c r="U273" s="749" t="s">
        <v>3974</v>
      </c>
      <c r="V273" s="749" t="s">
        <v>3975</v>
      </c>
      <c r="W273" s="749" t="s">
        <v>3975</v>
      </c>
      <c r="X273" s="1032" t="s">
        <v>3979</v>
      </c>
      <c r="Y273" s="749" t="s">
        <v>3980</v>
      </c>
      <c r="Z273" s="752" t="s">
        <v>4820</v>
      </c>
      <c r="AA273" s="752" t="s">
        <v>5362</v>
      </c>
    </row>
    <row r="274" spans="1:28" ht="54.75" customHeight="1">
      <c r="A274" s="3376" t="s">
        <v>5372</v>
      </c>
      <c r="B274" s="947" t="s">
        <v>5373</v>
      </c>
      <c r="C274" s="1027" t="s">
        <v>5374</v>
      </c>
      <c r="D274" s="750" t="s">
        <v>5375</v>
      </c>
      <c r="E274" s="947">
        <v>1</v>
      </c>
      <c r="F274" s="3364" t="s">
        <v>5376</v>
      </c>
      <c r="G274" s="1030" t="s">
        <v>5377</v>
      </c>
      <c r="H274" s="3364" t="s">
        <v>5376</v>
      </c>
      <c r="I274" s="1030" t="s">
        <v>5361</v>
      </c>
      <c r="J274" s="749" t="s">
        <v>3974</v>
      </c>
      <c r="K274" s="960" t="s">
        <v>4179</v>
      </c>
      <c r="L274" s="960"/>
      <c r="M274" s="749" t="s">
        <v>3979</v>
      </c>
      <c r="N274" s="749" t="s">
        <v>3979</v>
      </c>
      <c r="O274" s="926" t="s">
        <v>3974</v>
      </c>
      <c r="P274" s="926"/>
      <c r="Q274" s="940">
        <v>1</v>
      </c>
      <c r="R274" s="940">
        <v>1</v>
      </c>
      <c r="S274" s="941" t="s">
        <v>3974</v>
      </c>
      <c r="T274" s="749" t="s">
        <v>3979</v>
      </c>
      <c r="U274" s="749" t="s">
        <v>3979</v>
      </c>
      <c r="V274" s="749" t="s">
        <v>3974</v>
      </c>
      <c r="W274" s="749" t="s">
        <v>3974</v>
      </c>
      <c r="X274" s="1034" t="s">
        <v>3975</v>
      </c>
      <c r="Y274" s="749" t="s">
        <v>3980</v>
      </c>
      <c r="Z274" s="752" t="s">
        <v>5378</v>
      </c>
      <c r="AA274" s="752" t="s">
        <v>5330</v>
      </c>
    </row>
    <row r="275" spans="1:28" ht="54.75" customHeight="1">
      <c r="A275" s="3376"/>
      <c r="B275" s="947" t="s">
        <v>5379</v>
      </c>
      <c r="C275" s="1027" t="s">
        <v>5380</v>
      </c>
      <c r="D275" s="750" t="s">
        <v>5381</v>
      </c>
      <c r="E275" s="947">
        <v>2</v>
      </c>
      <c r="F275" s="3365"/>
      <c r="G275" s="1030" t="s">
        <v>5382</v>
      </c>
      <c r="H275" s="3365"/>
      <c r="I275" s="1030" t="s">
        <v>5367</v>
      </c>
      <c r="J275" s="749" t="s">
        <v>3974</v>
      </c>
      <c r="K275" s="960" t="s">
        <v>4179</v>
      </c>
      <c r="L275" s="960"/>
      <c r="M275" s="749" t="s">
        <v>3979</v>
      </c>
      <c r="N275" s="749" t="s">
        <v>3979</v>
      </c>
      <c r="O275" s="926" t="s">
        <v>3974</v>
      </c>
      <c r="P275" s="926"/>
      <c r="Q275" s="940">
        <v>1</v>
      </c>
      <c r="R275" s="940">
        <v>1</v>
      </c>
      <c r="S275" s="941" t="s">
        <v>3974</v>
      </c>
      <c r="T275" s="749" t="s">
        <v>3979</v>
      </c>
      <c r="U275" s="749" t="s">
        <v>3979</v>
      </c>
      <c r="V275" s="749" t="s">
        <v>3974</v>
      </c>
      <c r="W275" s="749" t="s">
        <v>3974</v>
      </c>
      <c r="X275" s="1034" t="s">
        <v>3975</v>
      </c>
      <c r="Y275" s="749" t="s">
        <v>3980</v>
      </c>
      <c r="Z275" s="752" t="s">
        <v>5378</v>
      </c>
      <c r="AA275" s="752" t="s">
        <v>5330</v>
      </c>
    </row>
    <row r="276" spans="1:28" ht="15.75" customHeight="1">
      <c r="A276" s="3376"/>
      <c r="B276" s="947" t="s">
        <v>5383</v>
      </c>
      <c r="C276" s="1027" t="s">
        <v>5384</v>
      </c>
      <c r="D276" s="750" t="s">
        <v>5385</v>
      </c>
      <c r="E276" s="947">
        <v>3</v>
      </c>
      <c r="F276" s="3366"/>
      <c r="G276" s="1030" t="s">
        <v>5386</v>
      </c>
      <c r="H276" s="3366"/>
      <c r="I276" s="1030" t="s">
        <v>5233</v>
      </c>
      <c r="J276" s="749" t="s">
        <v>3974</v>
      </c>
      <c r="K276" s="960" t="s">
        <v>4179</v>
      </c>
      <c r="L276" s="960"/>
      <c r="M276" s="749" t="s">
        <v>3975</v>
      </c>
      <c r="N276" s="749" t="s">
        <v>3975</v>
      </c>
      <c r="O276" s="926" t="s">
        <v>3976</v>
      </c>
      <c r="P276" s="926"/>
      <c r="Q276" s="940">
        <v>0</v>
      </c>
      <c r="R276" s="940">
        <v>0</v>
      </c>
      <c r="S276" s="941" t="s">
        <v>3974</v>
      </c>
      <c r="T276" s="749" t="s">
        <v>3975</v>
      </c>
      <c r="U276" s="749" t="s">
        <v>3975</v>
      </c>
      <c r="V276" s="749" t="s">
        <v>3974</v>
      </c>
      <c r="W276" s="749" t="s">
        <v>3974</v>
      </c>
      <c r="X276" s="1032" t="s">
        <v>3979</v>
      </c>
      <c r="Y276" s="749" t="s">
        <v>3980</v>
      </c>
      <c r="Z276" s="752" t="s">
        <v>5378</v>
      </c>
      <c r="AA276" s="752" t="s">
        <v>5387</v>
      </c>
    </row>
    <row r="277" spans="1:28" ht="41.25" customHeight="1">
      <c r="A277" s="3376" t="s">
        <v>5388</v>
      </c>
      <c r="B277" s="947" t="s">
        <v>5389</v>
      </c>
      <c r="C277" s="1027" t="s">
        <v>5390</v>
      </c>
      <c r="D277" s="750" t="s">
        <v>5391</v>
      </c>
      <c r="E277" s="947">
        <v>1</v>
      </c>
      <c r="F277" s="3364" t="s">
        <v>5376</v>
      </c>
      <c r="G277" s="1030" t="s">
        <v>5392</v>
      </c>
      <c r="H277" s="3364" t="s">
        <v>5376</v>
      </c>
      <c r="I277" s="1030" t="s">
        <v>5393</v>
      </c>
      <c r="J277" s="749" t="s">
        <v>3974</v>
      </c>
      <c r="K277" s="960" t="s">
        <v>4179</v>
      </c>
      <c r="L277" s="960"/>
      <c r="M277" s="749" t="s">
        <v>3979</v>
      </c>
      <c r="N277" s="749" t="s">
        <v>3979</v>
      </c>
      <c r="O277" s="926" t="s">
        <v>3974</v>
      </c>
      <c r="P277" s="926"/>
      <c r="Q277" s="940">
        <v>1</v>
      </c>
      <c r="R277" s="940">
        <v>1</v>
      </c>
      <c r="S277" s="941" t="s">
        <v>3974</v>
      </c>
      <c r="T277" s="749" t="s">
        <v>3979</v>
      </c>
      <c r="U277" s="749" t="s">
        <v>3979</v>
      </c>
      <c r="V277" s="749" t="s">
        <v>3974</v>
      </c>
      <c r="W277" s="749" t="s">
        <v>3974</v>
      </c>
      <c r="X277" s="1034" t="s">
        <v>3975</v>
      </c>
      <c r="Y277" s="749" t="s">
        <v>3980</v>
      </c>
      <c r="Z277" s="752" t="s">
        <v>5378</v>
      </c>
      <c r="AA277" s="752" t="s">
        <v>5330</v>
      </c>
    </row>
    <row r="278" spans="1:28" ht="41.25" customHeight="1">
      <c r="A278" s="3376"/>
      <c r="B278" s="947" t="s">
        <v>5394</v>
      </c>
      <c r="C278" s="1027" t="s">
        <v>5395</v>
      </c>
      <c r="D278" s="750" t="s">
        <v>5396</v>
      </c>
      <c r="E278" s="947">
        <v>2</v>
      </c>
      <c r="F278" s="3365"/>
      <c r="G278" s="1030" t="s">
        <v>5397</v>
      </c>
      <c r="H278" s="3365"/>
      <c r="I278" s="1030" t="s">
        <v>5398</v>
      </c>
      <c r="J278" s="749" t="s">
        <v>3974</v>
      </c>
      <c r="K278" s="960" t="s">
        <v>4179</v>
      </c>
      <c r="L278" s="960"/>
      <c r="M278" s="749" t="s">
        <v>3979</v>
      </c>
      <c r="N278" s="749" t="s">
        <v>3979</v>
      </c>
      <c r="O278" s="926" t="s">
        <v>3974</v>
      </c>
      <c r="P278" s="926"/>
      <c r="Q278" s="940">
        <v>1</v>
      </c>
      <c r="R278" s="940">
        <v>1</v>
      </c>
      <c r="S278" s="941" t="s">
        <v>3974</v>
      </c>
      <c r="T278" s="749" t="s">
        <v>3979</v>
      </c>
      <c r="U278" s="749" t="s">
        <v>3979</v>
      </c>
      <c r="V278" s="749" t="s">
        <v>3974</v>
      </c>
      <c r="W278" s="749" t="s">
        <v>3974</v>
      </c>
      <c r="X278" s="1034" t="s">
        <v>3975</v>
      </c>
      <c r="Y278" s="749" t="s">
        <v>3980</v>
      </c>
      <c r="Z278" s="752" t="s">
        <v>5378</v>
      </c>
      <c r="AA278" s="752" t="s">
        <v>5330</v>
      </c>
    </row>
    <row r="279" spans="1:28" ht="15.75" customHeight="1">
      <c r="A279" s="3376"/>
      <c r="B279" s="947" t="s">
        <v>5399</v>
      </c>
      <c r="C279" s="1027" t="s">
        <v>5400</v>
      </c>
      <c r="D279" s="750" t="s">
        <v>5401</v>
      </c>
      <c r="E279" s="947">
        <v>3</v>
      </c>
      <c r="F279" s="3366"/>
      <c r="G279" s="1030" t="s">
        <v>5402</v>
      </c>
      <c r="H279" s="3366"/>
      <c r="I279" s="1030" t="s">
        <v>5233</v>
      </c>
      <c r="J279" s="749" t="s">
        <v>3974</v>
      </c>
      <c r="K279" s="960" t="s">
        <v>4179</v>
      </c>
      <c r="L279" s="960"/>
      <c r="M279" s="749" t="s">
        <v>3975</v>
      </c>
      <c r="N279" s="749" t="s">
        <v>3975</v>
      </c>
      <c r="O279" s="926" t="s">
        <v>3976</v>
      </c>
      <c r="P279" s="926"/>
      <c r="Q279" s="940">
        <v>0</v>
      </c>
      <c r="R279" s="940">
        <v>0</v>
      </c>
      <c r="S279" s="941" t="s">
        <v>3974</v>
      </c>
      <c r="T279" s="749" t="s">
        <v>3975</v>
      </c>
      <c r="U279" s="749" t="s">
        <v>3975</v>
      </c>
      <c r="V279" s="749" t="s">
        <v>3974</v>
      </c>
      <c r="W279" s="749" t="s">
        <v>3974</v>
      </c>
      <c r="X279" s="1032" t="s">
        <v>3979</v>
      </c>
      <c r="Y279" s="749" t="s">
        <v>3980</v>
      </c>
      <c r="Z279" s="752" t="s">
        <v>5378</v>
      </c>
      <c r="AA279" s="752" t="s">
        <v>5387</v>
      </c>
    </row>
    <row r="280" spans="1:28" ht="27.75" customHeight="1">
      <c r="A280" s="3376" t="s">
        <v>5403</v>
      </c>
      <c r="B280" s="947" t="s">
        <v>5404</v>
      </c>
      <c r="C280" s="1027" t="s">
        <v>5405</v>
      </c>
      <c r="D280" s="750" t="s">
        <v>5406</v>
      </c>
      <c r="E280" s="947">
        <v>1</v>
      </c>
      <c r="F280" s="3364" t="s">
        <v>5219</v>
      </c>
      <c r="G280" s="1030" t="s">
        <v>5407</v>
      </c>
      <c r="H280" s="3364" t="s">
        <v>5219</v>
      </c>
      <c r="I280" s="1030" t="s">
        <v>5408</v>
      </c>
      <c r="J280" s="749" t="s">
        <v>3974</v>
      </c>
      <c r="K280" s="960" t="s">
        <v>4179</v>
      </c>
      <c r="L280" s="960"/>
      <c r="M280" s="749" t="s">
        <v>3979</v>
      </c>
      <c r="N280" s="749" t="s">
        <v>3979</v>
      </c>
      <c r="O280" s="926" t="s">
        <v>3974</v>
      </c>
      <c r="P280" s="926"/>
      <c r="Q280" s="940">
        <v>1</v>
      </c>
      <c r="R280" s="940">
        <v>1</v>
      </c>
      <c r="S280" s="941" t="s">
        <v>3974</v>
      </c>
      <c r="T280" s="749" t="s">
        <v>3979</v>
      </c>
      <c r="U280" s="749" t="s">
        <v>3979</v>
      </c>
      <c r="V280" s="749" t="s">
        <v>3979</v>
      </c>
      <c r="W280" s="749" t="s">
        <v>3979</v>
      </c>
      <c r="X280" s="1034" t="s">
        <v>3975</v>
      </c>
      <c r="Y280" s="749" t="s">
        <v>3980</v>
      </c>
      <c r="Z280" s="752" t="s">
        <v>5409</v>
      </c>
      <c r="AA280" s="752" t="s">
        <v>5330</v>
      </c>
    </row>
    <row r="281" spans="1:28" ht="27.75" customHeight="1">
      <c r="A281" s="3376"/>
      <c r="B281" s="947" t="s">
        <v>5410</v>
      </c>
      <c r="C281" s="1027" t="s">
        <v>5411</v>
      </c>
      <c r="D281" s="750" t="s">
        <v>5412</v>
      </c>
      <c r="E281" s="947">
        <v>2</v>
      </c>
      <c r="F281" s="3365"/>
      <c r="G281" s="1030" t="s">
        <v>5413</v>
      </c>
      <c r="H281" s="3365"/>
      <c r="I281" s="1030" t="s">
        <v>5414</v>
      </c>
      <c r="J281" s="749" t="s">
        <v>3974</v>
      </c>
      <c r="K281" s="960" t="s">
        <v>4179</v>
      </c>
      <c r="L281" s="960"/>
      <c r="M281" s="749" t="s">
        <v>3979</v>
      </c>
      <c r="N281" s="749" t="s">
        <v>3979</v>
      </c>
      <c r="O281" s="926" t="s">
        <v>3974</v>
      </c>
      <c r="P281" s="926"/>
      <c r="Q281" s="940">
        <v>1</v>
      </c>
      <c r="R281" s="940">
        <v>1</v>
      </c>
      <c r="S281" s="941" t="s">
        <v>3974</v>
      </c>
      <c r="T281" s="749" t="s">
        <v>3979</v>
      </c>
      <c r="U281" s="749" t="s">
        <v>3979</v>
      </c>
      <c r="V281" s="749" t="s">
        <v>3975</v>
      </c>
      <c r="W281" s="749" t="s">
        <v>3975</v>
      </c>
      <c r="X281" s="1034" t="s">
        <v>3975</v>
      </c>
      <c r="Y281" s="749" t="s">
        <v>3980</v>
      </c>
      <c r="Z281" s="752" t="s">
        <v>5409</v>
      </c>
      <c r="AA281" s="752" t="s">
        <v>5330</v>
      </c>
    </row>
    <row r="282" spans="1:28" ht="41.25" customHeight="1">
      <c r="A282" s="3376"/>
      <c r="B282" s="947" t="s">
        <v>5415</v>
      </c>
      <c r="C282" s="1027" t="s">
        <v>5416</v>
      </c>
      <c r="D282" s="750" t="s">
        <v>5417</v>
      </c>
      <c r="E282" s="947">
        <v>3</v>
      </c>
      <c r="F282" s="3366"/>
      <c r="G282" s="1030" t="s">
        <v>5418</v>
      </c>
      <c r="H282" s="3366"/>
      <c r="I282" s="1030" t="s">
        <v>5233</v>
      </c>
      <c r="J282" s="749" t="s">
        <v>3974</v>
      </c>
      <c r="K282" s="960" t="s">
        <v>4179</v>
      </c>
      <c r="L282" s="960"/>
      <c r="M282" s="749" t="s">
        <v>3975</v>
      </c>
      <c r="N282" s="749" t="s">
        <v>3975</v>
      </c>
      <c r="O282" s="926" t="s">
        <v>3976</v>
      </c>
      <c r="P282" s="926"/>
      <c r="Q282" s="940">
        <v>0</v>
      </c>
      <c r="R282" s="940">
        <v>0</v>
      </c>
      <c r="S282" s="941" t="s">
        <v>3974</v>
      </c>
      <c r="T282" s="749" t="s">
        <v>3975</v>
      </c>
      <c r="U282" s="749" t="s">
        <v>3975</v>
      </c>
      <c r="V282" s="749" t="s">
        <v>3975</v>
      </c>
      <c r="W282" s="749" t="s">
        <v>3975</v>
      </c>
      <c r="X282" s="1032" t="s">
        <v>3979</v>
      </c>
      <c r="Y282" s="749" t="s">
        <v>3980</v>
      </c>
      <c r="Z282" s="752" t="s">
        <v>5409</v>
      </c>
      <c r="AA282" s="752" t="s">
        <v>5419</v>
      </c>
    </row>
    <row r="283" spans="1:28" ht="27" customHeight="1">
      <c r="A283" s="3376" t="s">
        <v>5420</v>
      </c>
      <c r="B283" s="947" t="s">
        <v>5421</v>
      </c>
      <c r="C283" s="1027" t="s">
        <v>5422</v>
      </c>
      <c r="D283" s="750" t="s">
        <v>5423</v>
      </c>
      <c r="E283" s="947">
        <v>1</v>
      </c>
      <c r="F283" s="3364" t="s">
        <v>4771</v>
      </c>
      <c r="G283" s="1030" t="s">
        <v>5424</v>
      </c>
      <c r="H283" s="3364" t="s">
        <v>4771</v>
      </c>
      <c r="I283" s="1030" t="s">
        <v>5425</v>
      </c>
      <c r="J283" s="749" t="s">
        <v>3974</v>
      </c>
      <c r="K283" s="960" t="s">
        <v>4179</v>
      </c>
      <c r="L283" s="960"/>
      <c r="M283" s="749" t="s">
        <v>3974</v>
      </c>
      <c r="N283" s="749" t="s">
        <v>3974</v>
      </c>
      <c r="O283" s="893" t="s">
        <v>3974</v>
      </c>
      <c r="P283" s="893"/>
      <c r="Q283" s="749" t="s">
        <v>3974</v>
      </c>
      <c r="R283" s="749" t="s">
        <v>3974</v>
      </c>
      <c r="S283" s="941" t="s">
        <v>3974</v>
      </c>
      <c r="T283" s="749" t="s">
        <v>3974</v>
      </c>
      <c r="U283" s="749" t="s">
        <v>3974</v>
      </c>
      <c r="V283" s="1038">
        <v>0.5</v>
      </c>
      <c r="W283" s="1039" t="s">
        <v>3979</v>
      </c>
      <c r="X283" s="749" t="s">
        <v>3974</v>
      </c>
      <c r="Y283" s="749" t="s">
        <v>3980</v>
      </c>
      <c r="Z283" s="752" t="s">
        <v>5426</v>
      </c>
      <c r="AA283" s="752" t="s">
        <v>5330</v>
      </c>
    </row>
    <row r="284" spans="1:28" ht="27.6" customHeight="1">
      <c r="A284" s="3376"/>
      <c r="B284" s="947" t="s">
        <v>5427</v>
      </c>
      <c r="C284" s="1027" t="s">
        <v>5428</v>
      </c>
      <c r="D284" s="750" t="s">
        <v>5429</v>
      </c>
      <c r="E284" s="947">
        <v>2</v>
      </c>
      <c r="F284" s="3365"/>
      <c r="G284" s="1030" t="s">
        <v>5430</v>
      </c>
      <c r="H284" s="3365"/>
      <c r="I284" s="1030" t="s">
        <v>5431</v>
      </c>
      <c r="J284" s="749" t="s">
        <v>3974</v>
      </c>
      <c r="K284" s="960" t="s">
        <v>4179</v>
      </c>
      <c r="L284" s="960"/>
      <c r="M284" s="749" t="s">
        <v>3974</v>
      </c>
      <c r="N284" s="749" t="s">
        <v>3974</v>
      </c>
      <c r="O284" s="893" t="s">
        <v>3974</v>
      </c>
      <c r="P284" s="893"/>
      <c r="Q284" s="749" t="s">
        <v>3974</v>
      </c>
      <c r="R284" s="749" t="s">
        <v>3974</v>
      </c>
      <c r="S284" s="941" t="s">
        <v>3974</v>
      </c>
      <c r="T284" s="749" t="s">
        <v>3974</v>
      </c>
      <c r="U284" s="749" t="s">
        <v>3974</v>
      </c>
      <c r="V284" s="1038">
        <v>0.5</v>
      </c>
      <c r="W284" s="1039" t="s">
        <v>3979</v>
      </c>
      <c r="X284" s="749" t="s">
        <v>3974</v>
      </c>
      <c r="Y284" s="749" t="s">
        <v>3980</v>
      </c>
      <c r="Z284" s="752" t="s">
        <v>5426</v>
      </c>
      <c r="AA284" s="752" t="s">
        <v>5330</v>
      </c>
    </row>
    <row r="285" spans="1:28" ht="45.75" customHeight="1">
      <c r="A285" s="3376"/>
      <c r="B285" s="947" t="s">
        <v>5432</v>
      </c>
      <c r="C285" s="1027" t="s">
        <v>5433</v>
      </c>
      <c r="D285" s="750" t="s">
        <v>5434</v>
      </c>
      <c r="E285" s="947">
        <v>3</v>
      </c>
      <c r="F285" s="3366"/>
      <c r="G285" s="1030" t="s">
        <v>5435</v>
      </c>
      <c r="H285" s="3366"/>
      <c r="I285" s="1030" t="s">
        <v>5233</v>
      </c>
      <c r="J285" s="749" t="s">
        <v>3974</v>
      </c>
      <c r="K285" s="960" t="s">
        <v>4179</v>
      </c>
      <c r="L285" s="960"/>
      <c r="M285" s="749" t="s">
        <v>3974</v>
      </c>
      <c r="N285" s="749" t="s">
        <v>3974</v>
      </c>
      <c r="O285" s="893" t="s">
        <v>3974</v>
      </c>
      <c r="P285" s="893"/>
      <c r="Q285" s="749" t="s">
        <v>3974</v>
      </c>
      <c r="R285" s="749" t="s">
        <v>3974</v>
      </c>
      <c r="S285" s="941" t="s">
        <v>3974</v>
      </c>
      <c r="T285" s="749" t="s">
        <v>3974</v>
      </c>
      <c r="U285" s="749" t="s">
        <v>3974</v>
      </c>
      <c r="V285" s="749" t="s">
        <v>3975</v>
      </c>
      <c r="W285" s="749" t="s">
        <v>3975</v>
      </c>
      <c r="X285" s="749" t="s">
        <v>3974</v>
      </c>
      <c r="Y285" s="749" t="s">
        <v>3980</v>
      </c>
      <c r="Z285" s="752" t="s">
        <v>5426</v>
      </c>
      <c r="AA285" s="752" t="s">
        <v>5436</v>
      </c>
    </row>
    <row r="286" spans="1:28" ht="27.75" customHeight="1">
      <c r="A286" s="3376" t="s">
        <v>5437</v>
      </c>
      <c r="B286" s="947" t="s">
        <v>5438</v>
      </c>
      <c r="C286" s="1027" t="s">
        <v>5439</v>
      </c>
      <c r="D286" s="750" t="s">
        <v>5440</v>
      </c>
      <c r="E286" s="947">
        <v>1</v>
      </c>
      <c r="F286" s="3364" t="s">
        <v>5441</v>
      </c>
      <c r="G286" s="1030" t="s">
        <v>5442</v>
      </c>
      <c r="H286" s="3364" t="s">
        <v>5219</v>
      </c>
      <c r="I286" s="1030" t="s">
        <v>5233</v>
      </c>
      <c r="J286" s="749" t="s">
        <v>3974</v>
      </c>
      <c r="K286" s="960" t="s">
        <v>4179</v>
      </c>
      <c r="L286" s="960"/>
      <c r="M286" s="888" t="s">
        <v>3979</v>
      </c>
      <c r="N286" s="888" t="s">
        <v>3979</v>
      </c>
      <c r="O286" s="1040" t="s">
        <v>5443</v>
      </c>
      <c r="P286" s="1040"/>
      <c r="Q286" s="940">
        <v>0</v>
      </c>
      <c r="R286" s="940">
        <v>0</v>
      </c>
      <c r="S286" s="941" t="s">
        <v>3974</v>
      </c>
      <c r="T286" s="749" t="s">
        <v>3975</v>
      </c>
      <c r="U286" s="1039" t="s">
        <v>3975</v>
      </c>
      <c r="V286" s="749" t="s">
        <v>3975</v>
      </c>
      <c r="W286" s="749" t="s">
        <v>3975</v>
      </c>
      <c r="X286" s="1034" t="s">
        <v>3975</v>
      </c>
      <c r="Y286" s="749" t="s">
        <v>3980</v>
      </c>
      <c r="Z286" s="752" t="s">
        <v>5444</v>
      </c>
      <c r="AA286" s="752" t="s">
        <v>5445</v>
      </c>
    </row>
    <row r="287" spans="1:28" s="9" customFormat="1" ht="12.75" customHeight="1">
      <c r="A287" s="3376"/>
      <c r="B287" s="947"/>
      <c r="C287" s="1113" t="s">
        <v>5446</v>
      </c>
      <c r="D287" s="1116" t="s">
        <v>5447</v>
      </c>
      <c r="E287" s="947"/>
      <c r="F287" s="3365"/>
      <c r="G287" s="1115" t="s">
        <v>5448</v>
      </c>
      <c r="H287" s="3365"/>
      <c r="I287" s="38"/>
      <c r="J287" s="1023" t="s">
        <v>3974</v>
      </c>
      <c r="K287" s="967" t="s">
        <v>4179</v>
      </c>
      <c r="L287" s="967"/>
      <c r="M287" s="950"/>
      <c r="N287" s="950"/>
      <c r="O287" s="1041"/>
      <c r="P287" s="1041"/>
      <c r="Q287" s="1023"/>
      <c r="R287" s="1023"/>
      <c r="S287" s="1021"/>
      <c r="T287" s="1023"/>
      <c r="U287" s="1042"/>
      <c r="V287" s="1023"/>
      <c r="W287" s="1023"/>
      <c r="Y287" s="1023"/>
      <c r="Z287" s="1024"/>
      <c r="AA287" s="1024"/>
      <c r="AB287" s="319"/>
    </row>
    <row r="288" spans="1:28" ht="27.75" customHeight="1">
      <c r="A288" s="3376"/>
      <c r="B288" s="947" t="s">
        <v>5449</v>
      </c>
      <c r="C288" s="1027" t="s">
        <v>5450</v>
      </c>
      <c r="D288" s="750" t="s">
        <v>5451</v>
      </c>
      <c r="E288" s="947">
        <v>1</v>
      </c>
      <c r="F288" s="3366"/>
      <c r="G288" s="1030" t="s">
        <v>5452</v>
      </c>
      <c r="H288" s="3366"/>
      <c r="I288" s="1030" t="s">
        <v>5233</v>
      </c>
      <c r="J288" s="749" t="s">
        <v>3974</v>
      </c>
      <c r="K288" s="960" t="s">
        <v>4179</v>
      </c>
      <c r="L288" s="960"/>
      <c r="M288" s="888" t="s">
        <v>3979</v>
      </c>
      <c r="N288" s="888" t="s">
        <v>3979</v>
      </c>
      <c r="O288" s="926" t="s">
        <v>3976</v>
      </c>
      <c r="P288" s="926"/>
      <c r="Q288" s="940">
        <v>0</v>
      </c>
      <c r="R288" s="940">
        <v>0</v>
      </c>
      <c r="S288" s="941" t="s">
        <v>3974</v>
      </c>
      <c r="T288" s="749" t="s">
        <v>3975</v>
      </c>
      <c r="U288" s="1039" t="s">
        <v>3975</v>
      </c>
      <c r="V288" s="749" t="s">
        <v>3975</v>
      </c>
      <c r="W288" s="749" t="s">
        <v>3975</v>
      </c>
      <c r="X288" s="1034" t="s">
        <v>3975</v>
      </c>
      <c r="Y288" s="749" t="s">
        <v>3980</v>
      </c>
      <c r="Z288" s="752" t="s">
        <v>5453</v>
      </c>
      <c r="AA288" s="752" t="s">
        <v>5445</v>
      </c>
    </row>
    <row r="289" spans="1:28" s="5" customFormat="1" ht="15.75" customHeight="1">
      <c r="A289" s="3376" t="s">
        <v>5454</v>
      </c>
      <c r="B289" s="947" t="s">
        <v>5455</v>
      </c>
      <c r="C289" s="1027" t="s">
        <v>5456</v>
      </c>
      <c r="D289" s="946" t="s">
        <v>5457</v>
      </c>
      <c r="E289" s="947">
        <v>0</v>
      </c>
      <c r="F289" s="3364" t="s">
        <v>5219</v>
      </c>
      <c r="G289" s="1028" t="s">
        <v>5458</v>
      </c>
      <c r="H289" s="3364" t="s">
        <v>5459</v>
      </c>
      <c r="I289" s="928"/>
      <c r="J289" s="888"/>
      <c r="K289" s="888"/>
      <c r="L289" s="888"/>
      <c r="M289" s="888"/>
      <c r="N289" s="888"/>
      <c r="O289" s="926" t="s">
        <v>3974</v>
      </c>
      <c r="P289" s="926"/>
      <c r="Q289" s="888"/>
      <c r="R289" s="888"/>
      <c r="S289" s="930"/>
      <c r="T289" s="888"/>
      <c r="U289" s="888"/>
      <c r="V289" s="888"/>
      <c r="W289" s="888"/>
      <c r="X289" s="979"/>
      <c r="Y289" s="888"/>
      <c r="Z289" s="948"/>
      <c r="AA289" s="948" t="s">
        <v>5277</v>
      </c>
      <c r="AB289" s="316"/>
    </row>
    <row r="290" spans="1:28" s="5" customFormat="1" ht="15.75" customHeight="1">
      <c r="A290" s="3376"/>
      <c r="B290" s="947" t="s">
        <v>5460</v>
      </c>
      <c r="C290" s="1027" t="s">
        <v>5461</v>
      </c>
      <c r="D290" s="946" t="s">
        <v>5462</v>
      </c>
      <c r="E290" s="947">
        <v>1</v>
      </c>
      <c r="F290" s="3365"/>
      <c r="G290" s="1028" t="s">
        <v>5463</v>
      </c>
      <c r="H290" s="3365"/>
      <c r="I290" s="928"/>
      <c r="J290" s="888"/>
      <c r="K290" s="888"/>
      <c r="L290" s="888"/>
      <c r="M290" s="888"/>
      <c r="N290" s="888"/>
      <c r="O290" s="926" t="s">
        <v>3974</v>
      </c>
      <c r="P290" s="926"/>
      <c r="Q290" s="888"/>
      <c r="R290" s="888"/>
      <c r="S290" s="930"/>
      <c r="T290" s="888"/>
      <c r="U290" s="888"/>
      <c r="V290" s="888"/>
      <c r="W290" s="888"/>
      <c r="X290" s="979"/>
      <c r="Y290" s="888"/>
      <c r="Z290" s="948" t="s">
        <v>5464</v>
      </c>
      <c r="AA290" s="948" t="s">
        <v>5463</v>
      </c>
      <c r="AB290" s="316"/>
    </row>
    <row r="291" spans="1:28" s="5" customFormat="1" ht="35.25" customHeight="1">
      <c r="A291" s="3376"/>
      <c r="B291" s="947" t="s">
        <v>5465</v>
      </c>
      <c r="C291" s="1027" t="s">
        <v>5466</v>
      </c>
      <c r="D291" s="946" t="s">
        <v>5467</v>
      </c>
      <c r="E291" s="947">
        <v>3</v>
      </c>
      <c r="F291" s="3366"/>
      <c r="G291" s="1028" t="s">
        <v>5468</v>
      </c>
      <c r="H291" s="3366"/>
      <c r="I291" s="928"/>
      <c r="J291" s="888"/>
      <c r="K291" s="888"/>
      <c r="L291" s="888"/>
      <c r="M291" s="888"/>
      <c r="N291" s="888"/>
      <c r="O291" s="926" t="s">
        <v>3976</v>
      </c>
      <c r="P291" s="926"/>
      <c r="Q291" s="1039" t="s">
        <v>3975</v>
      </c>
      <c r="R291" s="1039" t="s">
        <v>3975</v>
      </c>
      <c r="S291" s="1014" t="s">
        <v>3975</v>
      </c>
      <c r="T291" s="1039" t="s">
        <v>3975</v>
      </c>
      <c r="U291" s="1039" t="s">
        <v>3975</v>
      </c>
      <c r="V291" s="1039" t="s">
        <v>3975</v>
      </c>
      <c r="W291" s="1039" t="s">
        <v>3975</v>
      </c>
      <c r="X291" s="979"/>
      <c r="Y291" s="888"/>
      <c r="Z291" s="948" t="s">
        <v>5469</v>
      </c>
      <c r="AA291" s="948" t="s">
        <v>5470</v>
      </c>
      <c r="AB291" s="316"/>
    </row>
    <row r="292" spans="1:28" s="5" customFormat="1" ht="14.25" customHeight="1">
      <c r="A292" s="3376" t="s">
        <v>5471</v>
      </c>
      <c r="B292" s="947" t="s">
        <v>5472</v>
      </c>
      <c r="C292" s="1027" t="s">
        <v>5473</v>
      </c>
      <c r="D292" s="946" t="s">
        <v>5474</v>
      </c>
      <c r="E292" s="947">
        <v>1</v>
      </c>
      <c r="F292" s="3364" t="s">
        <v>5376</v>
      </c>
      <c r="G292" s="1028" t="s">
        <v>5475</v>
      </c>
      <c r="H292" s="3364" t="s">
        <v>5219</v>
      </c>
      <c r="I292" s="1043" t="s">
        <v>5476</v>
      </c>
      <c r="J292" s="888" t="s">
        <v>3974</v>
      </c>
      <c r="K292" s="976" t="s">
        <v>4179</v>
      </c>
      <c r="L292" s="976"/>
      <c r="M292" s="888" t="s">
        <v>3979</v>
      </c>
      <c r="N292" s="888" t="s">
        <v>3974</v>
      </c>
      <c r="O292" s="888" t="s">
        <v>3974</v>
      </c>
      <c r="P292" s="888"/>
      <c r="Q292" s="932" t="s">
        <v>5259</v>
      </c>
      <c r="R292" s="932" t="s">
        <v>5259</v>
      </c>
      <c r="S292" s="930" t="s">
        <v>3974</v>
      </c>
      <c r="T292" s="888" t="s">
        <v>3979</v>
      </c>
      <c r="U292" s="888" t="s">
        <v>3979</v>
      </c>
      <c r="V292" s="888" t="s">
        <v>3974</v>
      </c>
      <c r="W292" s="888" t="s">
        <v>3974</v>
      </c>
      <c r="X292" s="979" t="s">
        <v>3975</v>
      </c>
      <c r="Y292" s="888" t="s">
        <v>3980</v>
      </c>
      <c r="Z292" s="948" t="s">
        <v>5477</v>
      </c>
      <c r="AA292" s="948" t="s">
        <v>5330</v>
      </c>
      <c r="AB292" s="316"/>
    </row>
    <row r="293" spans="1:28" ht="14.25" customHeight="1">
      <c r="A293" s="3376"/>
      <c r="B293" s="947" t="s">
        <v>5478</v>
      </c>
      <c r="C293" s="1027" t="s">
        <v>5479</v>
      </c>
      <c r="D293" s="750" t="s">
        <v>5480</v>
      </c>
      <c r="E293" s="947">
        <v>2</v>
      </c>
      <c r="F293" s="3365"/>
      <c r="G293" s="1030" t="s">
        <v>5481</v>
      </c>
      <c r="H293" s="3365"/>
      <c r="I293" s="1044" t="s">
        <v>5482</v>
      </c>
      <c r="J293" s="749" t="s">
        <v>3974</v>
      </c>
      <c r="K293" s="960" t="s">
        <v>4179</v>
      </c>
      <c r="L293" s="960"/>
      <c r="M293" s="749" t="s">
        <v>3979</v>
      </c>
      <c r="N293" s="749" t="s">
        <v>3974</v>
      </c>
      <c r="O293" s="893" t="s">
        <v>3974</v>
      </c>
      <c r="P293" s="893"/>
      <c r="Q293" s="1038" t="s">
        <v>5259</v>
      </c>
      <c r="R293" s="1038" t="s">
        <v>5259</v>
      </c>
      <c r="S293" s="941" t="s">
        <v>3974</v>
      </c>
      <c r="T293" s="749" t="s">
        <v>3979</v>
      </c>
      <c r="U293" s="749" t="s">
        <v>3979</v>
      </c>
      <c r="V293" s="749" t="s">
        <v>3974</v>
      </c>
      <c r="W293" s="749" t="s">
        <v>3974</v>
      </c>
      <c r="X293" s="1034" t="s">
        <v>3975</v>
      </c>
      <c r="Y293" s="749" t="s">
        <v>3980</v>
      </c>
      <c r="Z293" s="752" t="s">
        <v>5477</v>
      </c>
      <c r="AA293" s="948" t="s">
        <v>5330</v>
      </c>
    </row>
    <row r="294" spans="1:28" ht="14.25" customHeight="1">
      <c r="A294" s="3376"/>
      <c r="B294" s="947" t="s">
        <v>5483</v>
      </c>
      <c r="C294" s="1027" t="s">
        <v>5484</v>
      </c>
      <c r="D294" s="750" t="s">
        <v>5485</v>
      </c>
      <c r="E294" s="947">
        <v>3</v>
      </c>
      <c r="F294" s="3366"/>
      <c r="G294" s="1030" t="s">
        <v>5486</v>
      </c>
      <c r="H294" s="3366"/>
      <c r="I294" s="1044" t="s">
        <v>5233</v>
      </c>
      <c r="J294" s="749" t="s">
        <v>3974</v>
      </c>
      <c r="K294" s="960" t="s">
        <v>4179</v>
      </c>
      <c r="L294" s="960"/>
      <c r="M294" s="749" t="s">
        <v>3979</v>
      </c>
      <c r="N294" s="749" t="s">
        <v>3974</v>
      </c>
      <c r="O294" s="893" t="s">
        <v>3974</v>
      </c>
      <c r="P294" s="893"/>
      <c r="Q294" s="1038" t="s">
        <v>5259</v>
      </c>
      <c r="R294" s="1038" t="s">
        <v>5259</v>
      </c>
      <c r="S294" s="941" t="s">
        <v>3974</v>
      </c>
      <c r="T294" s="749" t="s">
        <v>3979</v>
      </c>
      <c r="U294" s="749" t="s">
        <v>3979</v>
      </c>
      <c r="V294" s="749" t="s">
        <v>3974</v>
      </c>
      <c r="W294" s="749" t="s">
        <v>3974</v>
      </c>
      <c r="X294" s="1034" t="s">
        <v>3975</v>
      </c>
      <c r="Y294" s="749" t="s">
        <v>3980</v>
      </c>
      <c r="Z294" s="752" t="s">
        <v>5477</v>
      </c>
      <c r="AA294" s="752" t="s">
        <v>5487</v>
      </c>
    </row>
    <row r="295" spans="1:28" s="10" customFormat="1" ht="14.25" customHeight="1">
      <c r="A295" s="1117" t="s">
        <v>5488</v>
      </c>
      <c r="B295" s="1165"/>
      <c r="C295" s="1166" t="s">
        <v>3616</v>
      </c>
      <c r="D295" s="1167" t="s">
        <v>5489</v>
      </c>
      <c r="E295" s="1165"/>
      <c r="F295" s="1117" t="s">
        <v>5219</v>
      </c>
      <c r="G295" s="1168"/>
      <c r="H295" s="1042"/>
      <c r="I295" s="1046"/>
      <c r="J295" s="1042"/>
      <c r="K295" s="1042"/>
      <c r="L295" s="1042"/>
      <c r="M295" s="1042"/>
      <c r="N295" s="1042"/>
      <c r="O295" s="1041"/>
      <c r="P295" s="1041"/>
      <c r="Q295" s="1042"/>
      <c r="R295" s="1042"/>
      <c r="S295" s="1047"/>
      <c r="T295" s="1042"/>
      <c r="U295" s="1042"/>
      <c r="V295" s="1042"/>
      <c r="W295" s="1042"/>
      <c r="X295" s="1048"/>
      <c r="Y295" s="1042"/>
      <c r="Z295" s="1045"/>
      <c r="AA295" s="1045"/>
      <c r="AB295" s="320" t="s">
        <v>5490</v>
      </c>
    </row>
    <row r="296" spans="1:28" s="5" customFormat="1" ht="15.75" customHeight="1">
      <c r="A296" s="888" t="s">
        <v>5491</v>
      </c>
      <c r="B296" s="947" t="s">
        <v>5492</v>
      </c>
      <c r="C296" s="1049" t="s">
        <v>5493</v>
      </c>
      <c r="D296" s="946" t="s">
        <v>5494</v>
      </c>
      <c r="E296" s="947">
        <v>3</v>
      </c>
      <c r="F296" s="888" t="s">
        <v>5219</v>
      </c>
      <c r="G296" s="928" t="s">
        <v>5495</v>
      </c>
      <c r="H296" s="888" t="s">
        <v>5219</v>
      </c>
      <c r="I296" s="1043" t="s">
        <v>5233</v>
      </c>
      <c r="J296" s="888" t="s">
        <v>3974</v>
      </c>
      <c r="K296" s="976" t="s">
        <v>4179</v>
      </c>
      <c r="L296" s="976"/>
      <c r="M296" s="888" t="s">
        <v>3975</v>
      </c>
      <c r="N296" s="888" t="s">
        <v>3975</v>
      </c>
      <c r="O296" s="926" t="s">
        <v>3976</v>
      </c>
      <c r="P296" s="926"/>
      <c r="Q296" s="932">
        <v>0</v>
      </c>
      <c r="R296" s="932">
        <v>0</v>
      </c>
      <c r="S296" s="930" t="s">
        <v>3974</v>
      </c>
      <c r="T296" s="888" t="s">
        <v>3975</v>
      </c>
      <c r="U296" s="888" t="s">
        <v>3975</v>
      </c>
      <c r="V296" s="888" t="s">
        <v>3975</v>
      </c>
      <c r="W296" s="888" t="s">
        <v>3975</v>
      </c>
      <c r="X296" s="979" t="s">
        <v>3979</v>
      </c>
      <c r="Y296" s="888" t="s">
        <v>3980</v>
      </c>
      <c r="Z296" s="948" t="s">
        <v>5496</v>
      </c>
      <c r="AA296" s="948" t="s">
        <v>5497</v>
      </c>
      <c r="AB296" s="316"/>
    </row>
    <row r="297" spans="1:28" s="5" customFormat="1" ht="15.75" customHeight="1">
      <c r="A297" s="888" t="s">
        <v>5498</v>
      </c>
      <c r="B297" s="947" t="s">
        <v>5499</v>
      </c>
      <c r="C297" s="1049" t="s">
        <v>5500</v>
      </c>
      <c r="D297" s="946" t="s">
        <v>5501</v>
      </c>
      <c r="E297" s="947">
        <v>3</v>
      </c>
      <c r="F297" s="888" t="s">
        <v>5219</v>
      </c>
      <c r="G297" s="928" t="s">
        <v>5502</v>
      </c>
      <c r="H297" s="888" t="s">
        <v>5219</v>
      </c>
      <c r="I297" s="1043" t="s">
        <v>5233</v>
      </c>
      <c r="J297" s="888" t="s">
        <v>3974</v>
      </c>
      <c r="K297" s="976" t="s">
        <v>4179</v>
      </c>
      <c r="L297" s="976"/>
      <c r="M297" s="888" t="s">
        <v>3975</v>
      </c>
      <c r="N297" s="888" t="s">
        <v>3975</v>
      </c>
      <c r="O297" s="926" t="s">
        <v>3976</v>
      </c>
      <c r="P297" s="926"/>
      <c r="Q297" s="932">
        <v>0</v>
      </c>
      <c r="R297" s="932">
        <v>0</v>
      </c>
      <c r="S297" s="930" t="s">
        <v>3974</v>
      </c>
      <c r="T297" s="888" t="s">
        <v>3975</v>
      </c>
      <c r="U297" s="888" t="s">
        <v>3975</v>
      </c>
      <c r="V297" s="888" t="s">
        <v>3975</v>
      </c>
      <c r="W297" s="888" t="s">
        <v>3975</v>
      </c>
      <c r="X297" s="979" t="s">
        <v>3979</v>
      </c>
      <c r="Y297" s="888" t="s">
        <v>3980</v>
      </c>
      <c r="Z297" s="948" t="s">
        <v>5503</v>
      </c>
      <c r="AA297" s="948" t="s">
        <v>5504</v>
      </c>
      <c r="AB297" s="316"/>
    </row>
    <row r="298" spans="1:28" s="5" customFormat="1" ht="15.75" customHeight="1">
      <c r="A298" s="888" t="s">
        <v>5505</v>
      </c>
      <c r="B298" s="947" t="s">
        <v>5506</v>
      </c>
      <c r="C298" s="1049" t="s">
        <v>5507</v>
      </c>
      <c r="D298" s="946" t="s">
        <v>5508</v>
      </c>
      <c r="E298" s="947">
        <v>3</v>
      </c>
      <c r="F298" s="888" t="s">
        <v>5219</v>
      </c>
      <c r="G298" s="928" t="s">
        <v>5509</v>
      </c>
      <c r="H298" s="888" t="s">
        <v>5219</v>
      </c>
      <c r="I298" s="1043" t="s">
        <v>5233</v>
      </c>
      <c r="J298" s="888" t="s">
        <v>3974</v>
      </c>
      <c r="K298" s="976" t="s">
        <v>4179</v>
      </c>
      <c r="L298" s="976"/>
      <c r="M298" s="888" t="s">
        <v>3975</v>
      </c>
      <c r="N298" s="888" t="s">
        <v>3975</v>
      </c>
      <c r="O298" s="926" t="s">
        <v>3976</v>
      </c>
      <c r="P298" s="926"/>
      <c r="Q298" s="932">
        <v>0</v>
      </c>
      <c r="R298" s="932">
        <v>0</v>
      </c>
      <c r="S298" s="930" t="s">
        <v>3974</v>
      </c>
      <c r="T298" s="888" t="s">
        <v>3975</v>
      </c>
      <c r="U298" s="888" t="s">
        <v>3975</v>
      </c>
      <c r="V298" s="888" t="s">
        <v>3975</v>
      </c>
      <c r="W298" s="888" t="s">
        <v>3975</v>
      </c>
      <c r="X298" s="979" t="s">
        <v>3979</v>
      </c>
      <c r="Y298" s="888" t="s">
        <v>3980</v>
      </c>
      <c r="Z298" s="948" t="s">
        <v>5510</v>
      </c>
      <c r="AA298" s="948" t="s">
        <v>5511</v>
      </c>
      <c r="AB298" s="316"/>
    </row>
    <row r="299" spans="1:28" s="5" customFormat="1" ht="14.25" customHeight="1">
      <c r="A299" s="888" t="s">
        <v>5512</v>
      </c>
      <c r="B299" s="947" t="s">
        <v>904</v>
      </c>
      <c r="C299" s="1049" t="s">
        <v>5490</v>
      </c>
      <c r="D299" s="946" t="s">
        <v>5513</v>
      </c>
      <c r="E299" s="947"/>
      <c r="F299" s="888" t="s">
        <v>5219</v>
      </c>
      <c r="G299" s="948"/>
      <c r="H299" s="888"/>
      <c r="I299" s="928"/>
      <c r="J299" s="888"/>
      <c r="K299" s="888"/>
      <c r="L299" s="888"/>
      <c r="M299" s="888"/>
      <c r="N299" s="888"/>
      <c r="O299" s="926" t="s">
        <v>3976</v>
      </c>
      <c r="P299" s="926"/>
      <c r="Q299" s="888"/>
      <c r="R299" s="888"/>
      <c r="S299" s="930"/>
      <c r="T299" s="888"/>
      <c r="U299" s="888"/>
      <c r="V299" s="888"/>
      <c r="W299" s="888"/>
      <c r="X299" s="979"/>
      <c r="Y299" s="888"/>
      <c r="Z299" s="948"/>
      <c r="AA299" s="948"/>
      <c r="AB299" s="316"/>
    </row>
    <row r="300" spans="1:28" s="6" customFormat="1" ht="15.75" customHeight="1">
      <c r="A300" s="950" t="s">
        <v>5514</v>
      </c>
      <c r="B300" s="951" t="s">
        <v>5515</v>
      </c>
      <c r="C300" s="1050" t="s">
        <v>5516</v>
      </c>
      <c r="D300" s="952" t="s">
        <v>5517</v>
      </c>
      <c r="E300" s="947"/>
      <c r="F300" s="950" t="s">
        <v>5219</v>
      </c>
      <c r="G300" s="955" t="s">
        <v>5518</v>
      </c>
      <c r="H300" s="950" t="s">
        <v>5219</v>
      </c>
      <c r="I300" s="1051" t="s">
        <v>5233</v>
      </c>
      <c r="J300" s="950" t="s">
        <v>3974</v>
      </c>
      <c r="K300" s="1052" t="s">
        <v>4179</v>
      </c>
      <c r="L300" s="1052"/>
      <c r="M300" s="950" t="s">
        <v>3975</v>
      </c>
      <c r="N300" s="950" t="s">
        <v>3975</v>
      </c>
      <c r="O300" s="926" t="s">
        <v>3976</v>
      </c>
      <c r="P300" s="926"/>
      <c r="Q300" s="957">
        <v>0</v>
      </c>
      <c r="R300" s="957">
        <v>0</v>
      </c>
      <c r="S300" s="958" t="s">
        <v>3974</v>
      </c>
      <c r="T300" s="950" t="s">
        <v>3975</v>
      </c>
      <c r="U300" s="950" t="s">
        <v>3975</v>
      </c>
      <c r="V300" s="950" t="s">
        <v>3975</v>
      </c>
      <c r="W300" s="950" t="s">
        <v>3975</v>
      </c>
      <c r="X300" s="981" t="s">
        <v>3979</v>
      </c>
      <c r="Y300" s="950" t="s">
        <v>3980</v>
      </c>
      <c r="Z300" s="953" t="s">
        <v>5496</v>
      </c>
      <c r="AA300" s="953"/>
      <c r="AB300" s="317"/>
    </row>
    <row r="301" spans="1:28" s="5" customFormat="1" ht="15.75" customHeight="1">
      <c r="A301" s="888" t="s">
        <v>5519</v>
      </c>
      <c r="B301" s="947" t="s">
        <v>5520</v>
      </c>
      <c r="C301" s="1049" t="s">
        <v>5521</v>
      </c>
      <c r="D301" s="946" t="s">
        <v>5522</v>
      </c>
      <c r="E301" s="947">
        <v>3</v>
      </c>
      <c r="F301" s="888" t="s">
        <v>5219</v>
      </c>
      <c r="G301" s="1028" t="s">
        <v>5523</v>
      </c>
      <c r="H301" s="888" t="s">
        <v>5219</v>
      </c>
      <c r="I301" s="1043" t="s">
        <v>5233</v>
      </c>
      <c r="J301" s="888" t="s">
        <v>3974</v>
      </c>
      <c r="K301" s="976" t="s">
        <v>4179</v>
      </c>
      <c r="L301" s="976"/>
      <c r="M301" s="888" t="s">
        <v>3975</v>
      </c>
      <c r="N301" s="888" t="s">
        <v>3975</v>
      </c>
      <c r="O301" s="926" t="s">
        <v>3976</v>
      </c>
      <c r="P301" s="926"/>
      <c r="Q301" s="932">
        <v>0</v>
      </c>
      <c r="R301" s="932">
        <v>0</v>
      </c>
      <c r="S301" s="930" t="s">
        <v>3974</v>
      </c>
      <c r="T301" s="888" t="s">
        <v>3975</v>
      </c>
      <c r="U301" s="888" t="s">
        <v>3975</v>
      </c>
      <c r="V301" s="888" t="s">
        <v>3975</v>
      </c>
      <c r="W301" s="888" t="s">
        <v>3975</v>
      </c>
      <c r="X301" s="979" t="s">
        <v>3979</v>
      </c>
      <c r="Y301" s="888" t="s">
        <v>3980</v>
      </c>
      <c r="Z301" s="948" t="s">
        <v>5524</v>
      </c>
      <c r="AA301" s="948" t="s">
        <v>5525</v>
      </c>
      <c r="AB301" s="316"/>
    </row>
    <row r="302" spans="1:28" s="5" customFormat="1" ht="14.25" customHeight="1">
      <c r="A302" s="888" t="s">
        <v>5526</v>
      </c>
      <c r="B302" s="927" t="s">
        <v>5527</v>
      </c>
      <c r="C302" s="1049" t="s">
        <v>5528</v>
      </c>
      <c r="D302" s="946" t="s">
        <v>5529</v>
      </c>
      <c r="E302" s="947">
        <v>3</v>
      </c>
      <c r="F302" s="888" t="s">
        <v>5219</v>
      </c>
      <c r="G302" s="948" t="s">
        <v>5495</v>
      </c>
      <c r="H302" s="888"/>
      <c r="I302" s="928"/>
      <c r="J302" s="888"/>
      <c r="K302" s="888"/>
      <c r="L302" s="888"/>
      <c r="M302" s="888"/>
      <c r="N302" s="888"/>
      <c r="O302" s="888"/>
      <c r="P302" s="888"/>
      <c r="Q302" s="888"/>
      <c r="R302" s="888"/>
      <c r="S302" s="930"/>
      <c r="T302" s="888"/>
      <c r="U302" s="888"/>
      <c r="V302" s="888"/>
      <c r="W302" s="888"/>
      <c r="X302" s="979"/>
      <c r="Y302" s="888"/>
      <c r="Z302" s="948" t="s">
        <v>5530</v>
      </c>
      <c r="AA302" s="948" t="s">
        <v>5497</v>
      </c>
      <c r="AB302" s="316"/>
    </row>
    <row r="303" spans="1:28" s="5" customFormat="1" ht="27.75" customHeight="1">
      <c r="A303" s="888" t="s">
        <v>5531</v>
      </c>
      <c r="B303" s="947" t="s">
        <v>5532</v>
      </c>
      <c r="C303" s="1049" t="s">
        <v>5533</v>
      </c>
      <c r="D303" s="946" t="s">
        <v>5534</v>
      </c>
      <c r="E303" s="947">
        <v>2</v>
      </c>
      <c r="F303" s="888" t="s">
        <v>5535</v>
      </c>
      <c r="G303" s="1028" t="s">
        <v>5536</v>
      </c>
      <c r="H303" s="888" t="s">
        <v>5535</v>
      </c>
      <c r="I303" s="1043" t="s">
        <v>5233</v>
      </c>
      <c r="J303" s="888" t="s">
        <v>3974</v>
      </c>
      <c r="K303" s="976" t="s">
        <v>4179</v>
      </c>
      <c r="L303" s="976"/>
      <c r="M303" s="888" t="s">
        <v>3979</v>
      </c>
      <c r="N303" s="888" t="s">
        <v>3979</v>
      </c>
      <c r="O303" s="926" t="s">
        <v>3974</v>
      </c>
      <c r="P303" s="926"/>
      <c r="Q303" s="932">
        <v>1</v>
      </c>
      <c r="R303" s="932">
        <v>1</v>
      </c>
      <c r="S303" s="930" t="s">
        <v>3974</v>
      </c>
      <c r="T303" s="888" t="s">
        <v>3979</v>
      </c>
      <c r="U303" s="888" t="s">
        <v>3975</v>
      </c>
      <c r="V303" s="888" t="s">
        <v>3975</v>
      </c>
      <c r="W303" s="888" t="s">
        <v>3975</v>
      </c>
      <c r="X303" s="979" t="s">
        <v>3979</v>
      </c>
      <c r="Y303" s="888" t="s">
        <v>3980</v>
      </c>
      <c r="Z303" s="948" t="s">
        <v>5537</v>
      </c>
      <c r="AA303" s="948" t="s">
        <v>5538</v>
      </c>
      <c r="AB303" s="316"/>
    </row>
    <row r="304" spans="1:28" ht="15.75" customHeight="1">
      <c r="A304" s="888" t="s">
        <v>5539</v>
      </c>
      <c r="B304" s="947" t="s">
        <v>5540</v>
      </c>
      <c r="C304" s="1053" t="s">
        <v>5541</v>
      </c>
      <c r="D304" s="750" t="s">
        <v>5542</v>
      </c>
      <c r="E304" s="947">
        <v>3</v>
      </c>
      <c r="F304" s="888" t="s">
        <v>5219</v>
      </c>
      <c r="G304" s="1030" t="s">
        <v>5543</v>
      </c>
      <c r="H304" s="888" t="s">
        <v>5219</v>
      </c>
      <c r="I304" s="1044" t="s">
        <v>5233</v>
      </c>
      <c r="J304" s="749" t="s">
        <v>3974</v>
      </c>
      <c r="K304" s="960" t="s">
        <v>4179</v>
      </c>
      <c r="L304" s="960"/>
      <c r="M304" s="749" t="s">
        <v>3975</v>
      </c>
      <c r="N304" s="749" t="s">
        <v>3975</v>
      </c>
      <c r="O304" s="926" t="s">
        <v>3976</v>
      </c>
      <c r="P304" s="926"/>
      <c r="Q304" s="940">
        <v>0</v>
      </c>
      <c r="R304" s="940">
        <v>0</v>
      </c>
      <c r="S304" s="941" t="s">
        <v>3974</v>
      </c>
      <c r="T304" s="749" t="s">
        <v>3975</v>
      </c>
      <c r="U304" s="749" t="s">
        <v>3975</v>
      </c>
      <c r="V304" s="749" t="s">
        <v>3975</v>
      </c>
      <c r="W304" s="749" t="s">
        <v>3975</v>
      </c>
      <c r="X304" s="1032" t="s">
        <v>3979</v>
      </c>
      <c r="Y304" s="749" t="s">
        <v>3980</v>
      </c>
      <c r="Z304" s="752" t="s">
        <v>5544</v>
      </c>
      <c r="AA304" s="752" t="s">
        <v>5545</v>
      </c>
    </row>
    <row r="305" spans="1:28" ht="15.75" customHeight="1">
      <c r="A305" s="888" t="s">
        <v>5546</v>
      </c>
      <c r="B305" s="947" t="s">
        <v>5547</v>
      </c>
      <c r="C305" s="1049" t="s">
        <v>5548</v>
      </c>
      <c r="D305" s="750" t="s">
        <v>5549</v>
      </c>
      <c r="E305" s="947">
        <v>3</v>
      </c>
      <c r="F305" s="888" t="s">
        <v>5219</v>
      </c>
      <c r="G305" s="1030" t="s">
        <v>5550</v>
      </c>
      <c r="H305" s="888" t="s">
        <v>5219</v>
      </c>
      <c r="I305" s="1044" t="s">
        <v>5233</v>
      </c>
      <c r="J305" s="749" t="s">
        <v>3974</v>
      </c>
      <c r="K305" s="960" t="s">
        <v>4179</v>
      </c>
      <c r="L305" s="960"/>
      <c r="M305" s="749" t="s">
        <v>3975</v>
      </c>
      <c r="N305" s="749" t="s">
        <v>3975</v>
      </c>
      <c r="O305" s="926" t="s">
        <v>3976</v>
      </c>
      <c r="P305" s="926"/>
      <c r="Q305" s="940">
        <v>0</v>
      </c>
      <c r="R305" s="940">
        <v>0</v>
      </c>
      <c r="S305" s="941" t="s">
        <v>3974</v>
      </c>
      <c r="T305" s="749" t="s">
        <v>3975</v>
      </c>
      <c r="U305" s="749" t="s">
        <v>3975</v>
      </c>
      <c r="V305" s="749" t="s">
        <v>3975</v>
      </c>
      <c r="W305" s="749" t="s">
        <v>3975</v>
      </c>
      <c r="X305" s="1032" t="s">
        <v>3979</v>
      </c>
      <c r="Y305" s="749" t="s">
        <v>3980</v>
      </c>
      <c r="Z305" s="752" t="s">
        <v>5551</v>
      </c>
      <c r="AA305" s="752" t="s">
        <v>5552</v>
      </c>
    </row>
    <row r="306" spans="1:28" ht="15.75" customHeight="1">
      <c r="A306" s="888" t="s">
        <v>5553</v>
      </c>
      <c r="B306" s="947" t="s">
        <v>5554</v>
      </c>
      <c r="C306" s="1049" t="s">
        <v>5555</v>
      </c>
      <c r="D306" s="750" t="s">
        <v>5556</v>
      </c>
      <c r="E306" s="947">
        <v>3</v>
      </c>
      <c r="F306" s="888" t="s">
        <v>5219</v>
      </c>
      <c r="G306" s="1030" t="s">
        <v>5557</v>
      </c>
      <c r="H306" s="888" t="s">
        <v>5219</v>
      </c>
      <c r="I306" s="1044" t="s">
        <v>5233</v>
      </c>
      <c r="J306" s="749" t="s">
        <v>3974</v>
      </c>
      <c r="K306" s="960" t="s">
        <v>4179</v>
      </c>
      <c r="L306" s="960"/>
      <c r="M306" s="749" t="s">
        <v>3975</v>
      </c>
      <c r="N306" s="749" t="s">
        <v>3975</v>
      </c>
      <c r="O306" s="926" t="s">
        <v>3976</v>
      </c>
      <c r="P306" s="926"/>
      <c r="Q306" s="940">
        <v>0</v>
      </c>
      <c r="R306" s="940">
        <v>0</v>
      </c>
      <c r="S306" s="941" t="s">
        <v>3974</v>
      </c>
      <c r="T306" s="749" t="s">
        <v>3975</v>
      </c>
      <c r="U306" s="749" t="s">
        <v>3975</v>
      </c>
      <c r="V306" s="749" t="s">
        <v>3975</v>
      </c>
      <c r="W306" s="749" t="s">
        <v>3975</v>
      </c>
      <c r="X306" s="1032" t="s">
        <v>3979</v>
      </c>
      <c r="Y306" s="749" t="s">
        <v>3980</v>
      </c>
      <c r="Z306" s="752" t="s">
        <v>5551</v>
      </c>
      <c r="AA306" s="752" t="s">
        <v>5552</v>
      </c>
    </row>
    <row r="307" spans="1:28" ht="15.75" customHeight="1">
      <c r="A307" s="888" t="s">
        <v>5558</v>
      </c>
      <c r="B307" s="947" t="s">
        <v>5559</v>
      </c>
      <c r="C307" s="1049" t="s">
        <v>5560</v>
      </c>
      <c r="D307" s="750" t="s">
        <v>5561</v>
      </c>
      <c r="E307" s="947">
        <v>3</v>
      </c>
      <c r="F307" s="888" t="s">
        <v>5219</v>
      </c>
      <c r="G307" s="1030" t="s">
        <v>5557</v>
      </c>
      <c r="H307" s="888" t="s">
        <v>5219</v>
      </c>
      <c r="I307" s="1044" t="s">
        <v>5233</v>
      </c>
      <c r="J307" s="749" t="s">
        <v>3974</v>
      </c>
      <c r="K307" s="960" t="s">
        <v>4179</v>
      </c>
      <c r="L307" s="960"/>
      <c r="M307" s="749" t="s">
        <v>3975</v>
      </c>
      <c r="N307" s="749" t="s">
        <v>3975</v>
      </c>
      <c r="O307" s="926" t="s">
        <v>3976</v>
      </c>
      <c r="P307" s="926"/>
      <c r="Q307" s="940">
        <v>0</v>
      </c>
      <c r="R307" s="940">
        <v>0</v>
      </c>
      <c r="S307" s="941" t="s">
        <v>3974</v>
      </c>
      <c r="T307" s="749" t="s">
        <v>3975</v>
      </c>
      <c r="U307" s="749" t="s">
        <v>3975</v>
      </c>
      <c r="V307" s="749" t="s">
        <v>3975</v>
      </c>
      <c r="W307" s="749" t="s">
        <v>3975</v>
      </c>
      <c r="X307" s="1032" t="s">
        <v>3979</v>
      </c>
      <c r="Y307" s="749" t="s">
        <v>3980</v>
      </c>
      <c r="Z307" s="752" t="s">
        <v>5551</v>
      </c>
      <c r="AA307" s="752" t="s">
        <v>5552</v>
      </c>
    </row>
    <row r="308" spans="1:28" s="254" customFormat="1" ht="15.75" customHeight="1">
      <c r="A308" s="1061" t="s">
        <v>5562</v>
      </c>
      <c r="B308" s="1092" t="s">
        <v>5563</v>
      </c>
      <c r="C308" s="1017" t="s">
        <v>5564</v>
      </c>
      <c r="D308" s="750" t="s">
        <v>5565</v>
      </c>
      <c r="E308" s="1092">
        <v>3</v>
      </c>
      <c r="F308" s="1061" t="s">
        <v>5219</v>
      </c>
      <c r="G308" s="752"/>
      <c r="H308" s="1061"/>
      <c r="I308" s="1036"/>
      <c r="J308" s="1061"/>
      <c r="K308" s="1061"/>
      <c r="L308" s="1061"/>
      <c r="M308" s="1061" t="s">
        <v>3975</v>
      </c>
      <c r="N308" s="1061" t="s">
        <v>3975</v>
      </c>
      <c r="O308" s="978" t="s">
        <v>3976</v>
      </c>
      <c r="P308" s="978"/>
      <c r="Q308" s="940">
        <v>0</v>
      </c>
      <c r="R308" s="940">
        <v>0</v>
      </c>
      <c r="S308" s="941" t="s">
        <v>3974</v>
      </c>
      <c r="T308" s="1061" t="s">
        <v>3975</v>
      </c>
      <c r="U308" s="1061" t="s">
        <v>3975</v>
      </c>
      <c r="V308" s="1061" t="s">
        <v>3975</v>
      </c>
      <c r="W308" s="1061" t="s">
        <v>3975</v>
      </c>
      <c r="X308" s="1032" t="s">
        <v>3979</v>
      </c>
      <c r="Y308" s="1061" t="s">
        <v>3980</v>
      </c>
      <c r="Z308" s="752" t="s">
        <v>5551</v>
      </c>
      <c r="AA308" s="752" t="s">
        <v>5552</v>
      </c>
      <c r="AB308" s="312" t="s">
        <v>5566</v>
      </c>
    </row>
    <row r="309" spans="1:28" s="11" customFormat="1" ht="14.25" customHeight="1">
      <c r="A309" s="1186" t="s">
        <v>3661</v>
      </c>
      <c r="B309" s="1105" t="s">
        <v>5567</v>
      </c>
      <c r="C309" s="1192" t="s">
        <v>3660</v>
      </c>
      <c r="D309" s="1195" t="s">
        <v>5568</v>
      </c>
      <c r="E309" s="1105">
        <v>1</v>
      </c>
      <c r="F309" s="1186" t="s">
        <v>5219</v>
      </c>
      <c r="G309" s="1054"/>
      <c r="H309" s="1039"/>
      <c r="I309" s="1055"/>
      <c r="J309" s="1039"/>
      <c r="K309" s="1039"/>
      <c r="L309" s="1039"/>
      <c r="M309" s="1039" t="s">
        <v>3979</v>
      </c>
      <c r="N309" s="1039" t="s">
        <v>3979</v>
      </c>
      <c r="O309" s="1040" t="s">
        <v>3974</v>
      </c>
      <c r="P309" s="1040"/>
      <c r="Q309" s="1038">
        <v>1</v>
      </c>
      <c r="R309" s="1038">
        <v>1</v>
      </c>
      <c r="S309" s="1014" t="s">
        <v>3974</v>
      </c>
      <c r="T309" s="1039" t="s">
        <v>3979</v>
      </c>
      <c r="U309" s="1039" t="s">
        <v>3979</v>
      </c>
      <c r="V309" s="1039" t="s">
        <v>3979</v>
      </c>
      <c r="W309" s="1039" t="s">
        <v>3979</v>
      </c>
      <c r="X309" s="1034" t="s">
        <v>3979</v>
      </c>
      <c r="Y309" s="1039"/>
      <c r="Z309" s="1054"/>
      <c r="AA309" s="1054"/>
      <c r="AB309" s="314" t="s">
        <v>5566</v>
      </c>
    </row>
    <row r="310" spans="1:28" ht="15.75" customHeight="1">
      <c r="A310" s="888" t="s">
        <v>5569</v>
      </c>
      <c r="B310" s="947" t="s">
        <v>5570</v>
      </c>
      <c r="C310" s="1053" t="s">
        <v>5571</v>
      </c>
      <c r="D310" s="750" t="s">
        <v>5572</v>
      </c>
      <c r="E310" s="947">
        <v>3</v>
      </c>
      <c r="F310" s="888" t="s">
        <v>5219</v>
      </c>
      <c r="G310" s="1030" t="s">
        <v>5573</v>
      </c>
      <c r="H310" s="888" t="s">
        <v>5219</v>
      </c>
      <c r="I310" s="1044" t="s">
        <v>5233</v>
      </c>
      <c r="J310" s="749" t="s">
        <v>3974</v>
      </c>
      <c r="K310" s="960" t="s">
        <v>4179</v>
      </c>
      <c r="L310" s="960"/>
      <c r="M310" s="749" t="s">
        <v>3975</v>
      </c>
      <c r="N310" s="749" t="s">
        <v>3975</v>
      </c>
      <c r="O310" s="926" t="s">
        <v>3976</v>
      </c>
      <c r="P310" s="926"/>
      <c r="Q310" s="940">
        <v>0</v>
      </c>
      <c r="R310" s="940">
        <v>0</v>
      </c>
      <c r="S310" s="941" t="s">
        <v>3974</v>
      </c>
      <c r="T310" s="749" t="s">
        <v>3975</v>
      </c>
      <c r="U310" s="749" t="s">
        <v>3975</v>
      </c>
      <c r="V310" s="749" t="s">
        <v>3975</v>
      </c>
      <c r="W310" s="749" t="s">
        <v>3975</v>
      </c>
      <c r="X310" s="1032" t="s">
        <v>3979</v>
      </c>
      <c r="Y310" s="749" t="s">
        <v>3980</v>
      </c>
      <c r="Z310" s="752" t="s">
        <v>5551</v>
      </c>
      <c r="AA310" s="752" t="s">
        <v>5552</v>
      </c>
    </row>
    <row r="311" spans="1:28" ht="15.75" customHeight="1">
      <c r="A311" s="888" t="s">
        <v>3652</v>
      </c>
      <c r="B311" s="947" t="s">
        <v>5574</v>
      </c>
      <c r="C311" s="1053" t="s">
        <v>5575</v>
      </c>
      <c r="D311" s="750" t="s">
        <v>5576</v>
      </c>
      <c r="E311" s="947">
        <v>3</v>
      </c>
      <c r="F311" s="888" t="s">
        <v>5219</v>
      </c>
      <c r="G311" s="948"/>
      <c r="H311" s="888"/>
      <c r="I311" s="928"/>
      <c r="J311" s="888"/>
      <c r="K311" s="749"/>
      <c r="L311" s="749"/>
      <c r="M311" s="749" t="s">
        <v>3975</v>
      </c>
      <c r="N311" s="749" t="s">
        <v>3975</v>
      </c>
      <c r="O311" s="926" t="s">
        <v>3976</v>
      </c>
      <c r="P311" s="926"/>
      <c r="Q311" s="940">
        <v>0</v>
      </c>
      <c r="R311" s="940">
        <v>0</v>
      </c>
      <c r="S311" s="941" t="s">
        <v>3974</v>
      </c>
      <c r="T311" s="749" t="s">
        <v>3975</v>
      </c>
      <c r="U311" s="749" t="s">
        <v>3975</v>
      </c>
      <c r="V311" s="749" t="s">
        <v>3975</v>
      </c>
      <c r="W311" s="749" t="s">
        <v>3975</v>
      </c>
      <c r="X311" s="1032" t="s">
        <v>3979</v>
      </c>
      <c r="Y311" s="749" t="s">
        <v>3980</v>
      </c>
      <c r="Z311" s="752" t="s">
        <v>5551</v>
      </c>
      <c r="AA311" s="752" t="s">
        <v>5577</v>
      </c>
    </row>
    <row r="312" spans="1:28" ht="41.25" customHeight="1">
      <c r="A312" s="582" t="s">
        <v>5578</v>
      </c>
      <c r="B312" s="583" t="s">
        <v>5579</v>
      </c>
      <c r="C312" s="620" t="s">
        <v>5580</v>
      </c>
      <c r="D312" s="584" t="s">
        <v>5581</v>
      </c>
      <c r="E312" s="583">
        <v>3</v>
      </c>
      <c r="F312" s="582" t="s">
        <v>5219</v>
      </c>
      <c r="G312" s="1035" t="s">
        <v>5582</v>
      </c>
      <c r="H312" s="582" t="s">
        <v>5219</v>
      </c>
      <c r="I312" s="1044" t="s">
        <v>5233</v>
      </c>
      <c r="J312" s="749" t="s">
        <v>3974</v>
      </c>
      <c r="K312" s="960" t="s">
        <v>4179</v>
      </c>
      <c r="L312" s="960"/>
      <c r="M312" s="749" t="s">
        <v>3975</v>
      </c>
      <c r="N312" s="749" t="s">
        <v>3975</v>
      </c>
      <c r="O312" s="926" t="s">
        <v>3976</v>
      </c>
      <c r="P312" s="926"/>
      <c r="Q312" s="940">
        <v>0</v>
      </c>
      <c r="R312" s="940">
        <v>0</v>
      </c>
      <c r="S312" s="941" t="s">
        <v>3974</v>
      </c>
      <c r="T312" s="749" t="s">
        <v>3975</v>
      </c>
      <c r="U312" s="749" t="s">
        <v>3975</v>
      </c>
      <c r="V312" s="749" t="s">
        <v>3975</v>
      </c>
      <c r="W312" s="749" t="s">
        <v>3975</v>
      </c>
      <c r="X312" s="1032" t="s">
        <v>3979</v>
      </c>
      <c r="Y312" s="749" t="s">
        <v>3980</v>
      </c>
      <c r="Z312" s="752" t="s">
        <v>5583</v>
      </c>
      <c r="AA312" s="752" t="s">
        <v>5584</v>
      </c>
    </row>
    <row r="313" spans="1:28" s="6" customFormat="1" ht="15.75" customHeight="1">
      <c r="A313" s="950" t="s">
        <v>5585</v>
      </c>
      <c r="B313" s="983" t="s">
        <v>5586</v>
      </c>
      <c r="C313" s="1050" t="s">
        <v>5587</v>
      </c>
      <c r="D313" s="952" t="s">
        <v>5588</v>
      </c>
      <c r="E313" s="983">
        <v>3</v>
      </c>
      <c r="F313" s="950" t="s">
        <v>5219</v>
      </c>
      <c r="G313" s="1098" t="s">
        <v>5557</v>
      </c>
      <c r="H313" s="950" t="s">
        <v>5219</v>
      </c>
      <c r="I313" s="1051" t="s">
        <v>5233</v>
      </c>
      <c r="J313" s="950" t="s">
        <v>3974</v>
      </c>
      <c r="K313" s="1052" t="s">
        <v>4179</v>
      </c>
      <c r="L313" s="1052"/>
      <c r="M313" s="950" t="s">
        <v>3975</v>
      </c>
      <c r="N313" s="950" t="s">
        <v>3975</v>
      </c>
      <c r="O313" s="956" t="s">
        <v>3976</v>
      </c>
      <c r="P313" s="956"/>
      <c r="Q313" s="957">
        <v>0</v>
      </c>
      <c r="R313" s="957">
        <v>0</v>
      </c>
      <c r="S313" s="958" t="s">
        <v>3974</v>
      </c>
      <c r="T313" s="950" t="s">
        <v>3975</v>
      </c>
      <c r="U313" s="950" t="s">
        <v>3975</v>
      </c>
      <c r="V313" s="950" t="s">
        <v>3975</v>
      </c>
      <c r="W313" s="950" t="s">
        <v>3975</v>
      </c>
      <c r="X313" s="981" t="s">
        <v>3979</v>
      </c>
      <c r="Y313" s="950" t="s">
        <v>3980</v>
      </c>
      <c r="Z313" s="953" t="s">
        <v>5551</v>
      </c>
      <c r="AA313" s="953" t="s">
        <v>5552</v>
      </c>
      <c r="AB313" s="317"/>
    </row>
    <row r="314" spans="1:28" ht="27.75" customHeight="1">
      <c r="A314" s="1027" t="s">
        <v>5589</v>
      </c>
      <c r="B314" s="990" t="s">
        <v>5590</v>
      </c>
      <c r="C314" s="1049" t="s">
        <v>5591</v>
      </c>
      <c r="D314" s="750" t="s">
        <v>5592</v>
      </c>
      <c r="E314" s="990">
        <v>3</v>
      </c>
      <c r="F314" s="1027" t="s">
        <v>5219</v>
      </c>
      <c r="G314" s="1035" t="s">
        <v>5593</v>
      </c>
      <c r="H314" s="1027" t="s">
        <v>5219</v>
      </c>
      <c r="I314" s="1044" t="s">
        <v>5233</v>
      </c>
      <c r="J314" s="1061" t="s">
        <v>3974</v>
      </c>
      <c r="K314" s="960" t="s">
        <v>4179</v>
      </c>
      <c r="L314" s="960"/>
      <c r="M314" s="749" t="s">
        <v>3975</v>
      </c>
      <c r="N314" s="749" t="s">
        <v>3975</v>
      </c>
      <c r="O314" s="926" t="s">
        <v>3976</v>
      </c>
      <c r="P314" s="926"/>
      <c r="Q314" s="940">
        <v>0</v>
      </c>
      <c r="R314" s="940">
        <v>0</v>
      </c>
      <c r="S314" s="941" t="s">
        <v>3974</v>
      </c>
      <c r="T314" s="749" t="s">
        <v>3975</v>
      </c>
      <c r="U314" s="749" t="s">
        <v>3975</v>
      </c>
      <c r="V314" s="749" t="s">
        <v>3975</v>
      </c>
      <c r="W314" s="749" t="s">
        <v>3975</v>
      </c>
      <c r="X314" s="1032" t="s">
        <v>3979</v>
      </c>
      <c r="Y314" s="749" t="s">
        <v>3980</v>
      </c>
      <c r="Z314" s="752" t="s">
        <v>4981</v>
      </c>
      <c r="AA314" s="752" t="s">
        <v>5594</v>
      </c>
    </row>
    <row r="315" spans="1:28" ht="14.25" customHeight="1">
      <c r="A315" s="3376" t="s">
        <v>5595</v>
      </c>
      <c r="B315" s="1099" t="s">
        <v>5596</v>
      </c>
      <c r="C315" s="1113" t="s">
        <v>5597</v>
      </c>
      <c r="D315" s="1116" t="s">
        <v>5598</v>
      </c>
      <c r="E315" s="1099">
        <v>1</v>
      </c>
      <c r="F315" s="1113" t="s">
        <v>5219</v>
      </c>
      <c r="G315" s="1178" t="s">
        <v>5257</v>
      </c>
      <c r="H315" s="1113" t="s">
        <v>5219</v>
      </c>
      <c r="I315" s="1179" t="s">
        <v>5258</v>
      </c>
      <c r="J315" s="1181" t="s">
        <v>3974</v>
      </c>
      <c r="K315" s="1182" t="s">
        <v>4179</v>
      </c>
      <c r="L315" s="960"/>
      <c r="M315" s="749" t="s">
        <v>3974</v>
      </c>
      <c r="N315" s="749" t="s">
        <v>3974</v>
      </c>
      <c r="O315" s="893" t="s">
        <v>3974</v>
      </c>
      <c r="P315" s="893"/>
      <c r="Q315" s="749" t="s">
        <v>3974</v>
      </c>
      <c r="R315" s="749" t="s">
        <v>3974</v>
      </c>
      <c r="S315" s="941" t="s">
        <v>3974</v>
      </c>
      <c r="T315" s="749" t="s">
        <v>3974</v>
      </c>
      <c r="U315" s="749" t="s">
        <v>3974</v>
      </c>
      <c r="V315" s="940">
        <v>0.5</v>
      </c>
      <c r="W315" s="749" t="s">
        <v>3975</v>
      </c>
      <c r="X315" s="1032" t="s">
        <v>3979</v>
      </c>
      <c r="Y315" s="749" t="s">
        <v>3980</v>
      </c>
      <c r="Z315" s="752" t="s">
        <v>5599</v>
      </c>
      <c r="AA315" s="752" t="s">
        <v>5330</v>
      </c>
    </row>
    <row r="316" spans="1:28" ht="14.25" customHeight="1">
      <c r="A316" s="3376"/>
      <c r="B316" s="1099" t="s">
        <v>5600</v>
      </c>
      <c r="C316" s="1113" t="s">
        <v>5601</v>
      </c>
      <c r="D316" s="1116" t="s">
        <v>5602</v>
      </c>
      <c r="E316" s="1099">
        <v>2</v>
      </c>
      <c r="F316" s="1113" t="s">
        <v>5219</v>
      </c>
      <c r="G316" s="1178" t="s">
        <v>5264</v>
      </c>
      <c r="H316" s="1113" t="s">
        <v>5219</v>
      </c>
      <c r="I316" s="1179" t="s">
        <v>5265</v>
      </c>
      <c r="J316" s="1181" t="s">
        <v>3974</v>
      </c>
      <c r="K316" s="1182" t="s">
        <v>4179</v>
      </c>
      <c r="L316" s="960"/>
      <c r="M316" s="749" t="s">
        <v>3974</v>
      </c>
      <c r="N316" s="749" t="s">
        <v>3974</v>
      </c>
      <c r="O316" s="893" t="s">
        <v>3974</v>
      </c>
      <c r="P316" s="893"/>
      <c r="Q316" s="749" t="s">
        <v>3974</v>
      </c>
      <c r="R316" s="749" t="s">
        <v>3974</v>
      </c>
      <c r="S316" s="941" t="s">
        <v>3974</v>
      </c>
      <c r="T316" s="749" t="s">
        <v>3974</v>
      </c>
      <c r="U316" s="749" t="s">
        <v>3974</v>
      </c>
      <c r="V316" s="940">
        <v>0.5</v>
      </c>
      <c r="W316" s="749" t="s">
        <v>3975</v>
      </c>
      <c r="X316" s="1032" t="s">
        <v>3979</v>
      </c>
      <c r="Y316" s="749" t="s">
        <v>3980</v>
      </c>
      <c r="Z316" s="752" t="s">
        <v>5599</v>
      </c>
      <c r="AA316" s="752" t="s">
        <v>5330</v>
      </c>
    </row>
    <row r="317" spans="1:28" ht="14.25" customHeight="1">
      <c r="A317" s="3376"/>
      <c r="B317" s="947" t="s">
        <v>5603</v>
      </c>
      <c r="C317" s="1027" t="s">
        <v>5604</v>
      </c>
      <c r="D317" s="750" t="s">
        <v>5605</v>
      </c>
      <c r="E317" s="947">
        <v>3</v>
      </c>
      <c r="F317" s="888" t="s">
        <v>5219</v>
      </c>
      <c r="G317" s="1030" t="s">
        <v>5269</v>
      </c>
      <c r="H317" s="888" t="s">
        <v>5219</v>
      </c>
      <c r="I317" s="1044" t="s">
        <v>5233</v>
      </c>
      <c r="J317" s="749" t="s">
        <v>3974</v>
      </c>
      <c r="K317" s="960" t="s">
        <v>4179</v>
      </c>
      <c r="L317" s="960"/>
      <c r="M317" s="749" t="s">
        <v>3974</v>
      </c>
      <c r="N317" s="749" t="s">
        <v>3974</v>
      </c>
      <c r="O317" s="893" t="s">
        <v>3974</v>
      </c>
      <c r="P317" s="893"/>
      <c r="Q317" s="749" t="s">
        <v>3974</v>
      </c>
      <c r="R317" s="749" t="s">
        <v>3974</v>
      </c>
      <c r="S317" s="941" t="s">
        <v>3974</v>
      </c>
      <c r="T317" s="749" t="s">
        <v>3974</v>
      </c>
      <c r="U317" s="749" t="s">
        <v>3974</v>
      </c>
      <c r="V317" s="749" t="s">
        <v>3975</v>
      </c>
      <c r="W317" s="749" t="s">
        <v>3975</v>
      </c>
      <c r="X317" s="1032" t="s">
        <v>3979</v>
      </c>
      <c r="Y317" s="749" t="s">
        <v>3980</v>
      </c>
      <c r="Z317" s="752" t="s">
        <v>5599</v>
      </c>
      <c r="AA317" s="752" t="s">
        <v>5606</v>
      </c>
    </row>
    <row r="318" spans="1:28" ht="14.25" customHeight="1">
      <c r="A318" s="888" t="s">
        <v>3496</v>
      </c>
      <c r="B318" s="947" t="s">
        <v>5607</v>
      </c>
      <c r="C318" s="1049" t="s">
        <v>5608</v>
      </c>
      <c r="D318" s="750" t="s">
        <v>5609</v>
      </c>
      <c r="E318" s="947">
        <v>3</v>
      </c>
      <c r="F318" s="888" t="s">
        <v>5610</v>
      </c>
      <c r="G318" s="1030" t="s">
        <v>5611</v>
      </c>
      <c r="H318" s="888" t="s">
        <v>5610</v>
      </c>
      <c r="I318" s="1044" t="s">
        <v>5233</v>
      </c>
      <c r="J318" s="749" t="s">
        <v>3974</v>
      </c>
      <c r="K318" s="960" t="s">
        <v>4179</v>
      </c>
      <c r="L318" s="960"/>
      <c r="M318" s="749" t="s">
        <v>3974</v>
      </c>
      <c r="N318" s="749" t="s">
        <v>3974</v>
      </c>
      <c r="O318" s="893" t="s">
        <v>3974</v>
      </c>
      <c r="P318" s="893"/>
      <c r="Q318" s="749" t="s">
        <v>3974</v>
      </c>
      <c r="R318" s="749" t="s">
        <v>3974</v>
      </c>
      <c r="S318" s="941" t="s">
        <v>3974</v>
      </c>
      <c r="T318" s="749" t="s">
        <v>3974</v>
      </c>
      <c r="U318" s="749" t="s">
        <v>3974</v>
      </c>
      <c r="V318" s="749" t="s">
        <v>3974</v>
      </c>
      <c r="W318" s="749" t="s">
        <v>3974</v>
      </c>
      <c r="X318" s="1032" t="s">
        <v>3979</v>
      </c>
      <c r="Y318" s="749" t="s">
        <v>3980</v>
      </c>
      <c r="Z318" s="752" t="s">
        <v>5612</v>
      </c>
      <c r="AA318" s="752" t="s">
        <v>5613</v>
      </c>
    </row>
    <row r="319" spans="1:28" s="9" customFormat="1" ht="15" customHeight="1">
      <c r="A319" s="1196"/>
      <c r="B319" s="1197" t="s">
        <v>3664</v>
      </c>
      <c r="C319" s="1114" t="s">
        <v>5614</v>
      </c>
      <c r="D319" s="1195" t="s">
        <v>5615</v>
      </c>
      <c r="E319" s="1198">
        <v>1</v>
      </c>
      <c r="F319" s="1186" t="s">
        <v>5219</v>
      </c>
      <c r="G319" s="1114" t="s">
        <v>5614</v>
      </c>
      <c r="H319" s="1199"/>
      <c r="I319" s="1058"/>
      <c r="J319" s="1023"/>
      <c r="K319" s="1023"/>
      <c r="L319" s="1023"/>
      <c r="M319" s="1023"/>
      <c r="N319" s="1023"/>
      <c r="O319" s="1041"/>
      <c r="P319" s="1041"/>
      <c r="Q319" s="1023"/>
      <c r="R319" s="1023"/>
      <c r="S319" s="1021"/>
      <c r="T319" s="1023"/>
      <c r="U319" s="1023"/>
      <c r="V319" s="1023"/>
      <c r="W319" s="1023"/>
      <c r="X319" s="1059"/>
      <c r="Y319" s="1023"/>
      <c r="Z319" s="698" t="s">
        <v>5616</v>
      </c>
      <c r="AA319" s="698" t="s">
        <v>5617</v>
      </c>
      <c r="AB319" s="319"/>
    </row>
    <row r="320" spans="1:28" s="9" customFormat="1" ht="15" customHeight="1">
      <c r="A320" s="1196"/>
      <c r="B320" s="1197" t="s">
        <v>3667</v>
      </c>
      <c r="C320" s="1114" t="s">
        <v>5618</v>
      </c>
      <c r="D320" s="1195" t="s">
        <v>5619</v>
      </c>
      <c r="E320" s="1198">
        <v>1</v>
      </c>
      <c r="F320" s="1186" t="s">
        <v>5219</v>
      </c>
      <c r="G320" s="1114" t="s">
        <v>5618</v>
      </c>
      <c r="H320" s="1199"/>
      <c r="I320" s="1058"/>
      <c r="J320" s="1023"/>
      <c r="K320" s="1023"/>
      <c r="L320" s="1023"/>
      <c r="M320" s="1023"/>
      <c r="N320" s="1023"/>
      <c r="O320" s="1041"/>
      <c r="P320" s="1041"/>
      <c r="Q320" s="1023"/>
      <c r="R320" s="1023"/>
      <c r="S320" s="1021"/>
      <c r="T320" s="1023"/>
      <c r="U320" s="1023"/>
      <c r="V320" s="1023"/>
      <c r="W320" s="1023"/>
      <c r="X320" s="1059"/>
      <c r="Y320" s="1023"/>
      <c r="Z320" s="698" t="s">
        <v>5616</v>
      </c>
      <c r="AA320" s="698" t="s">
        <v>5617</v>
      </c>
      <c r="AB320" s="319"/>
    </row>
    <row r="321" spans="1:28" s="9" customFormat="1" ht="14.25" customHeight="1">
      <c r="A321" s="1056" t="s">
        <v>5620</v>
      </c>
      <c r="B321" s="9" t="s">
        <v>904</v>
      </c>
      <c r="C321" s="1057" t="s">
        <v>5621</v>
      </c>
      <c r="D321" s="837" t="s">
        <v>5622</v>
      </c>
      <c r="E321" s="984">
        <v>2</v>
      </c>
      <c r="F321" s="984"/>
      <c r="G321" s="1024"/>
      <c r="H321" s="1023"/>
      <c r="I321" s="1058"/>
      <c r="J321" s="1023"/>
      <c r="K321" s="1023"/>
      <c r="L321" s="1023"/>
      <c r="M321" s="1023"/>
      <c r="N321" s="1023"/>
      <c r="O321" s="1041"/>
      <c r="P321" s="1041"/>
      <c r="Q321" s="1023"/>
      <c r="R321" s="1023"/>
      <c r="S321" s="1021"/>
      <c r="T321" s="1023"/>
      <c r="U321" s="1023"/>
      <c r="V321" s="1023"/>
      <c r="W321" s="1023"/>
      <c r="X321" s="1059"/>
      <c r="Y321" s="1023"/>
      <c r="Z321" s="1024"/>
      <c r="AA321" s="1024"/>
      <c r="AB321" s="319"/>
    </row>
    <row r="322" spans="1:28" s="9" customFormat="1" ht="14.25" customHeight="1">
      <c r="A322" s="1056" t="s">
        <v>5623</v>
      </c>
      <c r="B322" s="9" t="s">
        <v>904</v>
      </c>
      <c r="C322" s="1060" t="s">
        <v>5624</v>
      </c>
      <c r="D322" s="837" t="s">
        <v>5625</v>
      </c>
      <c r="E322" s="984"/>
      <c r="F322" s="984"/>
      <c r="G322" s="1024"/>
      <c r="H322" s="1023"/>
      <c r="I322" s="1058"/>
      <c r="J322" s="1023"/>
      <c r="K322" s="1023"/>
      <c r="L322" s="1023"/>
      <c r="M322" s="1023"/>
      <c r="N322" s="1023"/>
      <c r="O322" s="1041"/>
      <c r="P322" s="1041"/>
      <c r="Q322" s="1023"/>
      <c r="R322" s="1023"/>
      <c r="S322" s="1021"/>
      <c r="T322" s="1023"/>
      <c r="U322" s="1023"/>
      <c r="V322" s="1023"/>
      <c r="W322" s="1023"/>
      <c r="X322" s="1059"/>
      <c r="Y322" s="1023"/>
      <c r="Z322" s="1024"/>
      <c r="AA322" s="1024"/>
      <c r="AB322" s="319"/>
    </row>
    <row r="323" spans="1:28" s="9" customFormat="1" ht="14.25" customHeight="1">
      <c r="A323" s="1056" t="s">
        <v>5626</v>
      </c>
      <c r="B323" s="9" t="s">
        <v>904</v>
      </c>
      <c r="C323" s="1060" t="s">
        <v>5627</v>
      </c>
      <c r="D323" s="837" t="s">
        <v>5628</v>
      </c>
      <c r="E323" s="984"/>
      <c r="F323" s="984"/>
      <c r="G323" s="1024"/>
      <c r="H323" s="1023"/>
      <c r="I323" s="1058"/>
      <c r="J323" s="1023"/>
      <c r="K323" s="1023"/>
      <c r="L323" s="1023"/>
      <c r="M323" s="1023"/>
      <c r="N323" s="1023"/>
      <c r="O323" s="1041"/>
      <c r="P323" s="1041"/>
      <c r="Q323" s="1023"/>
      <c r="R323" s="1023"/>
      <c r="S323" s="1021"/>
      <c r="T323" s="1023"/>
      <c r="U323" s="1023"/>
      <c r="V323" s="1023"/>
      <c r="W323" s="1023"/>
      <c r="X323" s="1059"/>
      <c r="Y323" s="1023"/>
      <c r="Z323" s="1024"/>
      <c r="AA323" s="1024"/>
      <c r="AB323" s="319"/>
    </row>
    <row r="324" spans="1:28" s="9" customFormat="1" ht="14.25" customHeight="1">
      <c r="A324" s="1056" t="s">
        <v>5629</v>
      </c>
      <c r="B324" s="9" t="s">
        <v>904</v>
      </c>
      <c r="C324" s="1060" t="s">
        <v>5630</v>
      </c>
      <c r="D324" s="837" t="s">
        <v>5631</v>
      </c>
      <c r="E324" s="984"/>
      <c r="F324" s="984"/>
      <c r="G324" s="1024"/>
      <c r="H324" s="1023"/>
      <c r="I324" s="1058"/>
      <c r="J324" s="1023"/>
      <c r="K324" s="1023"/>
      <c r="L324" s="1023"/>
      <c r="M324" s="1023"/>
      <c r="N324" s="1023"/>
      <c r="O324" s="1041"/>
      <c r="P324" s="1041"/>
      <c r="Q324" s="1023"/>
      <c r="R324" s="1023"/>
      <c r="S324" s="1021"/>
      <c r="T324" s="1023"/>
      <c r="U324" s="1023"/>
      <c r="V324" s="1023"/>
      <c r="W324" s="1023"/>
      <c r="X324" s="1059"/>
      <c r="Y324" s="1023"/>
      <c r="Z324" s="1024"/>
      <c r="AA324" s="1024"/>
      <c r="AB324" s="319"/>
    </row>
    <row r="325" spans="1:28" s="9" customFormat="1" ht="14.25" customHeight="1">
      <c r="A325" s="1056" t="s">
        <v>5632</v>
      </c>
      <c r="B325" s="9" t="s">
        <v>904</v>
      </c>
      <c r="C325" s="1060" t="s">
        <v>5633</v>
      </c>
      <c r="D325" s="837" t="s">
        <v>5634</v>
      </c>
      <c r="E325" s="984"/>
      <c r="F325" s="984"/>
      <c r="G325" s="1024"/>
      <c r="H325" s="1023"/>
      <c r="I325" s="1058"/>
      <c r="J325" s="1023"/>
      <c r="K325" s="1023"/>
      <c r="L325" s="1023"/>
      <c r="M325" s="1023"/>
      <c r="N325" s="1023"/>
      <c r="O325" s="1041"/>
      <c r="P325" s="1041"/>
      <c r="Q325" s="1023"/>
      <c r="R325" s="1023"/>
      <c r="S325" s="1021"/>
      <c r="T325" s="1023"/>
      <c r="U325" s="1023"/>
      <c r="V325" s="1023"/>
      <c r="W325" s="1023"/>
      <c r="X325" s="1059"/>
      <c r="Y325" s="1023"/>
      <c r="Z325" s="1024"/>
      <c r="AA325" s="1024"/>
      <c r="AB325" s="319"/>
    </row>
    <row r="326" spans="1:28" ht="75.75" customHeight="1">
      <c r="A326" s="895" t="s">
        <v>5635</v>
      </c>
      <c r="B326" s="935" t="s">
        <v>5636</v>
      </c>
      <c r="C326" s="1061" t="s">
        <v>5637</v>
      </c>
      <c r="D326" s="750" t="s">
        <v>5638</v>
      </c>
      <c r="E326" s="925">
        <v>1</v>
      </c>
      <c r="F326" s="925" t="s">
        <v>5639</v>
      </c>
      <c r="G326" s="39" t="s">
        <v>5640</v>
      </c>
      <c r="H326" s="937" t="s">
        <v>5639</v>
      </c>
      <c r="I326" s="1062" t="s">
        <v>5641</v>
      </c>
      <c r="J326" s="939" t="s">
        <v>3972</v>
      </c>
      <c r="K326" s="939" t="s">
        <v>3973</v>
      </c>
      <c r="L326" s="939"/>
      <c r="M326" s="749" t="s">
        <v>3979</v>
      </c>
      <c r="N326" s="749" t="s">
        <v>3975</v>
      </c>
      <c r="O326" s="926" t="s">
        <v>3974</v>
      </c>
      <c r="P326" s="926"/>
      <c r="Q326" s="940">
        <v>1</v>
      </c>
      <c r="R326" s="940">
        <v>1</v>
      </c>
      <c r="S326" s="944" t="s">
        <v>3974</v>
      </c>
      <c r="T326" s="926" t="s">
        <v>3974</v>
      </c>
      <c r="U326" s="926" t="s">
        <v>3974</v>
      </c>
      <c r="V326" s="926" t="s">
        <v>3974</v>
      </c>
      <c r="W326" s="926" t="s">
        <v>3974</v>
      </c>
      <c r="X326" s="1032" t="s">
        <v>3979</v>
      </c>
      <c r="Y326" s="749" t="s">
        <v>3980</v>
      </c>
      <c r="Z326" s="1063" t="s">
        <v>5642</v>
      </c>
      <c r="AA326" s="1064" t="s">
        <v>5643</v>
      </c>
      <c r="AB326" s="312" t="s">
        <v>5644</v>
      </c>
    </row>
    <row r="327" spans="1:28" ht="77.25" customHeight="1">
      <c r="A327" s="895" t="s">
        <v>5645</v>
      </c>
      <c r="B327" s="935" t="s">
        <v>5646</v>
      </c>
      <c r="C327" s="1061" t="s">
        <v>5647</v>
      </c>
      <c r="D327" s="750" t="s">
        <v>5648</v>
      </c>
      <c r="E327" s="925">
        <v>1</v>
      </c>
      <c r="F327" s="310" t="s">
        <v>5649</v>
      </c>
      <c r="G327" s="39" t="s">
        <v>5650</v>
      </c>
      <c r="H327" s="39" t="s">
        <v>5649</v>
      </c>
      <c r="I327" s="1062" t="s">
        <v>5651</v>
      </c>
      <c r="J327" s="939" t="s">
        <v>3972</v>
      </c>
      <c r="K327" s="939" t="s">
        <v>3973</v>
      </c>
      <c r="L327" s="939"/>
      <c r="M327" s="749" t="s">
        <v>3979</v>
      </c>
      <c r="N327" s="749" t="s">
        <v>3975</v>
      </c>
      <c r="O327" s="926" t="s">
        <v>3974</v>
      </c>
      <c r="P327" s="926"/>
      <c r="Q327" s="940">
        <v>1</v>
      </c>
      <c r="R327" s="940">
        <v>1</v>
      </c>
      <c r="S327" s="944" t="s">
        <v>3974</v>
      </c>
      <c r="T327" s="926" t="s">
        <v>3974</v>
      </c>
      <c r="U327" s="926" t="s">
        <v>3974</v>
      </c>
      <c r="V327" s="926" t="s">
        <v>3974</v>
      </c>
      <c r="W327" s="926" t="s">
        <v>3974</v>
      </c>
      <c r="X327" s="1032" t="s">
        <v>3979</v>
      </c>
      <c r="Y327" s="749" t="s">
        <v>3980</v>
      </c>
      <c r="Z327" s="1063" t="s">
        <v>5652</v>
      </c>
      <c r="AA327" s="1064" t="s">
        <v>5653</v>
      </c>
      <c r="AB327" s="312" t="s">
        <v>5644</v>
      </c>
    </row>
    <row r="328" spans="1:28" ht="77.25" customHeight="1">
      <c r="A328" s="895" t="s">
        <v>5654</v>
      </c>
      <c r="B328" s="935" t="s">
        <v>5655</v>
      </c>
      <c r="C328" s="1061" t="s">
        <v>5656</v>
      </c>
      <c r="D328" s="750" t="s">
        <v>5657</v>
      </c>
      <c r="E328" s="925">
        <v>1</v>
      </c>
      <c r="F328" s="310" t="s">
        <v>5658</v>
      </c>
      <c r="G328" s="39" t="s">
        <v>5659</v>
      </c>
      <c r="H328" s="39" t="s">
        <v>5658</v>
      </c>
      <c r="I328" s="1062" t="s">
        <v>5651</v>
      </c>
      <c r="J328" s="939" t="s">
        <v>3972</v>
      </c>
      <c r="K328" s="939" t="s">
        <v>3973</v>
      </c>
      <c r="L328" s="939"/>
      <c r="M328" s="749" t="s">
        <v>3979</v>
      </c>
      <c r="N328" s="749" t="s">
        <v>3975</v>
      </c>
      <c r="O328" s="926" t="s">
        <v>3974</v>
      </c>
      <c r="P328" s="926"/>
      <c r="Q328" s="940">
        <v>1</v>
      </c>
      <c r="R328" s="940">
        <v>1</v>
      </c>
      <c r="S328" s="944" t="s">
        <v>3974</v>
      </c>
      <c r="T328" s="926" t="s">
        <v>3974</v>
      </c>
      <c r="U328" s="926" t="s">
        <v>3974</v>
      </c>
      <c r="V328" s="926" t="s">
        <v>3974</v>
      </c>
      <c r="W328" s="926" t="s">
        <v>3974</v>
      </c>
      <c r="X328" s="1032" t="s">
        <v>3979</v>
      </c>
      <c r="Y328" s="749" t="s">
        <v>3980</v>
      </c>
      <c r="Z328" s="1063" t="s">
        <v>5660</v>
      </c>
      <c r="AA328" s="1064" t="s">
        <v>5653</v>
      </c>
      <c r="AB328" s="312" t="s">
        <v>5644</v>
      </c>
    </row>
    <row r="329" spans="1:28" ht="77.25" customHeight="1">
      <c r="A329" s="895" t="s">
        <v>5661</v>
      </c>
      <c r="B329" s="935" t="s">
        <v>5662</v>
      </c>
      <c r="C329" s="1061" t="s">
        <v>5663</v>
      </c>
      <c r="D329" s="750" t="s">
        <v>5664</v>
      </c>
      <c r="E329" s="925">
        <v>1</v>
      </c>
      <c r="F329" s="310" t="s">
        <v>5665</v>
      </c>
      <c r="G329" s="39" t="s">
        <v>5666</v>
      </c>
      <c r="H329" s="39" t="s">
        <v>5665</v>
      </c>
      <c r="I329" s="1062" t="s">
        <v>5651</v>
      </c>
      <c r="J329" s="939" t="s">
        <v>3972</v>
      </c>
      <c r="K329" s="939" t="s">
        <v>3973</v>
      </c>
      <c r="L329" s="939"/>
      <c r="M329" s="749" t="s">
        <v>3979</v>
      </c>
      <c r="N329" s="749" t="s">
        <v>3975</v>
      </c>
      <c r="O329" s="926" t="s">
        <v>3974</v>
      </c>
      <c r="P329" s="926"/>
      <c r="Q329" s="940">
        <v>1</v>
      </c>
      <c r="R329" s="940">
        <v>1</v>
      </c>
      <c r="S329" s="944" t="s">
        <v>3974</v>
      </c>
      <c r="T329" s="926" t="s">
        <v>3974</v>
      </c>
      <c r="U329" s="926" t="s">
        <v>3974</v>
      </c>
      <c r="V329" s="926" t="s">
        <v>3974</v>
      </c>
      <c r="W329" s="926" t="s">
        <v>3974</v>
      </c>
      <c r="X329" s="1032" t="s">
        <v>3979</v>
      </c>
      <c r="Y329" s="749" t="s">
        <v>3980</v>
      </c>
      <c r="Z329" s="1063" t="s">
        <v>5667</v>
      </c>
      <c r="AA329" s="1064" t="s">
        <v>5653</v>
      </c>
      <c r="AB329" s="312" t="s">
        <v>5644</v>
      </c>
    </row>
    <row r="330" spans="1:28" ht="77.25" customHeight="1">
      <c r="A330" s="895" t="s">
        <v>5668</v>
      </c>
      <c r="B330" s="935" t="s">
        <v>5669</v>
      </c>
      <c r="C330" s="1061" t="s">
        <v>5670</v>
      </c>
      <c r="D330" s="750" t="s">
        <v>5671</v>
      </c>
      <c r="E330" s="925">
        <v>1</v>
      </c>
      <c r="F330" s="310" t="s">
        <v>5649</v>
      </c>
      <c r="G330" s="39" t="s">
        <v>5672</v>
      </c>
      <c r="H330" s="39" t="s">
        <v>5649</v>
      </c>
      <c r="I330" s="1062" t="s">
        <v>5651</v>
      </c>
      <c r="J330" s="939" t="s">
        <v>3972</v>
      </c>
      <c r="K330" s="939" t="s">
        <v>3973</v>
      </c>
      <c r="L330" s="939"/>
      <c r="M330" s="749" t="s">
        <v>3979</v>
      </c>
      <c r="N330" s="749" t="s">
        <v>3975</v>
      </c>
      <c r="O330" s="926" t="s">
        <v>3974</v>
      </c>
      <c r="P330" s="926"/>
      <c r="Q330" s="940">
        <v>1</v>
      </c>
      <c r="R330" s="940">
        <v>1</v>
      </c>
      <c r="S330" s="944" t="s">
        <v>3974</v>
      </c>
      <c r="T330" s="926" t="s">
        <v>3974</v>
      </c>
      <c r="U330" s="926" t="s">
        <v>3974</v>
      </c>
      <c r="V330" s="926" t="s">
        <v>3974</v>
      </c>
      <c r="W330" s="926" t="s">
        <v>3974</v>
      </c>
      <c r="X330" s="1032" t="s">
        <v>3979</v>
      </c>
      <c r="Y330" s="749" t="s">
        <v>3980</v>
      </c>
      <c r="Z330" s="1063" t="s">
        <v>5652</v>
      </c>
      <c r="AA330" s="1064" t="s">
        <v>5653</v>
      </c>
      <c r="AB330" s="312" t="s">
        <v>5644</v>
      </c>
    </row>
    <row r="331" spans="1:28" ht="77.25" customHeight="1">
      <c r="A331" s="895" t="s">
        <v>5673</v>
      </c>
      <c r="B331" s="935" t="s">
        <v>5674</v>
      </c>
      <c r="C331" s="1061" t="s">
        <v>5675</v>
      </c>
      <c r="D331" s="750" t="s">
        <v>5676</v>
      </c>
      <c r="E331" s="925">
        <v>1</v>
      </c>
      <c r="F331" s="310" t="s">
        <v>5658</v>
      </c>
      <c r="G331" s="39" t="s">
        <v>5659</v>
      </c>
      <c r="H331" s="39" t="s">
        <v>5658</v>
      </c>
      <c r="I331" s="1062" t="s">
        <v>5651</v>
      </c>
      <c r="J331" s="939" t="s">
        <v>3972</v>
      </c>
      <c r="K331" s="939" t="s">
        <v>3973</v>
      </c>
      <c r="L331" s="939"/>
      <c r="M331" s="749" t="s">
        <v>3979</v>
      </c>
      <c r="N331" s="749" t="s">
        <v>3975</v>
      </c>
      <c r="O331" s="926" t="s">
        <v>3974</v>
      </c>
      <c r="P331" s="926"/>
      <c r="Q331" s="940">
        <v>1</v>
      </c>
      <c r="R331" s="940">
        <v>1</v>
      </c>
      <c r="S331" s="944" t="s">
        <v>3974</v>
      </c>
      <c r="T331" s="926" t="s">
        <v>3974</v>
      </c>
      <c r="U331" s="926" t="s">
        <v>3974</v>
      </c>
      <c r="V331" s="926" t="s">
        <v>3974</v>
      </c>
      <c r="W331" s="926" t="s">
        <v>3974</v>
      </c>
      <c r="X331" s="1032" t="s">
        <v>3979</v>
      </c>
      <c r="Y331" s="749" t="s">
        <v>3980</v>
      </c>
      <c r="Z331" s="1063" t="s">
        <v>5660</v>
      </c>
      <c r="AA331" s="1064" t="s">
        <v>5653</v>
      </c>
      <c r="AB331" s="312" t="s">
        <v>5644</v>
      </c>
    </row>
    <row r="332" spans="1:28" ht="77.25" customHeight="1">
      <c r="A332" s="895" t="s">
        <v>5677</v>
      </c>
      <c r="B332" s="935" t="s">
        <v>5678</v>
      </c>
      <c r="C332" s="1061" t="s">
        <v>5679</v>
      </c>
      <c r="D332" s="750" t="s">
        <v>5680</v>
      </c>
      <c r="E332" s="925">
        <v>1</v>
      </c>
      <c r="F332" s="310" t="s">
        <v>5665</v>
      </c>
      <c r="G332" s="39" t="s">
        <v>5666</v>
      </c>
      <c r="H332" s="39" t="s">
        <v>5665</v>
      </c>
      <c r="I332" s="1062" t="s">
        <v>5651</v>
      </c>
      <c r="J332" s="939" t="s">
        <v>3972</v>
      </c>
      <c r="K332" s="939" t="s">
        <v>3973</v>
      </c>
      <c r="L332" s="939"/>
      <c r="M332" s="749" t="s">
        <v>3979</v>
      </c>
      <c r="N332" s="749" t="s">
        <v>3975</v>
      </c>
      <c r="O332" s="926" t="s">
        <v>3974</v>
      </c>
      <c r="P332" s="926"/>
      <c r="Q332" s="940">
        <v>1</v>
      </c>
      <c r="R332" s="940">
        <v>1</v>
      </c>
      <c r="S332" s="944" t="s">
        <v>3974</v>
      </c>
      <c r="T332" s="926" t="s">
        <v>3974</v>
      </c>
      <c r="U332" s="926" t="s">
        <v>3974</v>
      </c>
      <c r="V332" s="926" t="s">
        <v>3974</v>
      </c>
      <c r="W332" s="926" t="s">
        <v>3974</v>
      </c>
      <c r="X332" s="1032" t="s">
        <v>3979</v>
      </c>
      <c r="Y332" s="749" t="s">
        <v>3980</v>
      </c>
      <c r="Z332" s="1063" t="s">
        <v>5667</v>
      </c>
      <c r="AA332" s="1064" t="s">
        <v>5653</v>
      </c>
      <c r="AB332" s="312" t="s">
        <v>5644</v>
      </c>
    </row>
    <row r="333" spans="1:28" ht="75.75" customHeight="1">
      <c r="A333" s="895" t="s">
        <v>5681</v>
      </c>
      <c r="B333" s="935" t="s">
        <v>5682</v>
      </c>
      <c r="C333" s="1061" t="s">
        <v>5683</v>
      </c>
      <c r="D333" s="750" t="s">
        <v>5684</v>
      </c>
      <c r="E333" s="925">
        <v>1</v>
      </c>
      <c r="F333" s="310" t="s">
        <v>5685</v>
      </c>
      <c r="G333" s="1065" t="s">
        <v>5686</v>
      </c>
      <c r="H333" s="39" t="s">
        <v>5685</v>
      </c>
      <c r="I333" s="1065" t="s">
        <v>5687</v>
      </c>
      <c r="J333" s="939" t="s">
        <v>3972</v>
      </c>
      <c r="K333" s="939" t="s">
        <v>3973</v>
      </c>
      <c r="L333" s="939"/>
      <c r="M333" s="749" t="s">
        <v>3979</v>
      </c>
      <c r="N333" s="749" t="s">
        <v>3975</v>
      </c>
      <c r="O333" s="926" t="s">
        <v>3974</v>
      </c>
      <c r="P333" s="926"/>
      <c r="Q333" s="940">
        <v>1</v>
      </c>
      <c r="R333" s="940">
        <v>1</v>
      </c>
      <c r="S333" s="944" t="s">
        <v>3974</v>
      </c>
      <c r="T333" s="926" t="s">
        <v>3974</v>
      </c>
      <c r="U333" s="926" t="s">
        <v>3974</v>
      </c>
      <c r="V333" s="926" t="s">
        <v>3974</v>
      </c>
      <c r="W333" s="926" t="s">
        <v>3974</v>
      </c>
      <c r="X333" s="1032" t="s">
        <v>3979</v>
      </c>
      <c r="Y333" s="749" t="s">
        <v>3980</v>
      </c>
      <c r="Z333" s="1063" t="s">
        <v>5688</v>
      </c>
      <c r="AA333" s="1064" t="s">
        <v>5689</v>
      </c>
      <c r="AB333" s="312" t="s">
        <v>5644</v>
      </c>
    </row>
    <row r="334" spans="1:28" ht="75.75" customHeight="1">
      <c r="A334" s="895" t="s">
        <v>5690</v>
      </c>
      <c r="B334" s="935" t="s">
        <v>5691</v>
      </c>
      <c r="C334" s="1061" t="s">
        <v>5692</v>
      </c>
      <c r="D334" s="750" t="s">
        <v>5693</v>
      </c>
      <c r="E334" s="925">
        <v>1</v>
      </c>
      <c r="F334" s="310" t="s">
        <v>5685</v>
      </c>
      <c r="G334" s="1065" t="s">
        <v>5694</v>
      </c>
      <c r="H334" s="39" t="s">
        <v>5685</v>
      </c>
      <c r="I334" s="1065" t="s">
        <v>5695</v>
      </c>
      <c r="J334" s="939" t="s">
        <v>3972</v>
      </c>
      <c r="K334" s="939" t="s">
        <v>3973</v>
      </c>
      <c r="L334" s="939"/>
      <c r="M334" s="749" t="s">
        <v>3979</v>
      </c>
      <c r="N334" s="749" t="s">
        <v>3975</v>
      </c>
      <c r="O334" s="926" t="s">
        <v>3974</v>
      </c>
      <c r="P334" s="926"/>
      <c r="Q334" s="940">
        <v>1</v>
      </c>
      <c r="R334" s="940">
        <v>1</v>
      </c>
      <c r="S334" s="944" t="s">
        <v>3974</v>
      </c>
      <c r="T334" s="926" t="s">
        <v>3974</v>
      </c>
      <c r="U334" s="926" t="s">
        <v>3974</v>
      </c>
      <c r="V334" s="926" t="s">
        <v>3974</v>
      </c>
      <c r="W334" s="926" t="s">
        <v>3974</v>
      </c>
      <c r="X334" s="1032" t="s">
        <v>3979</v>
      </c>
      <c r="Y334" s="749" t="s">
        <v>3980</v>
      </c>
      <c r="Z334" s="1063" t="s">
        <v>5696</v>
      </c>
      <c r="AA334" s="1064" t="s">
        <v>5689</v>
      </c>
      <c r="AB334" s="312" t="s">
        <v>5644</v>
      </c>
    </row>
    <row r="335" spans="1:28" ht="75.75" customHeight="1">
      <c r="A335" s="895" t="s">
        <v>5697</v>
      </c>
      <c r="B335" s="935" t="s">
        <v>5698</v>
      </c>
      <c r="C335" s="1061" t="s">
        <v>5699</v>
      </c>
      <c r="D335" s="750" t="s">
        <v>5700</v>
      </c>
      <c r="E335" s="925">
        <v>1</v>
      </c>
      <c r="F335" s="310" t="s">
        <v>5685</v>
      </c>
      <c r="G335" s="1065" t="s">
        <v>5701</v>
      </c>
      <c r="H335" s="39" t="s">
        <v>5685</v>
      </c>
      <c r="I335" s="1065" t="s">
        <v>5702</v>
      </c>
      <c r="J335" s="939" t="s">
        <v>3972</v>
      </c>
      <c r="K335" s="939" t="s">
        <v>3973</v>
      </c>
      <c r="L335" s="939"/>
      <c r="M335" s="749" t="s">
        <v>3979</v>
      </c>
      <c r="N335" s="749" t="s">
        <v>3975</v>
      </c>
      <c r="O335" s="926" t="s">
        <v>3974</v>
      </c>
      <c r="P335" s="926"/>
      <c r="Q335" s="940">
        <v>1</v>
      </c>
      <c r="R335" s="940">
        <v>1</v>
      </c>
      <c r="S335" s="944" t="s">
        <v>3974</v>
      </c>
      <c r="T335" s="926" t="s">
        <v>3974</v>
      </c>
      <c r="U335" s="926" t="s">
        <v>3974</v>
      </c>
      <c r="V335" s="926" t="s">
        <v>3974</v>
      </c>
      <c r="W335" s="926" t="s">
        <v>3974</v>
      </c>
      <c r="X335" s="1032" t="s">
        <v>3979</v>
      </c>
      <c r="Y335" s="749" t="s">
        <v>3980</v>
      </c>
      <c r="Z335" s="1063" t="s">
        <v>5696</v>
      </c>
      <c r="AA335" s="1064" t="s">
        <v>5703</v>
      </c>
      <c r="AB335" s="312" t="s">
        <v>5644</v>
      </c>
    </row>
    <row r="336" spans="1:28" ht="75.75" customHeight="1">
      <c r="A336" s="895" t="s">
        <v>5704</v>
      </c>
      <c r="B336" s="935" t="s">
        <v>5705</v>
      </c>
      <c r="C336" s="1061" t="s">
        <v>5706</v>
      </c>
      <c r="D336" s="750" t="s">
        <v>5707</v>
      </c>
      <c r="E336" s="925">
        <v>1</v>
      </c>
      <c r="F336" s="310" t="s">
        <v>5685</v>
      </c>
      <c r="G336" s="1065" t="s">
        <v>5708</v>
      </c>
      <c r="H336" s="39" t="s">
        <v>5685</v>
      </c>
      <c r="I336" s="1065" t="s">
        <v>5709</v>
      </c>
      <c r="J336" s="939" t="s">
        <v>3972</v>
      </c>
      <c r="K336" s="939" t="s">
        <v>3973</v>
      </c>
      <c r="L336" s="939"/>
      <c r="M336" s="749" t="s">
        <v>3979</v>
      </c>
      <c r="N336" s="749" t="s">
        <v>3975</v>
      </c>
      <c r="O336" s="926" t="s">
        <v>3974</v>
      </c>
      <c r="P336" s="926"/>
      <c r="Q336" s="940">
        <v>1</v>
      </c>
      <c r="R336" s="940">
        <v>1</v>
      </c>
      <c r="S336" s="944" t="s">
        <v>3974</v>
      </c>
      <c r="T336" s="926" t="s">
        <v>3974</v>
      </c>
      <c r="U336" s="926" t="s">
        <v>3974</v>
      </c>
      <c r="V336" s="926" t="s">
        <v>3974</v>
      </c>
      <c r="W336" s="926" t="s">
        <v>3974</v>
      </c>
      <c r="X336" s="1032" t="s">
        <v>3979</v>
      </c>
      <c r="Y336" s="749" t="s">
        <v>3980</v>
      </c>
      <c r="Z336" s="1063" t="s">
        <v>5696</v>
      </c>
      <c r="AA336" s="1064" t="s">
        <v>5703</v>
      </c>
      <c r="AB336" s="312" t="s">
        <v>5644</v>
      </c>
    </row>
    <row r="337" spans="1:28" ht="81.75" customHeight="1">
      <c r="A337" s="895" t="s">
        <v>5710</v>
      </c>
      <c r="B337" s="935" t="s">
        <v>5711</v>
      </c>
      <c r="C337" s="1061" t="s">
        <v>5712</v>
      </c>
      <c r="D337" s="750" t="s">
        <v>5713</v>
      </c>
      <c r="E337" s="925">
        <v>1</v>
      </c>
      <c r="F337" s="1066" t="s">
        <v>5714</v>
      </c>
      <c r="G337" s="1065" t="s">
        <v>5715</v>
      </c>
      <c r="H337" s="1067" t="s">
        <v>5714</v>
      </c>
      <c r="I337" s="1064" t="s">
        <v>5716</v>
      </c>
      <c r="J337" s="939" t="s">
        <v>3972</v>
      </c>
      <c r="K337" s="939" t="s">
        <v>3973</v>
      </c>
      <c r="L337" s="939"/>
      <c r="M337" s="749" t="s">
        <v>3979</v>
      </c>
      <c r="N337" s="749" t="s">
        <v>3975</v>
      </c>
      <c r="O337" s="926" t="s">
        <v>3974</v>
      </c>
      <c r="P337" s="926"/>
      <c r="Q337" s="940">
        <v>1</v>
      </c>
      <c r="R337" s="940">
        <v>1</v>
      </c>
      <c r="S337" s="944" t="s">
        <v>3974</v>
      </c>
      <c r="T337" s="926" t="s">
        <v>3974</v>
      </c>
      <c r="U337" s="926" t="s">
        <v>3974</v>
      </c>
      <c r="V337" s="926" t="s">
        <v>3974</v>
      </c>
      <c r="W337" s="926" t="s">
        <v>3974</v>
      </c>
      <c r="X337" s="1032" t="s">
        <v>3979</v>
      </c>
      <c r="Y337" s="749" t="s">
        <v>3980</v>
      </c>
      <c r="Z337" s="3253" t="s">
        <v>5717</v>
      </c>
      <c r="AA337" s="1064" t="s">
        <v>5718</v>
      </c>
      <c r="AB337" s="312" t="s">
        <v>5644</v>
      </c>
    </row>
    <row r="338" spans="1:28" ht="84.75" customHeight="1">
      <c r="A338" s="895" t="s">
        <v>5719</v>
      </c>
      <c r="B338" s="935" t="s">
        <v>5720</v>
      </c>
      <c r="C338" s="1061" t="s">
        <v>5721</v>
      </c>
      <c r="D338" s="750" t="s">
        <v>5722</v>
      </c>
      <c r="E338" s="925">
        <v>1</v>
      </c>
      <c r="F338" s="1068" t="s">
        <v>5723</v>
      </c>
      <c r="G338" s="1069" t="s">
        <v>5724</v>
      </c>
      <c r="H338" s="1070" t="s">
        <v>5723</v>
      </c>
      <c r="I338" s="1069" t="s">
        <v>5725</v>
      </c>
      <c r="J338" s="939" t="s">
        <v>3972</v>
      </c>
      <c r="K338" s="939" t="s">
        <v>3973</v>
      </c>
      <c r="L338" s="939"/>
      <c r="M338" s="749" t="s">
        <v>3979</v>
      </c>
      <c r="N338" s="749" t="s">
        <v>3975</v>
      </c>
      <c r="O338" s="926" t="s">
        <v>3974</v>
      </c>
      <c r="P338" s="926"/>
      <c r="Q338" s="940">
        <v>1</v>
      </c>
      <c r="R338" s="940">
        <v>1</v>
      </c>
      <c r="S338" s="944" t="s">
        <v>3974</v>
      </c>
      <c r="T338" s="926" t="s">
        <v>3974</v>
      </c>
      <c r="U338" s="926" t="s">
        <v>3974</v>
      </c>
      <c r="V338" s="926" t="s">
        <v>3974</v>
      </c>
      <c r="W338" s="926" t="s">
        <v>3974</v>
      </c>
      <c r="X338" s="1032" t="s">
        <v>3979</v>
      </c>
      <c r="Y338" s="749" t="s">
        <v>3980</v>
      </c>
      <c r="Z338" s="1071" t="s">
        <v>5726</v>
      </c>
      <c r="AA338" s="3254" t="s">
        <v>5727</v>
      </c>
      <c r="AB338" s="312" t="s">
        <v>5644</v>
      </c>
    </row>
    <row r="339" spans="1:28" ht="75.75" customHeight="1">
      <c r="A339" s="895" t="s">
        <v>5728</v>
      </c>
      <c r="B339" s="935" t="s">
        <v>5729</v>
      </c>
      <c r="C339" s="1061" t="s">
        <v>5730</v>
      </c>
      <c r="D339" s="750" t="s">
        <v>5731</v>
      </c>
      <c r="E339" s="925">
        <v>1</v>
      </c>
      <c r="F339" s="3255" t="s">
        <v>5732</v>
      </c>
      <c r="G339" s="1069" t="s">
        <v>5733</v>
      </c>
      <c r="H339" s="3256" t="s">
        <v>5732</v>
      </c>
      <c r="I339" s="1069" t="s">
        <v>5734</v>
      </c>
      <c r="J339" s="939" t="s">
        <v>3972</v>
      </c>
      <c r="K339" s="939" t="s">
        <v>3973</v>
      </c>
      <c r="L339" s="939"/>
      <c r="M339" s="749" t="s">
        <v>3979</v>
      </c>
      <c r="N339" s="749" t="s">
        <v>3975</v>
      </c>
      <c r="O339" s="926" t="s">
        <v>3974</v>
      </c>
      <c r="P339" s="926"/>
      <c r="Q339" s="940">
        <v>1</v>
      </c>
      <c r="R339" s="940">
        <v>1</v>
      </c>
      <c r="S339" s="944" t="s">
        <v>3974</v>
      </c>
      <c r="T339" s="926" t="s">
        <v>3974</v>
      </c>
      <c r="U339" s="926" t="s">
        <v>3974</v>
      </c>
      <c r="V339" s="926" t="s">
        <v>3974</v>
      </c>
      <c r="W339" s="926" t="s">
        <v>3974</v>
      </c>
      <c r="X339" s="1032" t="s">
        <v>3979</v>
      </c>
      <c r="Y339" s="749" t="s">
        <v>3980</v>
      </c>
      <c r="Z339" s="3257" t="s">
        <v>5735</v>
      </c>
      <c r="AA339" s="1074" t="s">
        <v>5736</v>
      </c>
      <c r="AB339" s="312" t="s">
        <v>5644</v>
      </c>
    </row>
    <row r="340" spans="1:28" ht="84.75" customHeight="1">
      <c r="A340" s="895" t="s">
        <v>5737</v>
      </c>
      <c r="B340" s="935" t="s">
        <v>5738</v>
      </c>
      <c r="C340" s="1061" t="s">
        <v>5739</v>
      </c>
      <c r="D340" s="750" t="s">
        <v>5740</v>
      </c>
      <c r="E340" s="925">
        <v>1</v>
      </c>
      <c r="F340" s="1068" t="s">
        <v>5723</v>
      </c>
      <c r="G340" s="1069" t="s">
        <v>5741</v>
      </c>
      <c r="H340" s="1070" t="s">
        <v>5723</v>
      </c>
      <c r="I340" s="1069" t="s">
        <v>5742</v>
      </c>
      <c r="J340" s="939" t="s">
        <v>3972</v>
      </c>
      <c r="K340" s="939" t="s">
        <v>3973</v>
      </c>
      <c r="L340" s="939"/>
      <c r="M340" s="749" t="s">
        <v>3979</v>
      </c>
      <c r="N340" s="749" t="s">
        <v>3975</v>
      </c>
      <c r="O340" s="926" t="s">
        <v>3974</v>
      </c>
      <c r="P340" s="926"/>
      <c r="Q340" s="940">
        <v>1</v>
      </c>
      <c r="R340" s="940">
        <v>1</v>
      </c>
      <c r="S340" s="944" t="s">
        <v>3974</v>
      </c>
      <c r="T340" s="926" t="s">
        <v>3974</v>
      </c>
      <c r="U340" s="926" t="s">
        <v>3974</v>
      </c>
      <c r="V340" s="926" t="s">
        <v>3974</v>
      </c>
      <c r="W340" s="926" t="s">
        <v>3974</v>
      </c>
      <c r="X340" s="1032" t="s">
        <v>3979</v>
      </c>
      <c r="Y340" s="749" t="s">
        <v>3980</v>
      </c>
      <c r="Z340" s="1071" t="s">
        <v>5726</v>
      </c>
      <c r="AA340" s="3258" t="s">
        <v>5727</v>
      </c>
      <c r="AB340" s="312" t="s">
        <v>5644</v>
      </c>
    </row>
    <row r="341" spans="1:28" ht="75.75" customHeight="1">
      <c r="A341" s="895" t="s">
        <v>5743</v>
      </c>
      <c r="B341" s="935" t="s">
        <v>5744</v>
      </c>
      <c r="C341" s="1061" t="s">
        <v>5745</v>
      </c>
      <c r="D341" s="750" t="s">
        <v>5746</v>
      </c>
      <c r="E341" s="925">
        <v>1</v>
      </c>
      <c r="F341" s="3259" t="s">
        <v>5732</v>
      </c>
      <c r="G341" s="1069" t="s">
        <v>5747</v>
      </c>
      <c r="H341" s="3260" t="s">
        <v>5732</v>
      </c>
      <c r="I341" s="3261" t="s">
        <v>5748</v>
      </c>
      <c r="J341" s="939" t="s">
        <v>3972</v>
      </c>
      <c r="K341" s="939" t="s">
        <v>3973</v>
      </c>
      <c r="L341" s="939"/>
      <c r="M341" s="749" t="s">
        <v>3979</v>
      </c>
      <c r="N341" s="749" t="s">
        <v>3975</v>
      </c>
      <c r="O341" s="926" t="s">
        <v>3974</v>
      </c>
      <c r="P341" s="926"/>
      <c r="Q341" s="940">
        <v>1</v>
      </c>
      <c r="R341" s="940">
        <v>1</v>
      </c>
      <c r="S341" s="944" t="s">
        <v>3974</v>
      </c>
      <c r="T341" s="926" t="s">
        <v>3974</v>
      </c>
      <c r="U341" s="926" t="s">
        <v>3974</v>
      </c>
      <c r="V341" s="926" t="s">
        <v>3974</v>
      </c>
      <c r="W341" s="926" t="s">
        <v>3974</v>
      </c>
      <c r="X341" s="1032" t="s">
        <v>3979</v>
      </c>
      <c r="Y341" s="749" t="s">
        <v>3980</v>
      </c>
      <c r="Z341" s="3262" t="s">
        <v>5735</v>
      </c>
      <c r="AA341" s="1074" t="s">
        <v>5736</v>
      </c>
      <c r="AB341" s="312" t="s">
        <v>5644</v>
      </c>
    </row>
    <row r="342" spans="1:28" ht="75.75" customHeight="1">
      <c r="A342" s="895" t="s">
        <v>5749</v>
      </c>
      <c r="B342" s="935" t="s">
        <v>5750</v>
      </c>
      <c r="C342" s="1061" t="s">
        <v>5751</v>
      </c>
      <c r="D342" s="750" t="s">
        <v>5752</v>
      </c>
      <c r="E342" s="925">
        <v>1</v>
      </c>
      <c r="F342" s="1068" t="s">
        <v>5753</v>
      </c>
      <c r="G342" s="1069" t="s">
        <v>5754</v>
      </c>
      <c r="H342" s="1070" t="s">
        <v>5753</v>
      </c>
      <c r="I342" s="1075" t="s">
        <v>5755</v>
      </c>
      <c r="J342" s="939" t="s">
        <v>3972</v>
      </c>
      <c r="K342" s="939" t="s">
        <v>3973</v>
      </c>
      <c r="L342" s="939"/>
      <c r="M342" s="749" t="s">
        <v>3979</v>
      </c>
      <c r="N342" s="749" t="s">
        <v>3975</v>
      </c>
      <c r="O342" s="926" t="s">
        <v>3974</v>
      </c>
      <c r="P342" s="926"/>
      <c r="Q342" s="940">
        <v>1</v>
      </c>
      <c r="R342" s="940">
        <v>1</v>
      </c>
      <c r="S342" s="944" t="s">
        <v>3974</v>
      </c>
      <c r="T342" s="926" t="s">
        <v>3974</v>
      </c>
      <c r="U342" s="926" t="s">
        <v>3974</v>
      </c>
      <c r="V342" s="926" t="s">
        <v>3974</v>
      </c>
      <c r="W342" s="926" t="s">
        <v>3974</v>
      </c>
      <c r="X342" s="1032" t="s">
        <v>3979</v>
      </c>
      <c r="Y342" s="749" t="s">
        <v>3980</v>
      </c>
      <c r="Z342" s="1071" t="s">
        <v>5756</v>
      </c>
      <c r="AA342" s="1074" t="s">
        <v>5757</v>
      </c>
      <c r="AB342" s="312" t="s">
        <v>5644</v>
      </c>
    </row>
    <row r="343" spans="1:28" ht="75.75" customHeight="1">
      <c r="A343" s="895" t="s">
        <v>5758</v>
      </c>
      <c r="B343" s="935" t="s">
        <v>5759</v>
      </c>
      <c r="C343" s="1061" t="s">
        <v>5760</v>
      </c>
      <c r="D343" s="750" t="s">
        <v>5761</v>
      </c>
      <c r="E343" s="925">
        <v>1</v>
      </c>
      <c r="F343" s="1068" t="s">
        <v>5753</v>
      </c>
      <c r="G343" s="1069" t="s">
        <v>5762</v>
      </c>
      <c r="H343" s="1070" t="s">
        <v>5753</v>
      </c>
      <c r="I343" s="1075" t="s">
        <v>5755</v>
      </c>
      <c r="J343" s="939" t="s">
        <v>3972</v>
      </c>
      <c r="K343" s="939" t="s">
        <v>3973</v>
      </c>
      <c r="L343" s="939"/>
      <c r="M343" s="749" t="s">
        <v>3979</v>
      </c>
      <c r="N343" s="749" t="s">
        <v>3975</v>
      </c>
      <c r="O343" s="926" t="s">
        <v>3974</v>
      </c>
      <c r="P343" s="926"/>
      <c r="Q343" s="940">
        <v>1</v>
      </c>
      <c r="R343" s="940">
        <v>1</v>
      </c>
      <c r="S343" s="944" t="s">
        <v>3974</v>
      </c>
      <c r="T343" s="926" t="s">
        <v>3974</v>
      </c>
      <c r="U343" s="926" t="s">
        <v>3974</v>
      </c>
      <c r="V343" s="926" t="s">
        <v>3974</v>
      </c>
      <c r="W343" s="926" t="s">
        <v>3974</v>
      </c>
      <c r="X343" s="1032" t="s">
        <v>3979</v>
      </c>
      <c r="Y343" s="749" t="s">
        <v>3980</v>
      </c>
      <c r="Z343" s="1071" t="s">
        <v>5756</v>
      </c>
      <c r="AA343" s="1074" t="s">
        <v>5757</v>
      </c>
      <c r="AB343" s="312" t="s">
        <v>5644</v>
      </c>
    </row>
    <row r="344" spans="1:28" ht="75.75" customHeight="1">
      <c r="A344" s="895" t="s">
        <v>5763</v>
      </c>
      <c r="B344" s="935" t="s">
        <v>5764</v>
      </c>
      <c r="C344" s="1061" t="s">
        <v>5765</v>
      </c>
      <c r="D344" s="750" t="s">
        <v>5766</v>
      </c>
      <c r="E344" s="925">
        <v>1</v>
      </c>
      <c r="F344" s="1068" t="s">
        <v>5767</v>
      </c>
      <c r="G344" s="1069" t="s">
        <v>5768</v>
      </c>
      <c r="H344" s="1070" t="s">
        <v>5767</v>
      </c>
      <c r="I344" s="1075" t="s">
        <v>5755</v>
      </c>
      <c r="J344" s="939" t="s">
        <v>3972</v>
      </c>
      <c r="K344" s="939" t="s">
        <v>3973</v>
      </c>
      <c r="L344" s="939"/>
      <c r="M344" s="749" t="s">
        <v>3979</v>
      </c>
      <c r="N344" s="749" t="s">
        <v>3975</v>
      </c>
      <c r="O344" s="926" t="s">
        <v>3974</v>
      </c>
      <c r="P344" s="926"/>
      <c r="Q344" s="940">
        <v>1</v>
      </c>
      <c r="R344" s="940">
        <v>1</v>
      </c>
      <c r="S344" s="944" t="s">
        <v>3974</v>
      </c>
      <c r="T344" s="926" t="s">
        <v>3974</v>
      </c>
      <c r="U344" s="926" t="s">
        <v>3974</v>
      </c>
      <c r="V344" s="926" t="s">
        <v>3974</v>
      </c>
      <c r="W344" s="926" t="s">
        <v>3974</v>
      </c>
      <c r="X344" s="1032" t="s">
        <v>3979</v>
      </c>
      <c r="Y344" s="749" t="s">
        <v>3980</v>
      </c>
      <c r="Z344" s="1071" t="s">
        <v>5756</v>
      </c>
      <c r="AA344" s="1074" t="s">
        <v>5757</v>
      </c>
      <c r="AB344" s="312" t="s">
        <v>5644</v>
      </c>
    </row>
    <row r="345" spans="1:28" ht="75.75" customHeight="1">
      <c r="A345" s="895" t="s">
        <v>5769</v>
      </c>
      <c r="B345" s="935" t="s">
        <v>5770</v>
      </c>
      <c r="C345" s="1061" t="s">
        <v>5771</v>
      </c>
      <c r="D345" s="750" t="s">
        <v>5772</v>
      </c>
      <c r="E345" s="925">
        <v>1</v>
      </c>
      <c r="F345" s="1068" t="s">
        <v>5767</v>
      </c>
      <c r="G345" s="1069" t="s">
        <v>5773</v>
      </c>
      <c r="H345" s="1070" t="s">
        <v>5767</v>
      </c>
      <c r="I345" s="1075" t="s">
        <v>5755</v>
      </c>
      <c r="J345" s="939" t="s">
        <v>3972</v>
      </c>
      <c r="K345" s="939" t="s">
        <v>3973</v>
      </c>
      <c r="L345" s="939"/>
      <c r="M345" s="749" t="s">
        <v>3979</v>
      </c>
      <c r="N345" s="749" t="s">
        <v>3975</v>
      </c>
      <c r="O345" s="926" t="s">
        <v>3974</v>
      </c>
      <c r="P345" s="926"/>
      <c r="Q345" s="940">
        <v>1</v>
      </c>
      <c r="R345" s="940">
        <v>1</v>
      </c>
      <c r="S345" s="944" t="s">
        <v>3974</v>
      </c>
      <c r="T345" s="926" t="s">
        <v>3974</v>
      </c>
      <c r="U345" s="926" t="s">
        <v>3974</v>
      </c>
      <c r="V345" s="926" t="s">
        <v>3974</v>
      </c>
      <c r="W345" s="926" t="s">
        <v>3974</v>
      </c>
      <c r="X345" s="1032" t="s">
        <v>3979</v>
      </c>
      <c r="Y345" s="749" t="s">
        <v>3980</v>
      </c>
      <c r="Z345" s="1071" t="s">
        <v>5756</v>
      </c>
      <c r="AA345" s="1074" t="s">
        <v>5757</v>
      </c>
      <c r="AB345" s="312" t="s">
        <v>5644</v>
      </c>
    </row>
    <row r="346" spans="1:28" ht="75.75" customHeight="1">
      <c r="A346" s="895" t="s">
        <v>5774</v>
      </c>
      <c r="B346" s="935" t="s">
        <v>5775</v>
      </c>
      <c r="C346" s="1061" t="s">
        <v>5776</v>
      </c>
      <c r="D346" s="750" t="s">
        <v>5777</v>
      </c>
      <c r="E346" s="925">
        <v>1</v>
      </c>
      <c r="F346" s="1076" t="s">
        <v>5778</v>
      </c>
      <c r="G346" s="1077" t="s">
        <v>5779</v>
      </c>
      <c r="H346" s="1077" t="s">
        <v>5778</v>
      </c>
      <c r="I346" s="1075" t="s">
        <v>5755</v>
      </c>
      <c r="J346" s="939" t="s">
        <v>3972</v>
      </c>
      <c r="K346" s="939" t="s">
        <v>3973</v>
      </c>
      <c r="L346" s="939"/>
      <c r="M346" s="749" t="s">
        <v>3979</v>
      </c>
      <c r="N346" s="749" t="s">
        <v>3975</v>
      </c>
      <c r="O346" s="926" t="s">
        <v>3974</v>
      </c>
      <c r="P346" s="926"/>
      <c r="Q346" s="940">
        <v>1</v>
      </c>
      <c r="R346" s="940">
        <v>1</v>
      </c>
      <c r="S346" s="944" t="s">
        <v>3974</v>
      </c>
      <c r="T346" s="926" t="s">
        <v>3974</v>
      </c>
      <c r="U346" s="926" t="s">
        <v>3974</v>
      </c>
      <c r="V346" s="926" t="s">
        <v>3974</v>
      </c>
      <c r="W346" s="926" t="s">
        <v>3974</v>
      </c>
      <c r="X346" s="1032" t="s">
        <v>3979</v>
      </c>
      <c r="Y346" s="749" t="s">
        <v>3980</v>
      </c>
      <c r="Z346" s="1078" t="s">
        <v>5780</v>
      </c>
      <c r="AA346" s="1079" t="s">
        <v>5781</v>
      </c>
      <c r="AB346" s="312" t="s">
        <v>5644</v>
      </c>
    </row>
    <row r="347" spans="1:28" ht="75.75" customHeight="1">
      <c r="A347" s="895" t="s">
        <v>5782</v>
      </c>
      <c r="B347" s="935" t="s">
        <v>5783</v>
      </c>
      <c r="C347" s="1061" t="s">
        <v>5784</v>
      </c>
      <c r="D347" s="750" t="s">
        <v>5785</v>
      </c>
      <c r="E347" s="925">
        <v>1</v>
      </c>
      <c r="F347" s="1076" t="s">
        <v>5778</v>
      </c>
      <c r="G347" s="1077" t="s">
        <v>5779</v>
      </c>
      <c r="H347" s="1077" t="s">
        <v>5778</v>
      </c>
      <c r="I347" s="1075" t="s">
        <v>5755</v>
      </c>
      <c r="J347" s="939" t="s">
        <v>3972</v>
      </c>
      <c r="K347" s="939" t="s">
        <v>3973</v>
      </c>
      <c r="L347" s="939"/>
      <c r="M347" s="749" t="s">
        <v>3979</v>
      </c>
      <c r="N347" s="749" t="s">
        <v>3975</v>
      </c>
      <c r="O347" s="926" t="s">
        <v>3974</v>
      </c>
      <c r="P347" s="926"/>
      <c r="Q347" s="940">
        <v>1</v>
      </c>
      <c r="R347" s="940">
        <v>1</v>
      </c>
      <c r="S347" s="944" t="s">
        <v>3974</v>
      </c>
      <c r="T347" s="926" t="s">
        <v>3974</v>
      </c>
      <c r="U347" s="926" t="s">
        <v>3974</v>
      </c>
      <c r="V347" s="926" t="s">
        <v>3974</v>
      </c>
      <c r="W347" s="926" t="s">
        <v>3974</v>
      </c>
      <c r="X347" s="1032" t="s">
        <v>3979</v>
      </c>
      <c r="Y347" s="749" t="s">
        <v>3980</v>
      </c>
      <c r="Z347" s="1078" t="s">
        <v>5780</v>
      </c>
      <c r="AA347" s="1079" t="s">
        <v>5781</v>
      </c>
      <c r="AB347" s="312" t="s">
        <v>5644</v>
      </c>
    </row>
    <row r="348" spans="1:28" ht="75.75" customHeight="1">
      <c r="A348" s="895" t="s">
        <v>5786</v>
      </c>
      <c r="B348" s="935" t="s">
        <v>5787</v>
      </c>
      <c r="C348" s="1061" t="s">
        <v>5788</v>
      </c>
      <c r="D348" s="750" t="s">
        <v>5789</v>
      </c>
      <c r="E348" s="925">
        <v>1</v>
      </c>
      <c r="F348" s="1080" t="s">
        <v>5790</v>
      </c>
      <c r="G348" s="1081" t="s">
        <v>5791</v>
      </c>
      <c r="H348" s="1081" t="s">
        <v>5790</v>
      </c>
      <c r="I348" s="1075" t="s">
        <v>5755</v>
      </c>
      <c r="J348" s="939" t="s">
        <v>3972</v>
      </c>
      <c r="K348" s="939" t="s">
        <v>3973</v>
      </c>
      <c r="L348" s="939"/>
      <c r="M348" s="749" t="s">
        <v>3979</v>
      </c>
      <c r="N348" s="749" t="s">
        <v>3975</v>
      </c>
      <c r="O348" s="926" t="s">
        <v>3974</v>
      </c>
      <c r="P348" s="926"/>
      <c r="Q348" s="940">
        <v>1</v>
      </c>
      <c r="R348" s="940">
        <v>1</v>
      </c>
      <c r="S348" s="944" t="s">
        <v>3974</v>
      </c>
      <c r="T348" s="926" t="s">
        <v>3974</v>
      </c>
      <c r="U348" s="926" t="s">
        <v>3974</v>
      </c>
      <c r="V348" s="926" t="s">
        <v>3974</v>
      </c>
      <c r="W348" s="926" t="s">
        <v>3974</v>
      </c>
      <c r="X348" s="1032" t="s">
        <v>3979</v>
      </c>
      <c r="Y348" s="749" t="s">
        <v>3980</v>
      </c>
      <c r="Z348" s="1078" t="s">
        <v>5792</v>
      </c>
      <c r="AA348" s="1077" t="s">
        <v>5793</v>
      </c>
      <c r="AB348" s="312" t="s">
        <v>5644</v>
      </c>
    </row>
    <row r="349" spans="1:28" ht="75.75" customHeight="1">
      <c r="A349" s="895" t="s">
        <v>5794</v>
      </c>
      <c r="B349" s="935" t="s">
        <v>5795</v>
      </c>
      <c r="C349" s="1061" t="s">
        <v>5796</v>
      </c>
      <c r="D349" s="750" t="s">
        <v>5797</v>
      </c>
      <c r="E349" s="925">
        <v>1</v>
      </c>
      <c r="F349" s="1080" t="s">
        <v>5790</v>
      </c>
      <c r="G349" s="1081" t="s">
        <v>5798</v>
      </c>
      <c r="H349" s="1081" t="s">
        <v>5790</v>
      </c>
      <c r="I349" s="1075" t="s">
        <v>5755</v>
      </c>
      <c r="J349" s="939" t="s">
        <v>3972</v>
      </c>
      <c r="K349" s="939" t="s">
        <v>3973</v>
      </c>
      <c r="L349" s="939"/>
      <c r="M349" s="749" t="s">
        <v>3979</v>
      </c>
      <c r="N349" s="749" t="s">
        <v>3975</v>
      </c>
      <c r="O349" s="926" t="s">
        <v>3974</v>
      </c>
      <c r="P349" s="926"/>
      <c r="Q349" s="940">
        <v>1</v>
      </c>
      <c r="R349" s="940">
        <v>1</v>
      </c>
      <c r="S349" s="944" t="s">
        <v>3974</v>
      </c>
      <c r="T349" s="926" t="s">
        <v>3974</v>
      </c>
      <c r="U349" s="926" t="s">
        <v>3974</v>
      </c>
      <c r="V349" s="926" t="s">
        <v>3974</v>
      </c>
      <c r="W349" s="926" t="s">
        <v>3974</v>
      </c>
      <c r="X349" s="1032" t="s">
        <v>3979</v>
      </c>
      <c r="Y349" s="749" t="s">
        <v>3980</v>
      </c>
      <c r="Z349" s="1078" t="s">
        <v>5792</v>
      </c>
      <c r="AA349" s="1077" t="s">
        <v>5793</v>
      </c>
      <c r="AB349" s="312" t="s">
        <v>5644</v>
      </c>
    </row>
    <row r="350" spans="1:28" ht="75.75" customHeight="1">
      <c r="A350" s="895" t="s">
        <v>5799</v>
      </c>
      <c r="B350" s="935" t="s">
        <v>5800</v>
      </c>
      <c r="C350" s="1061" t="s">
        <v>5801</v>
      </c>
      <c r="D350" s="750" t="s">
        <v>5802</v>
      </c>
      <c r="E350" s="925">
        <v>1</v>
      </c>
      <c r="F350" s="1080" t="s">
        <v>5803</v>
      </c>
      <c r="G350" s="1077" t="s">
        <v>5804</v>
      </c>
      <c r="H350" s="1081" t="s">
        <v>5803</v>
      </c>
      <c r="I350" s="1075" t="s">
        <v>5755</v>
      </c>
      <c r="J350" s="939" t="s">
        <v>3972</v>
      </c>
      <c r="K350" s="939" t="s">
        <v>3973</v>
      </c>
      <c r="L350" s="939"/>
      <c r="M350" s="749" t="s">
        <v>3979</v>
      </c>
      <c r="N350" s="749" t="s">
        <v>3975</v>
      </c>
      <c r="O350" s="926" t="s">
        <v>3974</v>
      </c>
      <c r="P350" s="926"/>
      <c r="Q350" s="940">
        <v>1</v>
      </c>
      <c r="R350" s="940">
        <v>1</v>
      </c>
      <c r="S350" s="944" t="s">
        <v>3974</v>
      </c>
      <c r="T350" s="926" t="s">
        <v>3974</v>
      </c>
      <c r="U350" s="926" t="s">
        <v>3974</v>
      </c>
      <c r="V350" s="926" t="s">
        <v>3974</v>
      </c>
      <c r="W350" s="926" t="s">
        <v>3974</v>
      </c>
      <c r="X350" s="1032" t="s">
        <v>3979</v>
      </c>
      <c r="Y350" s="749" t="s">
        <v>3980</v>
      </c>
      <c r="Z350" s="1078" t="s">
        <v>5805</v>
      </c>
      <c r="AA350" s="1077" t="s">
        <v>5806</v>
      </c>
      <c r="AB350" s="312" t="s">
        <v>5644</v>
      </c>
    </row>
    <row r="351" spans="1:28" ht="75.75" customHeight="1">
      <c r="A351" s="895" t="s">
        <v>5807</v>
      </c>
      <c r="B351" s="935" t="s">
        <v>5808</v>
      </c>
      <c r="C351" s="1061" t="s">
        <v>5809</v>
      </c>
      <c r="D351" s="750" t="s">
        <v>5810</v>
      </c>
      <c r="E351" s="925">
        <v>1</v>
      </c>
      <c r="F351" s="1080" t="s">
        <v>5803</v>
      </c>
      <c r="G351" s="1077" t="s">
        <v>5811</v>
      </c>
      <c r="H351" s="1081" t="s">
        <v>5803</v>
      </c>
      <c r="I351" s="1075" t="s">
        <v>5755</v>
      </c>
      <c r="J351" s="939" t="s">
        <v>3972</v>
      </c>
      <c r="K351" s="939" t="s">
        <v>3973</v>
      </c>
      <c r="L351" s="939"/>
      <c r="M351" s="749" t="s">
        <v>3979</v>
      </c>
      <c r="N351" s="749" t="s">
        <v>3975</v>
      </c>
      <c r="O351" s="926" t="s">
        <v>3974</v>
      </c>
      <c r="P351" s="926"/>
      <c r="Q351" s="940">
        <v>1</v>
      </c>
      <c r="R351" s="940">
        <v>1</v>
      </c>
      <c r="S351" s="944" t="s">
        <v>3974</v>
      </c>
      <c r="T351" s="926" t="s">
        <v>3974</v>
      </c>
      <c r="U351" s="926" t="s">
        <v>3974</v>
      </c>
      <c r="V351" s="926" t="s">
        <v>3974</v>
      </c>
      <c r="W351" s="926" t="s">
        <v>3974</v>
      </c>
      <c r="X351" s="1032" t="s">
        <v>3979</v>
      </c>
      <c r="Y351" s="749" t="s">
        <v>3980</v>
      </c>
      <c r="Z351" s="1078" t="s">
        <v>5805</v>
      </c>
      <c r="AA351" s="1077" t="s">
        <v>5806</v>
      </c>
      <c r="AB351" s="312" t="s">
        <v>5644</v>
      </c>
    </row>
    <row r="352" spans="1:28" ht="75.75" customHeight="1">
      <c r="A352" s="895" t="s">
        <v>5812</v>
      </c>
      <c r="B352" s="935" t="s">
        <v>5813</v>
      </c>
      <c r="C352" s="1061" t="s">
        <v>5814</v>
      </c>
      <c r="D352" s="750" t="s">
        <v>5815</v>
      </c>
      <c r="E352" s="925">
        <v>1</v>
      </c>
      <c r="F352" s="1068" t="s">
        <v>5816</v>
      </c>
      <c r="G352" s="1069" t="s">
        <v>5817</v>
      </c>
      <c r="H352" s="1070" t="s">
        <v>5816</v>
      </c>
      <c r="I352" s="1069" t="s">
        <v>5818</v>
      </c>
      <c r="J352" s="939" t="s">
        <v>3972</v>
      </c>
      <c r="K352" s="939" t="s">
        <v>3973</v>
      </c>
      <c r="L352" s="939"/>
      <c r="M352" s="749" t="s">
        <v>3979</v>
      </c>
      <c r="N352" s="749" t="s">
        <v>3975</v>
      </c>
      <c r="O352" s="926" t="s">
        <v>3974</v>
      </c>
      <c r="P352" s="926"/>
      <c r="Q352" s="940">
        <v>1</v>
      </c>
      <c r="R352" s="940">
        <v>1</v>
      </c>
      <c r="S352" s="944" t="s">
        <v>3974</v>
      </c>
      <c r="T352" s="926" t="s">
        <v>3974</v>
      </c>
      <c r="U352" s="926" t="s">
        <v>3974</v>
      </c>
      <c r="V352" s="926" t="s">
        <v>3974</v>
      </c>
      <c r="W352" s="926" t="s">
        <v>3974</v>
      </c>
      <c r="X352" s="1032" t="s">
        <v>3979</v>
      </c>
      <c r="Y352" s="749" t="s">
        <v>3980</v>
      </c>
      <c r="Z352" s="1082" t="s">
        <v>5819</v>
      </c>
      <c r="AA352" s="1081" t="s">
        <v>5820</v>
      </c>
      <c r="AB352" s="312" t="s">
        <v>5644</v>
      </c>
    </row>
    <row r="353" spans="1:28" ht="75.75" customHeight="1">
      <c r="A353" s="895" t="s">
        <v>5821</v>
      </c>
      <c r="B353" s="935" t="s">
        <v>5822</v>
      </c>
      <c r="C353" s="1061" t="s">
        <v>5823</v>
      </c>
      <c r="D353" s="750" t="s">
        <v>5824</v>
      </c>
      <c r="E353" s="925">
        <v>1</v>
      </c>
      <c r="F353" s="1068" t="s">
        <v>5816</v>
      </c>
      <c r="G353" s="1069" t="s">
        <v>5817</v>
      </c>
      <c r="H353" s="1070" t="s">
        <v>5816</v>
      </c>
      <c r="I353" s="1069" t="s">
        <v>5825</v>
      </c>
      <c r="J353" s="939" t="s">
        <v>3972</v>
      </c>
      <c r="K353" s="939" t="s">
        <v>3973</v>
      </c>
      <c r="L353" s="939"/>
      <c r="M353" s="749" t="s">
        <v>3979</v>
      </c>
      <c r="N353" s="749" t="s">
        <v>3975</v>
      </c>
      <c r="O353" s="926" t="s">
        <v>3974</v>
      </c>
      <c r="P353" s="926"/>
      <c r="Q353" s="940">
        <v>1</v>
      </c>
      <c r="R353" s="940">
        <v>1</v>
      </c>
      <c r="S353" s="944" t="s">
        <v>3974</v>
      </c>
      <c r="T353" s="926" t="s">
        <v>3974</v>
      </c>
      <c r="U353" s="926" t="s">
        <v>3974</v>
      </c>
      <c r="V353" s="926" t="s">
        <v>3974</v>
      </c>
      <c r="W353" s="926" t="s">
        <v>3974</v>
      </c>
      <c r="X353" s="1032" t="s">
        <v>3979</v>
      </c>
      <c r="Y353" s="749" t="s">
        <v>3980</v>
      </c>
      <c r="Z353" s="1082" t="s">
        <v>5819</v>
      </c>
      <c r="AA353" s="1081" t="s">
        <v>5820</v>
      </c>
      <c r="AB353" s="312" t="s">
        <v>5644</v>
      </c>
    </row>
    <row r="354" spans="1:28" ht="75.75" customHeight="1">
      <c r="A354" s="895" t="s">
        <v>5826</v>
      </c>
      <c r="B354" s="935" t="s">
        <v>5827</v>
      </c>
      <c r="C354" s="1061" t="s">
        <v>5828</v>
      </c>
      <c r="D354" s="750" t="s">
        <v>5829</v>
      </c>
      <c r="E354" s="925">
        <v>1</v>
      </c>
      <c r="F354" s="1080" t="s">
        <v>5803</v>
      </c>
      <c r="G354" s="1069" t="s">
        <v>5830</v>
      </c>
      <c r="H354" s="1081" t="s">
        <v>5803</v>
      </c>
      <c r="I354" s="1069" t="s">
        <v>5831</v>
      </c>
      <c r="J354" s="939" t="s">
        <v>3972</v>
      </c>
      <c r="K354" s="939" t="s">
        <v>3973</v>
      </c>
      <c r="L354" s="939"/>
      <c r="M354" s="749" t="s">
        <v>3979</v>
      </c>
      <c r="N354" s="749" t="s">
        <v>3975</v>
      </c>
      <c r="O354" s="926" t="s">
        <v>3974</v>
      </c>
      <c r="P354" s="926"/>
      <c r="Q354" s="940">
        <v>1</v>
      </c>
      <c r="R354" s="940">
        <v>1</v>
      </c>
      <c r="S354" s="944" t="s">
        <v>3974</v>
      </c>
      <c r="T354" s="926" t="s">
        <v>3974</v>
      </c>
      <c r="U354" s="926" t="s">
        <v>3974</v>
      </c>
      <c r="V354" s="926" t="s">
        <v>3974</v>
      </c>
      <c r="W354" s="926" t="s">
        <v>3974</v>
      </c>
      <c r="X354" s="1032" t="s">
        <v>3979</v>
      </c>
      <c r="Y354" s="749" t="s">
        <v>3980</v>
      </c>
      <c r="Z354" s="1082" t="s">
        <v>5832</v>
      </c>
      <c r="AA354" s="1081" t="s">
        <v>5820</v>
      </c>
      <c r="AB354" s="312" t="s">
        <v>5644</v>
      </c>
    </row>
    <row r="355" spans="1:28" ht="75.75" customHeight="1">
      <c r="A355" s="895" t="s">
        <v>5833</v>
      </c>
      <c r="B355" s="935" t="s">
        <v>5834</v>
      </c>
      <c r="C355" s="1061" t="s">
        <v>5835</v>
      </c>
      <c r="D355" s="750" t="s">
        <v>5836</v>
      </c>
      <c r="E355" s="925">
        <v>1</v>
      </c>
      <c r="F355" s="1080" t="s">
        <v>5803</v>
      </c>
      <c r="G355" s="1069" t="s">
        <v>5830</v>
      </c>
      <c r="H355" s="1081" t="s">
        <v>5803</v>
      </c>
      <c r="I355" s="1069" t="s">
        <v>5831</v>
      </c>
      <c r="J355" s="939" t="s">
        <v>3972</v>
      </c>
      <c r="K355" s="939" t="s">
        <v>3973</v>
      </c>
      <c r="L355" s="939"/>
      <c r="M355" s="749" t="s">
        <v>3979</v>
      </c>
      <c r="N355" s="749" t="s">
        <v>3975</v>
      </c>
      <c r="O355" s="926" t="s">
        <v>3974</v>
      </c>
      <c r="P355" s="926"/>
      <c r="Q355" s="940">
        <v>1</v>
      </c>
      <c r="R355" s="940">
        <v>1</v>
      </c>
      <c r="S355" s="944" t="s">
        <v>3974</v>
      </c>
      <c r="T355" s="926" t="s">
        <v>3974</v>
      </c>
      <c r="U355" s="926" t="s">
        <v>3974</v>
      </c>
      <c r="V355" s="926" t="s">
        <v>3974</v>
      </c>
      <c r="W355" s="926" t="s">
        <v>3974</v>
      </c>
      <c r="X355" s="1032" t="s">
        <v>3979</v>
      </c>
      <c r="Y355" s="749" t="s">
        <v>3980</v>
      </c>
      <c r="Z355" s="1082" t="s">
        <v>5832</v>
      </c>
      <c r="AA355" s="1081" t="s">
        <v>5820</v>
      </c>
      <c r="AB355" s="312" t="s">
        <v>5644</v>
      </c>
    </row>
    <row r="356" spans="1:28" ht="75.75" customHeight="1">
      <c r="A356" s="895" t="s">
        <v>5837</v>
      </c>
      <c r="B356" s="935" t="s">
        <v>5838</v>
      </c>
      <c r="C356" s="1061" t="s">
        <v>5839</v>
      </c>
      <c r="D356" s="750" t="s">
        <v>5840</v>
      </c>
      <c r="E356" s="925">
        <v>1</v>
      </c>
      <c r="F356" s="1068" t="s">
        <v>5841</v>
      </c>
      <c r="G356" s="1069" t="s">
        <v>5842</v>
      </c>
      <c r="H356" s="1070" t="s">
        <v>5841</v>
      </c>
      <c r="I356" s="1069" t="s">
        <v>5843</v>
      </c>
      <c r="J356" s="939" t="s">
        <v>3972</v>
      </c>
      <c r="K356" s="939" t="s">
        <v>3973</v>
      </c>
      <c r="L356" s="939"/>
      <c r="M356" s="749" t="s">
        <v>3979</v>
      </c>
      <c r="N356" s="749" t="s">
        <v>3975</v>
      </c>
      <c r="O356" s="926" t="s">
        <v>3974</v>
      </c>
      <c r="P356" s="926"/>
      <c r="Q356" s="940">
        <v>1</v>
      </c>
      <c r="R356" s="940">
        <v>1</v>
      </c>
      <c r="S356" s="944" t="s">
        <v>3974</v>
      </c>
      <c r="T356" s="926" t="s">
        <v>3974</v>
      </c>
      <c r="U356" s="926" t="s">
        <v>3974</v>
      </c>
      <c r="V356" s="926" t="s">
        <v>3974</v>
      </c>
      <c r="W356" s="926" t="s">
        <v>3974</v>
      </c>
      <c r="X356" s="1032" t="s">
        <v>3979</v>
      </c>
      <c r="Y356" s="749" t="s">
        <v>3980</v>
      </c>
      <c r="Z356" s="1082" t="s">
        <v>5844</v>
      </c>
      <c r="AA356" s="1081" t="s">
        <v>5820</v>
      </c>
      <c r="AB356" s="312" t="s">
        <v>5644</v>
      </c>
    </row>
    <row r="357" spans="1:28" ht="75.75" customHeight="1">
      <c r="A357" s="895" t="s">
        <v>5845</v>
      </c>
      <c r="B357" s="935" t="s">
        <v>5846</v>
      </c>
      <c r="C357" s="1061" t="s">
        <v>5847</v>
      </c>
      <c r="D357" s="750" t="s">
        <v>5848</v>
      </c>
      <c r="E357" s="925">
        <v>1</v>
      </c>
      <c r="F357" s="1068" t="s">
        <v>5841</v>
      </c>
      <c r="G357" s="1069" t="s">
        <v>5842</v>
      </c>
      <c r="H357" s="1070" t="s">
        <v>5841</v>
      </c>
      <c r="I357" s="1069" t="s">
        <v>5843</v>
      </c>
      <c r="J357" s="939" t="s">
        <v>3972</v>
      </c>
      <c r="K357" s="939" t="s">
        <v>3973</v>
      </c>
      <c r="L357" s="939"/>
      <c r="M357" s="749" t="s">
        <v>3979</v>
      </c>
      <c r="N357" s="749" t="s">
        <v>3975</v>
      </c>
      <c r="O357" s="926" t="s">
        <v>3974</v>
      </c>
      <c r="P357" s="926"/>
      <c r="Q357" s="940">
        <v>1</v>
      </c>
      <c r="R357" s="940">
        <v>1</v>
      </c>
      <c r="S357" s="944" t="s">
        <v>3974</v>
      </c>
      <c r="T357" s="926" t="s">
        <v>3974</v>
      </c>
      <c r="U357" s="926" t="s">
        <v>3974</v>
      </c>
      <c r="V357" s="926" t="s">
        <v>3974</v>
      </c>
      <c r="W357" s="926" t="s">
        <v>3974</v>
      </c>
      <c r="X357" s="1032" t="s">
        <v>3979</v>
      </c>
      <c r="Y357" s="749" t="s">
        <v>3980</v>
      </c>
      <c r="Z357" s="1082" t="s">
        <v>5844</v>
      </c>
      <c r="AA357" s="1081" t="s">
        <v>5820</v>
      </c>
      <c r="AB357" s="312" t="s">
        <v>5644</v>
      </c>
    </row>
    <row r="358" spans="1:28" ht="75.75" customHeight="1">
      <c r="A358" s="895" t="s">
        <v>5849</v>
      </c>
      <c r="B358" s="935" t="s">
        <v>5850</v>
      </c>
      <c r="C358" s="1061" t="s">
        <v>5851</v>
      </c>
      <c r="D358" s="750" t="s">
        <v>5852</v>
      </c>
      <c r="E358" s="925">
        <v>1</v>
      </c>
      <c r="F358" s="1080" t="s">
        <v>5803</v>
      </c>
      <c r="G358" s="1069" t="s">
        <v>5853</v>
      </c>
      <c r="H358" s="1081" t="s">
        <v>5803</v>
      </c>
      <c r="I358" s="1069" t="s">
        <v>5854</v>
      </c>
      <c r="J358" s="939" t="s">
        <v>3972</v>
      </c>
      <c r="K358" s="939" t="s">
        <v>3973</v>
      </c>
      <c r="L358" s="939"/>
      <c r="M358" s="749" t="s">
        <v>3979</v>
      </c>
      <c r="N358" s="749" t="s">
        <v>3975</v>
      </c>
      <c r="O358" s="926" t="s">
        <v>3974</v>
      </c>
      <c r="P358" s="926"/>
      <c r="Q358" s="940">
        <v>1</v>
      </c>
      <c r="R358" s="940">
        <v>1</v>
      </c>
      <c r="S358" s="944" t="s">
        <v>3974</v>
      </c>
      <c r="T358" s="926" t="s">
        <v>3974</v>
      </c>
      <c r="U358" s="926" t="s">
        <v>3974</v>
      </c>
      <c r="V358" s="926" t="s">
        <v>3974</v>
      </c>
      <c r="W358" s="926" t="s">
        <v>3974</v>
      </c>
      <c r="X358" s="1032" t="s">
        <v>3979</v>
      </c>
      <c r="Y358" s="749" t="s">
        <v>3980</v>
      </c>
      <c r="Z358" s="1082" t="s">
        <v>5855</v>
      </c>
      <c r="AA358" s="1081" t="s">
        <v>5820</v>
      </c>
      <c r="AB358" s="312" t="s">
        <v>5644</v>
      </c>
    </row>
    <row r="359" spans="1:28" ht="75.75" customHeight="1">
      <c r="A359" s="895" t="s">
        <v>5856</v>
      </c>
      <c r="B359" s="935" t="s">
        <v>5857</v>
      </c>
      <c r="C359" s="1061" t="s">
        <v>5858</v>
      </c>
      <c r="D359" s="750" t="s">
        <v>5859</v>
      </c>
      <c r="E359" s="925">
        <v>1</v>
      </c>
      <c r="F359" s="1080" t="s">
        <v>5803</v>
      </c>
      <c r="G359" s="1069" t="s">
        <v>5853</v>
      </c>
      <c r="H359" s="1081" t="s">
        <v>5803</v>
      </c>
      <c r="I359" s="1069" t="s">
        <v>5854</v>
      </c>
      <c r="J359" s="939" t="s">
        <v>3972</v>
      </c>
      <c r="K359" s="939" t="s">
        <v>3973</v>
      </c>
      <c r="L359" s="939"/>
      <c r="M359" s="749" t="s">
        <v>3979</v>
      </c>
      <c r="N359" s="749" t="s">
        <v>3975</v>
      </c>
      <c r="O359" s="926" t="s">
        <v>3974</v>
      </c>
      <c r="P359" s="926"/>
      <c r="Q359" s="940">
        <v>1</v>
      </c>
      <c r="R359" s="940">
        <v>1</v>
      </c>
      <c r="S359" s="944" t="s">
        <v>3974</v>
      </c>
      <c r="T359" s="926" t="s">
        <v>3974</v>
      </c>
      <c r="U359" s="926" t="s">
        <v>3974</v>
      </c>
      <c r="V359" s="926" t="s">
        <v>3974</v>
      </c>
      <c r="W359" s="926" t="s">
        <v>3974</v>
      </c>
      <c r="X359" s="1032" t="s">
        <v>3979</v>
      </c>
      <c r="Y359" s="749" t="s">
        <v>3980</v>
      </c>
      <c r="Z359" s="1082" t="s">
        <v>5855</v>
      </c>
      <c r="AA359" s="1081" t="s">
        <v>5820</v>
      </c>
      <c r="AB359" s="312" t="s">
        <v>5644</v>
      </c>
    </row>
    <row r="360" spans="1:28" ht="75.75" customHeight="1">
      <c r="A360" s="895" t="s">
        <v>5860</v>
      </c>
      <c r="B360" s="935" t="s">
        <v>5861</v>
      </c>
      <c r="C360" s="1061" t="s">
        <v>5862</v>
      </c>
      <c r="D360" s="750" t="s">
        <v>5863</v>
      </c>
      <c r="E360" s="925">
        <v>1</v>
      </c>
      <c r="F360" s="1068" t="s">
        <v>5753</v>
      </c>
      <c r="G360" s="1069" t="s">
        <v>5864</v>
      </c>
      <c r="H360" s="1070" t="s">
        <v>5753</v>
      </c>
      <c r="I360" s="1069" t="s">
        <v>5854</v>
      </c>
      <c r="J360" s="939" t="s">
        <v>3972</v>
      </c>
      <c r="K360" s="939" t="s">
        <v>3973</v>
      </c>
      <c r="L360" s="939"/>
      <c r="M360" s="749" t="s">
        <v>3979</v>
      </c>
      <c r="N360" s="749" t="s">
        <v>3975</v>
      </c>
      <c r="O360" s="926" t="s">
        <v>3974</v>
      </c>
      <c r="P360" s="926"/>
      <c r="Q360" s="940">
        <v>1</v>
      </c>
      <c r="R360" s="940">
        <v>1</v>
      </c>
      <c r="S360" s="944" t="s">
        <v>3974</v>
      </c>
      <c r="T360" s="926" t="s">
        <v>3974</v>
      </c>
      <c r="U360" s="926" t="s">
        <v>3974</v>
      </c>
      <c r="V360" s="926" t="s">
        <v>3974</v>
      </c>
      <c r="W360" s="926" t="s">
        <v>3974</v>
      </c>
      <c r="X360" s="1032" t="s">
        <v>3979</v>
      </c>
      <c r="Y360" s="749" t="s">
        <v>3980</v>
      </c>
      <c r="Z360" s="1082" t="s">
        <v>5865</v>
      </c>
      <c r="AA360" s="1081" t="s">
        <v>5866</v>
      </c>
      <c r="AB360" s="312" t="s">
        <v>5644</v>
      </c>
    </row>
    <row r="361" spans="1:28" ht="75.75" customHeight="1">
      <c r="A361" s="895" t="s">
        <v>5867</v>
      </c>
      <c r="B361" s="935" t="s">
        <v>5868</v>
      </c>
      <c r="C361" s="1061" t="s">
        <v>5869</v>
      </c>
      <c r="D361" s="750" t="s">
        <v>5870</v>
      </c>
      <c r="E361" s="925">
        <v>1</v>
      </c>
      <c r="F361" s="1068" t="s">
        <v>5753</v>
      </c>
      <c r="G361" s="1069" t="s">
        <v>5871</v>
      </c>
      <c r="H361" s="1070" t="s">
        <v>5753</v>
      </c>
      <c r="I361" s="1069" t="s">
        <v>5854</v>
      </c>
      <c r="J361" s="939" t="s">
        <v>3972</v>
      </c>
      <c r="K361" s="939" t="s">
        <v>3973</v>
      </c>
      <c r="L361" s="939"/>
      <c r="M361" s="749" t="s">
        <v>3979</v>
      </c>
      <c r="N361" s="749" t="s">
        <v>3975</v>
      </c>
      <c r="O361" s="926" t="s">
        <v>3974</v>
      </c>
      <c r="P361" s="926"/>
      <c r="Q361" s="940">
        <v>1</v>
      </c>
      <c r="R361" s="940">
        <v>1</v>
      </c>
      <c r="S361" s="944" t="s">
        <v>3974</v>
      </c>
      <c r="T361" s="926" t="s">
        <v>3974</v>
      </c>
      <c r="U361" s="926" t="s">
        <v>3974</v>
      </c>
      <c r="V361" s="926" t="s">
        <v>3974</v>
      </c>
      <c r="W361" s="926" t="s">
        <v>3974</v>
      </c>
      <c r="X361" s="1032" t="s">
        <v>3979</v>
      </c>
      <c r="Y361" s="749" t="s">
        <v>3980</v>
      </c>
      <c r="Z361" s="1082" t="s">
        <v>5865</v>
      </c>
      <c r="AA361" s="1081" t="s">
        <v>5866</v>
      </c>
      <c r="AB361" s="312" t="s">
        <v>5644</v>
      </c>
    </row>
    <row r="362" spans="1:28" ht="75.75" customHeight="1">
      <c r="A362" s="895" t="s">
        <v>5872</v>
      </c>
      <c r="B362" s="935" t="s">
        <v>5873</v>
      </c>
      <c r="C362" s="1061" t="s">
        <v>5874</v>
      </c>
      <c r="D362" s="750" t="s">
        <v>5875</v>
      </c>
      <c r="E362" s="925">
        <v>1</v>
      </c>
      <c r="F362" s="1068" t="s">
        <v>5753</v>
      </c>
      <c r="G362" s="1069" t="s">
        <v>5876</v>
      </c>
      <c r="H362" s="1070" t="s">
        <v>5753</v>
      </c>
      <c r="I362" s="1069" t="s">
        <v>5755</v>
      </c>
      <c r="J362" s="939" t="s">
        <v>3972</v>
      </c>
      <c r="K362" s="939" t="s">
        <v>3973</v>
      </c>
      <c r="L362" s="939"/>
      <c r="M362" s="749" t="s">
        <v>3979</v>
      </c>
      <c r="N362" s="749" t="s">
        <v>3975</v>
      </c>
      <c r="O362" s="926" t="s">
        <v>3974</v>
      </c>
      <c r="P362" s="926"/>
      <c r="Q362" s="940">
        <v>1</v>
      </c>
      <c r="R362" s="940">
        <v>1</v>
      </c>
      <c r="S362" s="944" t="s">
        <v>3974</v>
      </c>
      <c r="T362" s="926" t="s">
        <v>3974</v>
      </c>
      <c r="U362" s="926" t="s">
        <v>3974</v>
      </c>
      <c r="V362" s="926" t="s">
        <v>3974</v>
      </c>
      <c r="W362" s="926" t="s">
        <v>3974</v>
      </c>
      <c r="X362" s="1032" t="s">
        <v>3979</v>
      </c>
      <c r="Y362" s="749" t="s">
        <v>3980</v>
      </c>
      <c r="Z362" s="1082" t="s">
        <v>5877</v>
      </c>
      <c r="AA362" s="1069" t="s">
        <v>5878</v>
      </c>
      <c r="AB362" s="312" t="s">
        <v>5644</v>
      </c>
    </row>
    <row r="363" spans="1:28" ht="75.75" customHeight="1">
      <c r="A363" s="895" t="s">
        <v>5879</v>
      </c>
      <c r="B363" s="935" t="s">
        <v>5880</v>
      </c>
      <c r="C363" s="1061" t="s">
        <v>5881</v>
      </c>
      <c r="D363" s="750" t="s">
        <v>5882</v>
      </c>
      <c r="E363" s="925">
        <v>1</v>
      </c>
      <c r="F363" s="1068" t="s">
        <v>5753</v>
      </c>
      <c r="G363" s="1069" t="s">
        <v>5876</v>
      </c>
      <c r="H363" s="1070" t="s">
        <v>5753</v>
      </c>
      <c r="I363" s="1069" t="s">
        <v>5755</v>
      </c>
      <c r="J363" s="939" t="s">
        <v>3972</v>
      </c>
      <c r="K363" s="939" t="s">
        <v>3973</v>
      </c>
      <c r="L363" s="939"/>
      <c r="M363" s="749" t="s">
        <v>3979</v>
      </c>
      <c r="N363" s="749" t="s">
        <v>3975</v>
      </c>
      <c r="O363" s="926" t="s">
        <v>3974</v>
      </c>
      <c r="P363" s="926"/>
      <c r="Q363" s="940">
        <v>1</v>
      </c>
      <c r="R363" s="940">
        <v>1</v>
      </c>
      <c r="S363" s="944" t="s">
        <v>3974</v>
      </c>
      <c r="T363" s="926" t="s">
        <v>3974</v>
      </c>
      <c r="U363" s="926" t="s">
        <v>3974</v>
      </c>
      <c r="V363" s="926" t="s">
        <v>3974</v>
      </c>
      <c r="W363" s="926" t="s">
        <v>3974</v>
      </c>
      <c r="X363" s="1032" t="s">
        <v>3979</v>
      </c>
      <c r="Y363" s="749" t="s">
        <v>3980</v>
      </c>
      <c r="Z363" s="1082" t="s">
        <v>5877</v>
      </c>
      <c r="AA363" s="1069" t="s">
        <v>5878</v>
      </c>
      <c r="AB363" s="312" t="s">
        <v>5644</v>
      </c>
    </row>
    <row r="364" spans="1:28" ht="75.75" customHeight="1">
      <c r="A364" s="895" t="s">
        <v>5883</v>
      </c>
      <c r="B364" s="935" t="s">
        <v>5884</v>
      </c>
      <c r="C364" s="1061" t="s">
        <v>5885</v>
      </c>
      <c r="D364" s="750" t="s">
        <v>5886</v>
      </c>
      <c r="E364" s="925">
        <v>1</v>
      </c>
      <c r="F364" s="1068" t="s">
        <v>5753</v>
      </c>
      <c r="G364" s="1069" t="s">
        <v>5887</v>
      </c>
      <c r="H364" s="1070" t="s">
        <v>5753</v>
      </c>
      <c r="I364" s="1069" t="s">
        <v>5755</v>
      </c>
      <c r="J364" s="939" t="s">
        <v>3972</v>
      </c>
      <c r="K364" s="939" t="s">
        <v>3973</v>
      </c>
      <c r="L364" s="939"/>
      <c r="M364" s="749" t="s">
        <v>3979</v>
      </c>
      <c r="N364" s="749" t="s">
        <v>3975</v>
      </c>
      <c r="O364" s="926" t="s">
        <v>3974</v>
      </c>
      <c r="P364" s="926"/>
      <c r="Q364" s="940">
        <v>1</v>
      </c>
      <c r="R364" s="940">
        <v>1</v>
      </c>
      <c r="S364" s="944" t="s">
        <v>3974</v>
      </c>
      <c r="T364" s="926" t="s">
        <v>3974</v>
      </c>
      <c r="U364" s="926" t="s">
        <v>3974</v>
      </c>
      <c r="V364" s="926" t="s">
        <v>3974</v>
      </c>
      <c r="W364" s="926" t="s">
        <v>3974</v>
      </c>
      <c r="X364" s="1032" t="s">
        <v>3979</v>
      </c>
      <c r="Y364" s="749" t="s">
        <v>3980</v>
      </c>
      <c r="Z364" s="1082" t="s">
        <v>5865</v>
      </c>
      <c r="AA364" s="1081" t="s">
        <v>5866</v>
      </c>
      <c r="AB364" s="312" t="s">
        <v>5644</v>
      </c>
    </row>
    <row r="365" spans="1:28" ht="75.75" customHeight="1">
      <c r="A365" s="895" t="s">
        <v>5888</v>
      </c>
      <c r="B365" s="935" t="s">
        <v>5889</v>
      </c>
      <c r="C365" s="1061" t="s">
        <v>5890</v>
      </c>
      <c r="D365" s="750" t="s">
        <v>5891</v>
      </c>
      <c r="E365" s="925">
        <v>1</v>
      </c>
      <c r="F365" s="1068" t="s">
        <v>5753</v>
      </c>
      <c r="G365" s="1069" t="s">
        <v>5892</v>
      </c>
      <c r="H365" s="1070" t="s">
        <v>5753</v>
      </c>
      <c r="I365" s="1069" t="s">
        <v>5755</v>
      </c>
      <c r="J365" s="939" t="s">
        <v>3972</v>
      </c>
      <c r="K365" s="939" t="s">
        <v>3973</v>
      </c>
      <c r="L365" s="939"/>
      <c r="M365" s="749" t="s">
        <v>3979</v>
      </c>
      <c r="N365" s="749" t="s">
        <v>3975</v>
      </c>
      <c r="O365" s="926" t="s">
        <v>3974</v>
      </c>
      <c r="P365" s="926"/>
      <c r="Q365" s="940">
        <v>1</v>
      </c>
      <c r="R365" s="940">
        <v>1</v>
      </c>
      <c r="S365" s="944" t="s">
        <v>3974</v>
      </c>
      <c r="T365" s="926" t="s">
        <v>3974</v>
      </c>
      <c r="U365" s="926" t="s">
        <v>3974</v>
      </c>
      <c r="V365" s="926" t="s">
        <v>3974</v>
      </c>
      <c r="W365" s="926" t="s">
        <v>3974</v>
      </c>
      <c r="X365" s="1032" t="s">
        <v>3979</v>
      </c>
      <c r="Y365" s="749" t="s">
        <v>3980</v>
      </c>
      <c r="Z365" s="1082" t="s">
        <v>5877</v>
      </c>
      <c r="AA365" s="1069" t="s">
        <v>5878</v>
      </c>
      <c r="AB365" s="312" t="s">
        <v>5644</v>
      </c>
    </row>
    <row r="366" spans="1:28" ht="75.75" customHeight="1">
      <c r="A366" s="895" t="s">
        <v>5893</v>
      </c>
      <c r="B366" s="935" t="s">
        <v>5894</v>
      </c>
      <c r="C366" s="1061" t="s">
        <v>5895</v>
      </c>
      <c r="D366" s="750" t="s">
        <v>5896</v>
      </c>
      <c r="E366" s="925">
        <v>1</v>
      </c>
      <c r="F366" s="1068" t="s">
        <v>5685</v>
      </c>
      <c r="G366" s="1069" t="s">
        <v>5895</v>
      </c>
      <c r="H366" s="1070" t="s">
        <v>5685</v>
      </c>
      <c r="I366" s="1069" t="s">
        <v>5755</v>
      </c>
      <c r="J366" s="939" t="s">
        <v>3972</v>
      </c>
      <c r="K366" s="939" t="s">
        <v>3973</v>
      </c>
      <c r="L366" s="939"/>
      <c r="M366" s="749" t="s">
        <v>3979</v>
      </c>
      <c r="N366" s="749" t="s">
        <v>3975</v>
      </c>
      <c r="O366" s="926" t="s">
        <v>3974</v>
      </c>
      <c r="P366" s="926"/>
      <c r="Q366" s="940">
        <v>1</v>
      </c>
      <c r="R366" s="940">
        <v>1</v>
      </c>
      <c r="S366" s="944" t="s">
        <v>3974</v>
      </c>
      <c r="T366" s="926" t="s">
        <v>3974</v>
      </c>
      <c r="U366" s="926" t="s">
        <v>3974</v>
      </c>
      <c r="V366" s="926" t="s">
        <v>3974</v>
      </c>
      <c r="W366" s="926" t="s">
        <v>3974</v>
      </c>
      <c r="X366" s="1032" t="s">
        <v>3979</v>
      </c>
      <c r="Y366" s="749" t="s">
        <v>3980</v>
      </c>
      <c r="Z366" s="1082" t="s">
        <v>5897</v>
      </c>
      <c r="AA366" s="1069" t="s">
        <v>5898</v>
      </c>
      <c r="AB366" s="312" t="s">
        <v>5644</v>
      </c>
    </row>
    <row r="367" spans="1:28" ht="75.75" customHeight="1">
      <c r="A367" s="895" t="s">
        <v>5899</v>
      </c>
      <c r="B367" s="935" t="s">
        <v>5900</v>
      </c>
      <c r="C367" s="1061" t="s">
        <v>5901</v>
      </c>
      <c r="D367" s="750" t="s">
        <v>5902</v>
      </c>
      <c r="E367" s="925">
        <v>1</v>
      </c>
      <c r="F367" s="1068" t="s">
        <v>5903</v>
      </c>
      <c r="G367" s="1069" t="s">
        <v>5904</v>
      </c>
      <c r="H367" s="1070" t="s">
        <v>5903</v>
      </c>
      <c r="I367" s="1069" t="s">
        <v>5905</v>
      </c>
      <c r="J367" s="939" t="s">
        <v>3972</v>
      </c>
      <c r="K367" s="939" t="s">
        <v>3973</v>
      </c>
      <c r="L367" s="939"/>
      <c r="M367" s="749" t="s">
        <v>3979</v>
      </c>
      <c r="N367" s="749" t="s">
        <v>3975</v>
      </c>
      <c r="O367" s="926" t="s">
        <v>3974</v>
      </c>
      <c r="P367" s="926"/>
      <c r="Q367" s="940">
        <v>1</v>
      </c>
      <c r="R367" s="940">
        <v>1</v>
      </c>
      <c r="S367" s="944" t="s">
        <v>3974</v>
      </c>
      <c r="T367" s="926" t="s">
        <v>3974</v>
      </c>
      <c r="U367" s="926" t="s">
        <v>3974</v>
      </c>
      <c r="V367" s="926" t="s">
        <v>3974</v>
      </c>
      <c r="W367" s="926" t="s">
        <v>3974</v>
      </c>
      <c r="X367" s="1032" t="s">
        <v>3979</v>
      </c>
      <c r="Y367" s="749" t="s">
        <v>3980</v>
      </c>
      <c r="Z367" s="1082" t="s">
        <v>5906</v>
      </c>
      <c r="AA367" s="1069" t="s">
        <v>5907</v>
      </c>
      <c r="AB367" s="312" t="s">
        <v>5644</v>
      </c>
    </row>
    <row r="368" spans="1:28" ht="75.75" customHeight="1">
      <c r="A368" s="895" t="s">
        <v>5908</v>
      </c>
      <c r="B368" s="935" t="s">
        <v>5909</v>
      </c>
      <c r="C368" s="1061" t="s">
        <v>5910</v>
      </c>
      <c r="D368" s="750" t="s">
        <v>5911</v>
      </c>
      <c r="E368" s="925">
        <v>1</v>
      </c>
      <c r="F368" s="1068" t="s">
        <v>5912</v>
      </c>
      <c r="G368" s="1069" t="s">
        <v>5912</v>
      </c>
      <c r="H368" s="1070" t="s">
        <v>5912</v>
      </c>
      <c r="I368" s="1069" t="s">
        <v>5913</v>
      </c>
      <c r="J368" s="939" t="s">
        <v>3972</v>
      </c>
      <c r="K368" s="939" t="s">
        <v>3973</v>
      </c>
      <c r="L368" s="939"/>
      <c r="M368" s="749" t="s">
        <v>3979</v>
      </c>
      <c r="N368" s="749" t="s">
        <v>3975</v>
      </c>
      <c r="O368" s="926" t="s">
        <v>3974</v>
      </c>
      <c r="P368" s="926"/>
      <c r="Q368" s="940">
        <v>1</v>
      </c>
      <c r="R368" s="940">
        <v>1</v>
      </c>
      <c r="S368" s="944" t="s">
        <v>3974</v>
      </c>
      <c r="T368" s="926" t="s">
        <v>3974</v>
      </c>
      <c r="U368" s="926" t="s">
        <v>3974</v>
      </c>
      <c r="V368" s="926" t="s">
        <v>3974</v>
      </c>
      <c r="W368" s="926" t="s">
        <v>3974</v>
      </c>
      <c r="X368" s="1032" t="s">
        <v>3979</v>
      </c>
      <c r="Y368" s="749" t="s">
        <v>3980</v>
      </c>
      <c r="Z368" s="1082" t="s">
        <v>5906</v>
      </c>
      <c r="AA368" s="1069" t="s">
        <v>5907</v>
      </c>
      <c r="AB368" s="312" t="s">
        <v>5644</v>
      </c>
    </row>
    <row r="369" spans="1:28" ht="75.75" customHeight="1">
      <c r="A369" s="895" t="s">
        <v>5914</v>
      </c>
      <c r="B369" s="935" t="s">
        <v>5915</v>
      </c>
      <c r="C369" s="1061" t="s">
        <v>5916</v>
      </c>
      <c r="D369" s="750" t="s">
        <v>5917</v>
      </c>
      <c r="E369" s="925">
        <v>1</v>
      </c>
      <c r="F369" s="1068" t="s">
        <v>5903</v>
      </c>
      <c r="G369" s="1069" t="s">
        <v>5918</v>
      </c>
      <c r="H369" s="1070" t="s">
        <v>5903</v>
      </c>
      <c r="I369" s="1069" t="s">
        <v>5919</v>
      </c>
      <c r="J369" s="939" t="s">
        <v>3972</v>
      </c>
      <c r="K369" s="939" t="s">
        <v>3973</v>
      </c>
      <c r="L369" s="939"/>
      <c r="M369" s="749" t="s">
        <v>3979</v>
      </c>
      <c r="N369" s="749" t="s">
        <v>3975</v>
      </c>
      <c r="O369" s="926" t="s">
        <v>3974</v>
      </c>
      <c r="P369" s="926"/>
      <c r="Q369" s="940">
        <v>1</v>
      </c>
      <c r="R369" s="940">
        <v>1</v>
      </c>
      <c r="S369" s="944" t="s">
        <v>3974</v>
      </c>
      <c r="T369" s="926" t="s">
        <v>3974</v>
      </c>
      <c r="U369" s="926" t="s">
        <v>3974</v>
      </c>
      <c r="V369" s="926" t="s">
        <v>3974</v>
      </c>
      <c r="W369" s="926" t="s">
        <v>3974</v>
      </c>
      <c r="X369" s="1032" t="s">
        <v>3979</v>
      </c>
      <c r="Y369" s="749" t="s">
        <v>3980</v>
      </c>
      <c r="Z369" s="1082" t="s">
        <v>5906</v>
      </c>
      <c r="AA369" s="1069" t="s">
        <v>5907</v>
      </c>
      <c r="AB369" s="312" t="s">
        <v>5644</v>
      </c>
    </row>
    <row r="370" spans="1:28" ht="75.75" customHeight="1">
      <c r="A370" s="895" t="s">
        <v>5920</v>
      </c>
      <c r="B370" s="935" t="s">
        <v>5921</v>
      </c>
      <c r="C370" s="1061" t="s">
        <v>5922</v>
      </c>
      <c r="D370" s="750" t="s">
        <v>5923</v>
      </c>
      <c r="E370" s="925">
        <v>1</v>
      </c>
      <c r="F370" s="1068" t="s">
        <v>5903</v>
      </c>
      <c r="G370" s="1069" t="s">
        <v>5924</v>
      </c>
      <c r="H370" s="1070" t="s">
        <v>5903</v>
      </c>
      <c r="I370" s="1069" t="s">
        <v>5925</v>
      </c>
      <c r="J370" s="939" t="s">
        <v>3972</v>
      </c>
      <c r="K370" s="939" t="s">
        <v>3973</v>
      </c>
      <c r="L370" s="939"/>
      <c r="M370" s="749" t="s">
        <v>3979</v>
      </c>
      <c r="N370" s="749" t="s">
        <v>3975</v>
      </c>
      <c r="O370" s="926" t="s">
        <v>3974</v>
      </c>
      <c r="P370" s="926"/>
      <c r="Q370" s="940">
        <v>1</v>
      </c>
      <c r="R370" s="940">
        <v>1</v>
      </c>
      <c r="S370" s="944" t="s">
        <v>3974</v>
      </c>
      <c r="T370" s="926" t="s">
        <v>3974</v>
      </c>
      <c r="U370" s="926" t="s">
        <v>3974</v>
      </c>
      <c r="V370" s="926" t="s">
        <v>3974</v>
      </c>
      <c r="W370" s="926" t="s">
        <v>3974</v>
      </c>
      <c r="X370" s="1032" t="s">
        <v>3979</v>
      </c>
      <c r="Y370" s="749" t="s">
        <v>3980</v>
      </c>
      <c r="Z370" s="1082" t="s">
        <v>5906</v>
      </c>
      <c r="AA370" s="1069" t="s">
        <v>5907</v>
      </c>
      <c r="AB370" s="312" t="s">
        <v>5644</v>
      </c>
    </row>
    <row r="371" spans="1:28" ht="84.75" customHeight="1">
      <c r="A371" s="895" t="s">
        <v>5926</v>
      </c>
      <c r="B371" s="935" t="s">
        <v>5927</v>
      </c>
      <c r="C371" s="1061" t="s">
        <v>5928</v>
      </c>
      <c r="D371" s="750" t="s">
        <v>5929</v>
      </c>
      <c r="E371" s="925">
        <v>1</v>
      </c>
      <c r="F371" s="1068" t="s">
        <v>5685</v>
      </c>
      <c r="G371" s="1069" t="s">
        <v>5930</v>
      </c>
      <c r="H371" s="1070" t="s">
        <v>5685</v>
      </c>
      <c r="I371" s="1069" t="s">
        <v>5931</v>
      </c>
      <c r="J371" s="939" t="s">
        <v>3972</v>
      </c>
      <c r="K371" s="939" t="s">
        <v>3973</v>
      </c>
      <c r="L371" s="939"/>
      <c r="M371" s="749" t="s">
        <v>3979</v>
      </c>
      <c r="N371" s="749" t="s">
        <v>3975</v>
      </c>
      <c r="O371" s="926" t="s">
        <v>3974</v>
      </c>
      <c r="P371" s="926"/>
      <c r="Q371" s="940">
        <v>1</v>
      </c>
      <c r="R371" s="940">
        <v>1</v>
      </c>
      <c r="S371" s="944" t="s">
        <v>3974</v>
      </c>
      <c r="T371" s="926" t="s">
        <v>3974</v>
      </c>
      <c r="U371" s="926" t="s">
        <v>3974</v>
      </c>
      <c r="V371" s="926" t="s">
        <v>3974</v>
      </c>
      <c r="W371" s="926" t="s">
        <v>3974</v>
      </c>
      <c r="X371" s="1032" t="s">
        <v>3979</v>
      </c>
      <c r="Y371" s="749" t="s">
        <v>3980</v>
      </c>
      <c r="Z371" s="1082" t="s">
        <v>5906</v>
      </c>
      <c r="AA371" s="1069" t="s">
        <v>5907</v>
      </c>
      <c r="AB371" s="312" t="s">
        <v>5644</v>
      </c>
    </row>
    <row r="372" spans="1:28" ht="75.75" customHeight="1">
      <c r="A372" s="895" t="s">
        <v>5932</v>
      </c>
      <c r="B372" s="935" t="s">
        <v>5933</v>
      </c>
      <c r="C372" s="1061" t="s">
        <v>5934</v>
      </c>
      <c r="D372" s="750" t="s">
        <v>5935</v>
      </c>
      <c r="E372" s="925">
        <v>1</v>
      </c>
      <c r="F372" s="1068" t="s">
        <v>5936</v>
      </c>
      <c r="G372" s="1069" t="s">
        <v>5937</v>
      </c>
      <c r="H372" s="1070" t="s">
        <v>5936</v>
      </c>
      <c r="I372" s="1069" t="s">
        <v>5938</v>
      </c>
      <c r="J372" s="939" t="s">
        <v>3972</v>
      </c>
      <c r="K372" s="939" t="s">
        <v>3973</v>
      </c>
      <c r="L372" s="939"/>
      <c r="M372" s="749" t="s">
        <v>3979</v>
      </c>
      <c r="N372" s="749" t="s">
        <v>3975</v>
      </c>
      <c r="O372" s="926" t="s">
        <v>3974</v>
      </c>
      <c r="P372" s="926"/>
      <c r="Q372" s="940">
        <v>1</v>
      </c>
      <c r="R372" s="940">
        <v>1</v>
      </c>
      <c r="S372" s="944" t="s">
        <v>3974</v>
      </c>
      <c r="T372" s="926" t="s">
        <v>3974</v>
      </c>
      <c r="U372" s="926" t="s">
        <v>3974</v>
      </c>
      <c r="V372" s="926" t="s">
        <v>3974</v>
      </c>
      <c r="W372" s="926" t="s">
        <v>3974</v>
      </c>
      <c r="X372" s="1032" t="s">
        <v>3979</v>
      </c>
      <c r="Y372" s="749" t="s">
        <v>3980</v>
      </c>
      <c r="Z372" s="1082" t="s">
        <v>5906</v>
      </c>
      <c r="AA372" s="1069" t="s">
        <v>5907</v>
      </c>
      <c r="AB372" s="312" t="s">
        <v>5644</v>
      </c>
    </row>
    <row r="373" spans="1:28" ht="75.75" customHeight="1">
      <c r="A373" s="895" t="s">
        <v>5939</v>
      </c>
      <c r="B373" s="935" t="s">
        <v>5940</v>
      </c>
      <c r="C373" s="1061" t="s">
        <v>5941</v>
      </c>
      <c r="D373" s="750" t="s">
        <v>5942</v>
      </c>
      <c r="E373" s="925">
        <v>1</v>
      </c>
      <c r="F373" s="1068" t="s">
        <v>5936</v>
      </c>
      <c r="G373" s="1069" t="s">
        <v>5943</v>
      </c>
      <c r="H373" s="1070" t="s">
        <v>5936</v>
      </c>
      <c r="I373" s="1069" t="s">
        <v>5944</v>
      </c>
      <c r="J373" s="939" t="s">
        <v>3972</v>
      </c>
      <c r="K373" s="939" t="s">
        <v>3973</v>
      </c>
      <c r="L373" s="939"/>
      <c r="M373" s="749" t="s">
        <v>3979</v>
      </c>
      <c r="N373" s="749" t="s">
        <v>3975</v>
      </c>
      <c r="O373" s="926" t="s">
        <v>3974</v>
      </c>
      <c r="P373" s="926"/>
      <c r="Q373" s="940">
        <v>1</v>
      </c>
      <c r="R373" s="940">
        <v>1</v>
      </c>
      <c r="S373" s="944" t="s">
        <v>3974</v>
      </c>
      <c r="T373" s="926" t="s">
        <v>3974</v>
      </c>
      <c r="U373" s="926" t="s">
        <v>3974</v>
      </c>
      <c r="V373" s="926" t="s">
        <v>3974</v>
      </c>
      <c r="W373" s="926" t="s">
        <v>3974</v>
      </c>
      <c r="X373" s="1032" t="s">
        <v>3979</v>
      </c>
      <c r="Y373" s="749" t="s">
        <v>3980</v>
      </c>
      <c r="Z373" s="1082" t="s">
        <v>5906</v>
      </c>
      <c r="AA373" s="1069" t="s">
        <v>5907</v>
      </c>
      <c r="AB373" s="312" t="s">
        <v>5644</v>
      </c>
    </row>
    <row r="374" spans="1:28" ht="75.75" customHeight="1">
      <c r="A374" s="895" t="s">
        <v>5945</v>
      </c>
      <c r="B374" s="935" t="s">
        <v>5946</v>
      </c>
      <c r="C374" s="1061" t="s">
        <v>5947</v>
      </c>
      <c r="D374" s="750" t="s">
        <v>5948</v>
      </c>
      <c r="E374" s="925">
        <v>1</v>
      </c>
      <c r="F374" s="1068" t="s">
        <v>5903</v>
      </c>
      <c r="G374" s="1069" t="s">
        <v>5949</v>
      </c>
      <c r="H374" s="1070" t="s">
        <v>5903</v>
      </c>
      <c r="I374" s="1069" t="s">
        <v>5950</v>
      </c>
      <c r="J374" s="939" t="s">
        <v>3972</v>
      </c>
      <c r="K374" s="939" t="s">
        <v>3973</v>
      </c>
      <c r="L374" s="939"/>
      <c r="M374" s="749" t="s">
        <v>3979</v>
      </c>
      <c r="N374" s="749" t="s">
        <v>3975</v>
      </c>
      <c r="O374" s="926" t="s">
        <v>3974</v>
      </c>
      <c r="P374" s="926"/>
      <c r="Q374" s="940">
        <v>1</v>
      </c>
      <c r="R374" s="940">
        <v>1</v>
      </c>
      <c r="S374" s="944" t="s">
        <v>3974</v>
      </c>
      <c r="T374" s="926" t="s">
        <v>3974</v>
      </c>
      <c r="U374" s="926" t="s">
        <v>3974</v>
      </c>
      <c r="V374" s="926" t="s">
        <v>3974</v>
      </c>
      <c r="W374" s="926" t="s">
        <v>3974</v>
      </c>
      <c r="X374" s="1032" t="s">
        <v>3979</v>
      </c>
      <c r="Y374" s="749" t="s">
        <v>3980</v>
      </c>
      <c r="Z374" s="1082" t="s">
        <v>5906</v>
      </c>
      <c r="AA374" s="1069" t="s">
        <v>5907</v>
      </c>
      <c r="AB374" s="312" t="s">
        <v>5644</v>
      </c>
    </row>
    <row r="375" spans="1:28" ht="75.75" customHeight="1">
      <c r="A375" s="895" t="s">
        <v>5951</v>
      </c>
      <c r="B375" s="935" t="s">
        <v>5952</v>
      </c>
      <c r="C375" s="1061" t="s">
        <v>5953</v>
      </c>
      <c r="D375" s="750" t="s">
        <v>5954</v>
      </c>
      <c r="E375" s="925">
        <v>1</v>
      </c>
      <c r="F375" s="1068" t="s">
        <v>5955</v>
      </c>
      <c r="G375" s="1069" t="s">
        <v>5956</v>
      </c>
      <c r="H375" s="1070" t="s">
        <v>5955</v>
      </c>
      <c r="I375" s="1069" t="s">
        <v>5957</v>
      </c>
      <c r="J375" s="939" t="s">
        <v>3972</v>
      </c>
      <c r="K375" s="939" t="s">
        <v>3973</v>
      </c>
      <c r="L375" s="939"/>
      <c r="M375" s="749" t="s">
        <v>3979</v>
      </c>
      <c r="N375" s="749" t="s">
        <v>3975</v>
      </c>
      <c r="O375" s="926" t="s">
        <v>3974</v>
      </c>
      <c r="P375" s="926"/>
      <c r="Q375" s="940">
        <v>1</v>
      </c>
      <c r="R375" s="940">
        <v>1</v>
      </c>
      <c r="S375" s="944" t="s">
        <v>3974</v>
      </c>
      <c r="T375" s="926" t="s">
        <v>3974</v>
      </c>
      <c r="U375" s="926" t="s">
        <v>3974</v>
      </c>
      <c r="V375" s="926" t="s">
        <v>3974</v>
      </c>
      <c r="W375" s="926" t="s">
        <v>3974</v>
      </c>
      <c r="X375" s="1032" t="s">
        <v>3979</v>
      </c>
      <c r="Y375" s="749" t="s">
        <v>3980</v>
      </c>
      <c r="Z375" s="1082" t="s">
        <v>5958</v>
      </c>
      <c r="AA375" s="1069" t="s">
        <v>5959</v>
      </c>
      <c r="AB375" s="312" t="s">
        <v>5644</v>
      </c>
    </row>
    <row r="376" spans="1:28" ht="75.75" customHeight="1">
      <c r="A376" s="895" t="s">
        <v>5960</v>
      </c>
      <c r="B376" s="935" t="s">
        <v>5961</v>
      </c>
      <c r="C376" s="1061" t="s">
        <v>5962</v>
      </c>
      <c r="D376" s="750" t="s">
        <v>5963</v>
      </c>
      <c r="E376" s="925">
        <v>1</v>
      </c>
      <c r="F376" s="3263" t="s">
        <v>5964</v>
      </c>
      <c r="G376" s="1069" t="s">
        <v>5965</v>
      </c>
      <c r="H376" s="3264" t="s">
        <v>5964</v>
      </c>
      <c r="I376" s="1069" t="s">
        <v>5966</v>
      </c>
      <c r="J376" s="939" t="s">
        <v>3972</v>
      </c>
      <c r="K376" s="939" t="s">
        <v>3973</v>
      </c>
      <c r="L376" s="939"/>
      <c r="M376" s="749" t="s">
        <v>3979</v>
      </c>
      <c r="N376" s="749" t="s">
        <v>3975</v>
      </c>
      <c r="O376" s="926" t="s">
        <v>3974</v>
      </c>
      <c r="P376" s="926"/>
      <c r="Q376" s="940">
        <v>1</v>
      </c>
      <c r="R376" s="940">
        <v>1</v>
      </c>
      <c r="S376" s="944" t="s">
        <v>3974</v>
      </c>
      <c r="T376" s="926" t="s">
        <v>3974</v>
      </c>
      <c r="U376" s="926" t="s">
        <v>3974</v>
      </c>
      <c r="V376" s="926" t="s">
        <v>3974</v>
      </c>
      <c r="W376" s="926" t="s">
        <v>3974</v>
      </c>
      <c r="X376" s="1032" t="s">
        <v>3979</v>
      </c>
      <c r="Y376" s="749" t="s">
        <v>3980</v>
      </c>
      <c r="Z376" s="1082" t="s">
        <v>5967</v>
      </c>
      <c r="AA376" s="1069" t="s">
        <v>5968</v>
      </c>
      <c r="AB376" s="312" t="s">
        <v>5644</v>
      </c>
    </row>
    <row r="377" spans="1:28" ht="75.75" customHeight="1">
      <c r="A377" s="895" t="s">
        <v>5969</v>
      </c>
      <c r="B377" s="935" t="s">
        <v>5970</v>
      </c>
      <c r="C377" s="1061" t="s">
        <v>5971</v>
      </c>
      <c r="D377" s="750" t="s">
        <v>5972</v>
      </c>
      <c r="E377" s="925">
        <v>1</v>
      </c>
      <c r="F377" s="1068" t="s">
        <v>5973</v>
      </c>
      <c r="G377" s="1069" t="s">
        <v>5974</v>
      </c>
      <c r="H377" s="1070" t="s">
        <v>5973</v>
      </c>
      <c r="I377" s="1069" t="s">
        <v>5975</v>
      </c>
      <c r="J377" s="939" t="s">
        <v>3972</v>
      </c>
      <c r="K377" s="939" t="s">
        <v>3973</v>
      </c>
      <c r="L377" s="939"/>
      <c r="M377" s="749" t="s">
        <v>3979</v>
      </c>
      <c r="N377" s="749" t="s">
        <v>3975</v>
      </c>
      <c r="O377" s="926" t="s">
        <v>3974</v>
      </c>
      <c r="P377" s="926"/>
      <c r="Q377" s="940">
        <v>1</v>
      </c>
      <c r="R377" s="940">
        <v>1</v>
      </c>
      <c r="S377" s="944" t="s">
        <v>3974</v>
      </c>
      <c r="T377" s="926" t="s">
        <v>3974</v>
      </c>
      <c r="U377" s="926" t="s">
        <v>3974</v>
      </c>
      <c r="V377" s="926" t="s">
        <v>3974</v>
      </c>
      <c r="W377" s="926" t="s">
        <v>3974</v>
      </c>
      <c r="X377" s="1032" t="s">
        <v>3979</v>
      </c>
      <c r="Y377" s="749" t="s">
        <v>3980</v>
      </c>
      <c r="Z377" s="1082" t="s">
        <v>5976</v>
      </c>
      <c r="AA377" s="1069" t="s">
        <v>5975</v>
      </c>
      <c r="AB377" s="312" t="s">
        <v>5644</v>
      </c>
    </row>
    <row r="378" spans="1:28" ht="75.75" customHeight="1">
      <c r="A378" s="895" t="s">
        <v>5977</v>
      </c>
      <c r="B378" s="935" t="s">
        <v>5978</v>
      </c>
      <c r="C378" s="1061" t="s">
        <v>5979</v>
      </c>
      <c r="D378" s="750" t="s">
        <v>5980</v>
      </c>
      <c r="E378" s="925">
        <v>1</v>
      </c>
      <c r="F378" s="1068" t="s">
        <v>5685</v>
      </c>
      <c r="G378" s="1069" t="s">
        <v>5981</v>
      </c>
      <c r="H378" s="1070" t="s">
        <v>5685</v>
      </c>
      <c r="I378" s="1069" t="s">
        <v>5982</v>
      </c>
      <c r="J378" s="939" t="s">
        <v>3972</v>
      </c>
      <c r="K378" s="939" t="s">
        <v>3973</v>
      </c>
      <c r="L378" s="939"/>
      <c r="M378" s="749" t="s">
        <v>3979</v>
      </c>
      <c r="N378" s="749" t="s">
        <v>3975</v>
      </c>
      <c r="O378" s="926" t="s">
        <v>3974</v>
      </c>
      <c r="P378" s="926"/>
      <c r="Q378" s="940">
        <v>1</v>
      </c>
      <c r="R378" s="940">
        <v>1</v>
      </c>
      <c r="S378" s="944" t="s">
        <v>3974</v>
      </c>
      <c r="T378" s="926" t="s">
        <v>3974</v>
      </c>
      <c r="U378" s="926" t="s">
        <v>3974</v>
      </c>
      <c r="V378" s="926" t="s">
        <v>3974</v>
      </c>
      <c r="W378" s="926" t="s">
        <v>3974</v>
      </c>
      <c r="X378" s="1032" t="s">
        <v>3979</v>
      </c>
      <c r="Y378" s="749" t="s">
        <v>3980</v>
      </c>
      <c r="Z378" s="1082" t="s">
        <v>5983</v>
      </c>
      <c r="AA378" s="1069" t="s">
        <v>5907</v>
      </c>
      <c r="AB378" s="312" t="s">
        <v>5644</v>
      </c>
    </row>
    <row r="379" spans="1:28" ht="75.75" customHeight="1">
      <c r="A379" s="895" t="s">
        <v>5984</v>
      </c>
      <c r="B379" s="935" t="s">
        <v>5985</v>
      </c>
      <c r="C379" s="1061" t="s">
        <v>5986</v>
      </c>
      <c r="D379" s="750" t="s">
        <v>5987</v>
      </c>
      <c r="E379" s="925">
        <v>1</v>
      </c>
      <c r="F379" s="3265" t="s">
        <v>5964</v>
      </c>
      <c r="G379" s="40" t="s">
        <v>5988</v>
      </c>
      <c r="H379" s="3266" t="s">
        <v>5964</v>
      </c>
      <c r="I379" s="1083" t="s">
        <v>5989</v>
      </c>
      <c r="J379" s="939" t="s">
        <v>3972</v>
      </c>
      <c r="K379" s="939" t="s">
        <v>3973</v>
      </c>
      <c r="L379" s="939"/>
      <c r="M379" s="749" t="s">
        <v>3979</v>
      </c>
      <c r="N379" s="749" t="s">
        <v>3975</v>
      </c>
      <c r="O379" s="926" t="s">
        <v>3974</v>
      </c>
      <c r="P379" s="926"/>
      <c r="Q379" s="940">
        <v>1</v>
      </c>
      <c r="R379" s="940">
        <v>1</v>
      </c>
      <c r="S379" s="944" t="s">
        <v>3974</v>
      </c>
      <c r="T379" s="926" t="s">
        <v>3974</v>
      </c>
      <c r="U379" s="926" t="s">
        <v>3974</v>
      </c>
      <c r="V379" s="926" t="s">
        <v>3974</v>
      </c>
      <c r="W379" s="926" t="s">
        <v>3974</v>
      </c>
      <c r="X379" s="1032" t="s">
        <v>3979</v>
      </c>
      <c r="Y379" s="749" t="s">
        <v>3980</v>
      </c>
      <c r="Z379" s="1073" t="s">
        <v>5990</v>
      </c>
      <c r="AA379" s="1084" t="s">
        <v>5991</v>
      </c>
      <c r="AB379" s="312" t="s">
        <v>5644</v>
      </c>
    </row>
    <row r="380" spans="1:28" ht="75.75" customHeight="1">
      <c r="A380" s="895" t="s">
        <v>5992</v>
      </c>
      <c r="B380" s="935" t="s">
        <v>5993</v>
      </c>
      <c r="C380" s="1061" t="s">
        <v>5994</v>
      </c>
      <c r="D380" s="750" t="s">
        <v>5995</v>
      </c>
      <c r="E380" s="925">
        <v>1</v>
      </c>
      <c r="F380" s="3267" t="s">
        <v>5964</v>
      </c>
      <c r="G380" s="40" t="s">
        <v>5988</v>
      </c>
      <c r="H380" s="3268" t="s">
        <v>5964</v>
      </c>
      <c r="I380" s="1083" t="s">
        <v>5996</v>
      </c>
      <c r="J380" s="939" t="s">
        <v>3972</v>
      </c>
      <c r="K380" s="939" t="s">
        <v>3973</v>
      </c>
      <c r="L380" s="939"/>
      <c r="M380" s="749" t="s">
        <v>3979</v>
      </c>
      <c r="N380" s="749" t="s">
        <v>3975</v>
      </c>
      <c r="O380" s="926" t="s">
        <v>3974</v>
      </c>
      <c r="P380" s="926"/>
      <c r="Q380" s="940">
        <v>1</v>
      </c>
      <c r="R380" s="940">
        <v>1</v>
      </c>
      <c r="S380" s="944" t="s">
        <v>3974</v>
      </c>
      <c r="T380" s="926" t="s">
        <v>3974</v>
      </c>
      <c r="U380" s="926" t="s">
        <v>3974</v>
      </c>
      <c r="V380" s="926" t="s">
        <v>3974</v>
      </c>
      <c r="W380" s="926" t="s">
        <v>3974</v>
      </c>
      <c r="X380" s="1032" t="s">
        <v>3979</v>
      </c>
      <c r="Y380" s="749" t="s">
        <v>3980</v>
      </c>
      <c r="Z380" s="1073" t="s">
        <v>5990</v>
      </c>
      <c r="AA380" s="1084" t="s">
        <v>5806</v>
      </c>
      <c r="AB380" s="312" t="s">
        <v>5644</v>
      </c>
    </row>
    <row r="381" spans="1:28" s="1120" customFormat="1" ht="14.25" customHeight="1">
      <c r="A381" s="1121" t="s">
        <v>5997</v>
      </c>
      <c r="B381" s="1121" t="s">
        <v>5998</v>
      </c>
      <c r="C381" s="1122" t="s">
        <v>5999</v>
      </c>
      <c r="D381" s="837" t="s">
        <v>6000</v>
      </c>
      <c r="E381" s="984">
        <v>0</v>
      </c>
      <c r="F381" s="1060" t="s">
        <v>6001</v>
      </c>
      <c r="G381" s="1024"/>
      <c r="H381" s="263"/>
      <c r="I381" s="1123"/>
      <c r="J381" s="1060"/>
      <c r="K381" s="1060"/>
      <c r="L381" s="1060"/>
      <c r="M381" s="1060"/>
      <c r="N381" s="1060"/>
      <c r="O381" s="956" t="s">
        <v>3974</v>
      </c>
      <c r="P381" s="956"/>
      <c r="Q381" s="1020">
        <v>1</v>
      </c>
      <c r="R381" s="1020">
        <v>1</v>
      </c>
      <c r="S381" s="996" t="s">
        <v>3974</v>
      </c>
      <c r="T381" s="956" t="s">
        <v>3974</v>
      </c>
      <c r="U381" s="956" t="s">
        <v>3974</v>
      </c>
      <c r="V381" s="956" t="s">
        <v>3974</v>
      </c>
      <c r="W381" s="956" t="s">
        <v>3974</v>
      </c>
      <c r="X381" s="1059"/>
      <c r="Y381" s="1060"/>
      <c r="Z381" s="1024"/>
      <c r="AA381" s="1024"/>
      <c r="AB381" s="319"/>
    </row>
    <row r="382" spans="1:28" s="1120" customFormat="1" ht="14.25" customHeight="1">
      <c r="A382" s="1121" t="s">
        <v>6002</v>
      </c>
      <c r="B382" s="1121" t="s">
        <v>6003</v>
      </c>
      <c r="C382" s="1122" t="s">
        <v>6004</v>
      </c>
      <c r="D382" s="837" t="s">
        <v>6005</v>
      </c>
      <c r="E382" s="984">
        <v>0</v>
      </c>
      <c r="F382" s="1060" t="s">
        <v>6001</v>
      </c>
      <c r="G382" s="1024"/>
      <c r="H382" s="1060"/>
      <c r="I382" s="1058"/>
      <c r="J382" s="1060"/>
      <c r="K382" s="1060"/>
      <c r="L382" s="1060"/>
      <c r="M382" s="1060"/>
      <c r="N382" s="1060"/>
      <c r="O382" s="956" t="s">
        <v>3974</v>
      </c>
      <c r="P382" s="956"/>
      <c r="Q382" s="1020">
        <v>1</v>
      </c>
      <c r="R382" s="1020">
        <v>1</v>
      </c>
      <c r="S382" s="996" t="s">
        <v>3974</v>
      </c>
      <c r="T382" s="956" t="s">
        <v>3974</v>
      </c>
      <c r="U382" s="956" t="s">
        <v>3974</v>
      </c>
      <c r="V382" s="956" t="s">
        <v>3974</v>
      </c>
      <c r="W382" s="956" t="s">
        <v>3974</v>
      </c>
      <c r="X382" s="1059"/>
      <c r="Y382" s="1060"/>
      <c r="Z382" s="1024"/>
      <c r="AA382" s="1024"/>
      <c r="AB382" s="319"/>
    </row>
    <row r="383" spans="1:28" ht="81.75" customHeight="1">
      <c r="A383" s="1085" t="s">
        <v>6006</v>
      </c>
      <c r="B383" s="1085" t="s">
        <v>6007</v>
      </c>
      <c r="C383" s="1086" t="s">
        <v>6008</v>
      </c>
      <c r="D383" s="750" t="s">
        <v>6009</v>
      </c>
      <c r="E383" s="925">
        <v>1</v>
      </c>
      <c r="F383" s="1118" t="s">
        <v>6010</v>
      </c>
      <c r="G383" s="1118" t="s">
        <v>6011</v>
      </c>
      <c r="H383" s="1118" t="s">
        <v>6012</v>
      </c>
      <c r="I383" s="1125" t="s">
        <v>6013</v>
      </c>
      <c r="J383" s="1118" t="s">
        <v>6014</v>
      </c>
      <c r="K383" s="1118" t="s">
        <v>6015</v>
      </c>
      <c r="L383" s="749"/>
      <c r="M383" s="749"/>
      <c r="N383" s="749"/>
      <c r="O383" s="926" t="s">
        <v>3974</v>
      </c>
      <c r="P383" s="926"/>
      <c r="Q383" s="940">
        <v>1</v>
      </c>
      <c r="R383" s="940">
        <v>1</v>
      </c>
      <c r="S383" s="944" t="s">
        <v>3974</v>
      </c>
      <c r="T383" s="926" t="s">
        <v>3974</v>
      </c>
      <c r="U383" s="926" t="s">
        <v>3974</v>
      </c>
      <c r="V383" s="926" t="s">
        <v>3974</v>
      </c>
      <c r="W383" s="926" t="s">
        <v>3974</v>
      </c>
      <c r="X383" s="1032"/>
      <c r="Y383" s="1118" t="s">
        <v>6016</v>
      </c>
      <c r="Z383" s="1118" t="s">
        <v>6017</v>
      </c>
      <c r="AA383" s="1118" t="s">
        <v>6018</v>
      </c>
    </row>
    <row r="384" spans="1:28" ht="81.75" customHeight="1">
      <c r="A384" s="1085" t="s">
        <v>6019</v>
      </c>
      <c r="B384" s="1085" t="s">
        <v>6020</v>
      </c>
      <c r="C384" s="1086" t="s">
        <v>6021</v>
      </c>
      <c r="D384" s="750" t="s">
        <v>6022</v>
      </c>
      <c r="E384" s="925">
        <v>1</v>
      </c>
      <c r="F384" s="1119" t="s">
        <v>6010</v>
      </c>
      <c r="G384" s="1119" t="s">
        <v>6023</v>
      </c>
      <c r="H384" s="1119" t="s">
        <v>6024</v>
      </c>
      <c r="I384" s="1124" t="s">
        <v>6025</v>
      </c>
      <c r="J384" s="1119" t="s">
        <v>6014</v>
      </c>
      <c r="K384" s="1119" t="s">
        <v>6015</v>
      </c>
      <c r="L384" s="749"/>
      <c r="M384" s="749"/>
      <c r="N384" s="749"/>
      <c r="O384" s="926" t="s">
        <v>3974</v>
      </c>
      <c r="P384" s="926"/>
      <c r="Q384" s="940">
        <v>1</v>
      </c>
      <c r="R384" s="940">
        <v>1</v>
      </c>
      <c r="S384" s="944" t="s">
        <v>3974</v>
      </c>
      <c r="T384" s="926" t="s">
        <v>3974</v>
      </c>
      <c r="U384" s="926" t="s">
        <v>3974</v>
      </c>
      <c r="V384" s="926" t="s">
        <v>3974</v>
      </c>
      <c r="W384" s="926" t="s">
        <v>3974</v>
      </c>
      <c r="X384" s="1032"/>
      <c r="Y384" s="1119" t="s">
        <v>6016</v>
      </c>
      <c r="Z384" s="1119" t="s">
        <v>6026</v>
      </c>
      <c r="AA384" s="1119" t="s">
        <v>6027</v>
      </c>
    </row>
    <row r="385" spans="1:27" ht="95.25" customHeight="1">
      <c r="A385" s="1085" t="s">
        <v>6028</v>
      </c>
      <c r="B385" s="1085" t="s">
        <v>6029</v>
      </c>
      <c r="C385" s="1086" t="s">
        <v>6030</v>
      </c>
      <c r="D385" s="750" t="s">
        <v>6031</v>
      </c>
      <c r="E385" s="925">
        <v>1</v>
      </c>
      <c r="F385" s="1119" t="s">
        <v>6032</v>
      </c>
      <c r="G385" s="1119" t="s">
        <v>6033</v>
      </c>
      <c r="H385" s="1119" t="s">
        <v>6034</v>
      </c>
      <c r="I385" s="1124" t="s">
        <v>6035</v>
      </c>
      <c r="J385" s="1119" t="s">
        <v>6036</v>
      </c>
      <c r="K385" s="1119" t="s">
        <v>6037</v>
      </c>
      <c r="L385" s="749"/>
      <c r="M385" s="749"/>
      <c r="N385" s="749"/>
      <c r="O385" s="926" t="s">
        <v>3974</v>
      </c>
      <c r="P385" s="926"/>
      <c r="Q385" s="940">
        <v>1</v>
      </c>
      <c r="R385" s="940">
        <v>1</v>
      </c>
      <c r="S385" s="944" t="s">
        <v>3974</v>
      </c>
      <c r="T385" s="926" t="s">
        <v>3974</v>
      </c>
      <c r="U385" s="926" t="s">
        <v>3974</v>
      </c>
      <c r="V385" s="926" t="s">
        <v>3974</v>
      </c>
      <c r="W385" s="926" t="s">
        <v>3974</v>
      </c>
      <c r="X385" s="1032"/>
      <c r="Y385" s="1119" t="s">
        <v>6016</v>
      </c>
      <c r="Z385" s="1119" t="s">
        <v>6038</v>
      </c>
      <c r="AA385" s="1119" t="s">
        <v>6039</v>
      </c>
    </row>
    <row r="386" spans="1:27" ht="108.75" customHeight="1">
      <c r="A386" s="1085" t="s">
        <v>6040</v>
      </c>
      <c r="B386" s="1085" t="s">
        <v>6041</v>
      </c>
      <c r="C386" s="1086" t="s">
        <v>6042</v>
      </c>
      <c r="D386" s="750" t="s">
        <v>6043</v>
      </c>
      <c r="E386" s="925">
        <v>1</v>
      </c>
      <c r="F386" s="1119" t="s">
        <v>6044</v>
      </c>
      <c r="G386" s="1119" t="s">
        <v>6045</v>
      </c>
      <c r="H386" s="1119" t="s">
        <v>6046</v>
      </c>
      <c r="I386" s="1124" t="s">
        <v>6047</v>
      </c>
      <c r="J386" s="1119" t="s">
        <v>6048</v>
      </c>
      <c r="K386" s="1119" t="s">
        <v>6015</v>
      </c>
      <c r="L386" s="749"/>
      <c r="M386" s="749"/>
      <c r="N386" s="749"/>
      <c r="O386" s="926" t="s">
        <v>3974</v>
      </c>
      <c r="P386" s="926"/>
      <c r="Q386" s="940">
        <v>1</v>
      </c>
      <c r="R386" s="940">
        <v>1</v>
      </c>
      <c r="S386" s="944" t="s">
        <v>3974</v>
      </c>
      <c r="T386" s="926" t="s">
        <v>3974</v>
      </c>
      <c r="U386" s="926" t="s">
        <v>3974</v>
      </c>
      <c r="V386" s="926" t="s">
        <v>3974</v>
      </c>
      <c r="W386" s="926" t="s">
        <v>3974</v>
      </c>
      <c r="X386" s="1032"/>
      <c r="Y386" s="1119" t="s">
        <v>6016</v>
      </c>
      <c r="Z386" s="1119" t="s">
        <v>6049</v>
      </c>
      <c r="AA386" s="1119" t="s">
        <v>6050</v>
      </c>
    </row>
    <row r="387" spans="1:27" ht="122.25" customHeight="1">
      <c r="A387" s="1085" t="s">
        <v>6051</v>
      </c>
      <c r="B387" s="1085" t="s">
        <v>6052</v>
      </c>
      <c r="C387" s="1086" t="s">
        <v>6053</v>
      </c>
      <c r="D387" s="750" t="s">
        <v>6054</v>
      </c>
      <c r="E387" s="925">
        <v>1</v>
      </c>
      <c r="F387" s="1119" t="s">
        <v>6055</v>
      </c>
      <c r="G387" s="1119" t="s">
        <v>6056</v>
      </c>
      <c r="H387" s="1119" t="s">
        <v>6057</v>
      </c>
      <c r="I387" s="1124" t="s">
        <v>6058</v>
      </c>
      <c r="J387" s="1119" t="s">
        <v>6059</v>
      </c>
      <c r="K387" s="1119" t="s">
        <v>6060</v>
      </c>
      <c r="L387" s="749"/>
      <c r="M387" s="749"/>
      <c r="N387" s="749"/>
      <c r="O387" s="926" t="s">
        <v>3974</v>
      </c>
      <c r="P387" s="926"/>
      <c r="Q387" s="940">
        <v>1</v>
      </c>
      <c r="R387" s="940">
        <v>1</v>
      </c>
      <c r="S387" s="944" t="s">
        <v>3974</v>
      </c>
      <c r="T387" s="926" t="s">
        <v>3974</v>
      </c>
      <c r="U387" s="926" t="s">
        <v>3974</v>
      </c>
      <c r="V387" s="926" t="s">
        <v>3974</v>
      </c>
      <c r="W387" s="926" t="s">
        <v>3974</v>
      </c>
      <c r="X387" s="1032"/>
      <c r="Y387" s="1119" t="s">
        <v>6016</v>
      </c>
      <c r="Z387" s="1119" t="s">
        <v>6061</v>
      </c>
      <c r="AA387" s="1119" t="s">
        <v>6062</v>
      </c>
    </row>
    <row r="388" spans="1:27" ht="108.75" customHeight="1">
      <c r="A388" s="1085" t="s">
        <v>6063</v>
      </c>
      <c r="B388" s="1085" t="s">
        <v>6064</v>
      </c>
      <c r="C388" s="1086" t="s">
        <v>6065</v>
      </c>
      <c r="D388" s="750" t="s">
        <v>6066</v>
      </c>
      <c r="E388" s="925">
        <v>1</v>
      </c>
      <c r="F388" s="1119" t="s">
        <v>6067</v>
      </c>
      <c r="G388" s="1119" t="s">
        <v>6068</v>
      </c>
      <c r="H388" s="1119" t="s">
        <v>6069</v>
      </c>
      <c r="I388" s="1124" t="s">
        <v>6070</v>
      </c>
      <c r="J388" s="1119" t="s">
        <v>6059</v>
      </c>
      <c r="K388" s="1119" t="s">
        <v>6060</v>
      </c>
      <c r="L388" s="749"/>
      <c r="M388" s="749"/>
      <c r="N388" s="749"/>
      <c r="O388" s="926" t="s">
        <v>3974</v>
      </c>
      <c r="P388" s="926"/>
      <c r="Q388" s="940">
        <v>1</v>
      </c>
      <c r="R388" s="940">
        <v>1</v>
      </c>
      <c r="S388" s="944" t="s">
        <v>3974</v>
      </c>
      <c r="T388" s="926" t="s">
        <v>3974</v>
      </c>
      <c r="U388" s="926" t="s">
        <v>3974</v>
      </c>
      <c r="V388" s="926" t="s">
        <v>3974</v>
      </c>
      <c r="W388" s="926" t="s">
        <v>3974</v>
      </c>
      <c r="X388" s="1032"/>
      <c r="Y388" s="1119" t="s">
        <v>6016</v>
      </c>
      <c r="Z388" s="1119" t="s">
        <v>6071</v>
      </c>
      <c r="AA388" s="1119" t="s">
        <v>6072</v>
      </c>
    </row>
    <row r="389" spans="1:27" ht="81.75" customHeight="1">
      <c r="A389" s="1085" t="s">
        <v>6073</v>
      </c>
      <c r="B389" s="1085" t="s">
        <v>6074</v>
      </c>
      <c r="C389" s="1086" t="s">
        <v>6075</v>
      </c>
      <c r="D389" s="750" t="s">
        <v>6076</v>
      </c>
      <c r="E389" s="925">
        <v>1</v>
      </c>
      <c r="F389" s="1119" t="s">
        <v>6077</v>
      </c>
      <c r="G389" s="1119" t="s">
        <v>6078</v>
      </c>
      <c r="H389" s="1119" t="s">
        <v>6079</v>
      </c>
      <c r="I389" s="1124" t="s">
        <v>6080</v>
      </c>
      <c r="J389" s="1119" t="s">
        <v>6059</v>
      </c>
      <c r="K389" s="1119" t="s">
        <v>6060</v>
      </c>
      <c r="L389" s="749"/>
      <c r="M389" s="749"/>
      <c r="N389" s="749"/>
      <c r="O389" s="926" t="s">
        <v>3974</v>
      </c>
      <c r="P389" s="926"/>
      <c r="Q389" s="940">
        <v>1</v>
      </c>
      <c r="R389" s="940">
        <v>1</v>
      </c>
      <c r="S389" s="944" t="s">
        <v>3974</v>
      </c>
      <c r="T389" s="926" t="s">
        <v>3974</v>
      </c>
      <c r="U389" s="926" t="s">
        <v>3974</v>
      </c>
      <c r="V389" s="926" t="s">
        <v>3974</v>
      </c>
      <c r="W389" s="926" t="s">
        <v>3974</v>
      </c>
      <c r="X389" s="1032"/>
      <c r="Y389" s="1119" t="s">
        <v>6016</v>
      </c>
      <c r="Z389" s="1119" t="s">
        <v>6081</v>
      </c>
      <c r="AA389" s="1119" t="s">
        <v>6082</v>
      </c>
    </row>
    <row r="390" spans="1:27" ht="108.75" customHeight="1">
      <c r="A390" s="1085" t="s">
        <v>6083</v>
      </c>
      <c r="B390" s="1085" t="s">
        <v>6084</v>
      </c>
      <c r="C390" s="1086" t="s">
        <v>6085</v>
      </c>
      <c r="D390" s="750" t="s">
        <v>6086</v>
      </c>
      <c r="E390" s="925">
        <v>1</v>
      </c>
      <c r="F390" s="1119" t="s">
        <v>6087</v>
      </c>
      <c r="G390" s="1119" t="s">
        <v>6045</v>
      </c>
      <c r="H390" s="1119" t="s">
        <v>6088</v>
      </c>
      <c r="I390" s="1124" t="s">
        <v>6047</v>
      </c>
      <c r="J390" s="1119" t="s">
        <v>6048</v>
      </c>
      <c r="K390" s="1119" t="s">
        <v>6015</v>
      </c>
      <c r="L390" s="749"/>
      <c r="M390" s="749"/>
      <c r="N390" s="749"/>
      <c r="O390" s="926" t="s">
        <v>3974</v>
      </c>
      <c r="P390" s="926"/>
      <c r="Q390" s="940">
        <v>1</v>
      </c>
      <c r="R390" s="940">
        <v>1</v>
      </c>
      <c r="S390" s="944" t="s">
        <v>3974</v>
      </c>
      <c r="T390" s="926" t="s">
        <v>3974</v>
      </c>
      <c r="U390" s="926" t="s">
        <v>3974</v>
      </c>
      <c r="V390" s="926" t="s">
        <v>3974</v>
      </c>
      <c r="W390" s="926" t="s">
        <v>3974</v>
      </c>
      <c r="X390" s="1032"/>
      <c r="Y390" s="1119" t="s">
        <v>6016</v>
      </c>
      <c r="Z390" s="1119" t="s">
        <v>6049</v>
      </c>
      <c r="AA390" s="1119" t="s">
        <v>6050</v>
      </c>
    </row>
    <row r="391" spans="1:27" ht="95.25" customHeight="1">
      <c r="A391" s="1085" t="s">
        <v>6089</v>
      </c>
      <c r="B391" s="1085" t="s">
        <v>6090</v>
      </c>
      <c r="C391" s="1086" t="s">
        <v>6091</v>
      </c>
      <c r="D391" s="750" t="s">
        <v>6092</v>
      </c>
      <c r="E391" s="925">
        <v>1</v>
      </c>
      <c r="F391" s="1119" t="s">
        <v>6032</v>
      </c>
      <c r="G391" s="1119" t="s">
        <v>6093</v>
      </c>
      <c r="H391" s="1119" t="s">
        <v>6094</v>
      </c>
      <c r="I391" s="1124" t="s">
        <v>6095</v>
      </c>
      <c r="J391" s="1119" t="s">
        <v>6036</v>
      </c>
      <c r="K391" s="1119" t="s">
        <v>6037</v>
      </c>
      <c r="L391" s="749"/>
      <c r="M391" s="749"/>
      <c r="N391" s="749"/>
      <c r="O391" s="926" t="s">
        <v>3974</v>
      </c>
      <c r="P391" s="926"/>
      <c r="Q391" s="940">
        <v>1</v>
      </c>
      <c r="R391" s="940">
        <v>1</v>
      </c>
      <c r="S391" s="944" t="s">
        <v>3974</v>
      </c>
      <c r="T391" s="926" t="s">
        <v>3974</v>
      </c>
      <c r="U391" s="926" t="s">
        <v>3974</v>
      </c>
      <c r="V391" s="926" t="s">
        <v>3974</v>
      </c>
      <c r="W391" s="926" t="s">
        <v>3974</v>
      </c>
      <c r="X391" s="1032"/>
      <c r="Y391" s="1119" t="s">
        <v>6016</v>
      </c>
      <c r="Z391" s="1119" t="s">
        <v>6038</v>
      </c>
      <c r="AA391" s="1119" t="s">
        <v>6096</v>
      </c>
    </row>
    <row r="392" spans="1:27" ht="122.25" customHeight="1">
      <c r="A392" s="1085" t="s">
        <v>6097</v>
      </c>
      <c r="B392" s="1085" t="s">
        <v>6098</v>
      </c>
      <c r="C392" s="1086" t="s">
        <v>6099</v>
      </c>
      <c r="D392" s="750" t="s">
        <v>6100</v>
      </c>
      <c r="E392" s="925">
        <v>1</v>
      </c>
      <c r="F392" s="1119" t="s">
        <v>6055</v>
      </c>
      <c r="G392" s="1119" t="s">
        <v>6101</v>
      </c>
      <c r="H392" s="1119" t="s">
        <v>6102</v>
      </c>
      <c r="I392" s="1124" t="s">
        <v>6058</v>
      </c>
      <c r="J392" s="1119" t="s">
        <v>6059</v>
      </c>
      <c r="K392" s="1119" t="s">
        <v>6060</v>
      </c>
      <c r="L392" s="749"/>
      <c r="M392" s="749"/>
      <c r="N392" s="749"/>
      <c r="O392" s="926" t="s">
        <v>3974</v>
      </c>
      <c r="P392" s="926"/>
      <c r="Q392" s="940">
        <v>1</v>
      </c>
      <c r="R392" s="940">
        <v>1</v>
      </c>
      <c r="S392" s="944" t="s">
        <v>3974</v>
      </c>
      <c r="T392" s="926" t="s">
        <v>3974</v>
      </c>
      <c r="U392" s="926" t="s">
        <v>3974</v>
      </c>
      <c r="V392" s="926" t="s">
        <v>3974</v>
      </c>
      <c r="W392" s="926" t="s">
        <v>3974</v>
      </c>
      <c r="X392" s="1032"/>
      <c r="Y392" s="1119" t="s">
        <v>6016</v>
      </c>
      <c r="Z392" s="1119" t="s">
        <v>6061</v>
      </c>
      <c r="AA392" s="1119" t="s">
        <v>6103</v>
      </c>
    </row>
    <row r="393" spans="1:27" ht="108.75" customHeight="1">
      <c r="A393" s="1085" t="s">
        <v>6104</v>
      </c>
      <c r="B393" s="1085" t="s">
        <v>6105</v>
      </c>
      <c r="C393" s="1086" t="s">
        <v>6106</v>
      </c>
      <c r="D393" s="750" t="s">
        <v>6107</v>
      </c>
      <c r="E393" s="925">
        <v>1</v>
      </c>
      <c r="F393" s="1119" t="s">
        <v>6108</v>
      </c>
      <c r="G393" s="1119" t="s">
        <v>6068</v>
      </c>
      <c r="H393" s="1119" t="s">
        <v>6109</v>
      </c>
      <c r="I393" s="1124" t="s">
        <v>6070</v>
      </c>
      <c r="J393" s="1119" t="s">
        <v>6059</v>
      </c>
      <c r="K393" s="1119" t="s">
        <v>6060</v>
      </c>
      <c r="L393" s="749"/>
      <c r="M393" s="749"/>
      <c r="N393" s="749"/>
      <c r="O393" s="926" t="s">
        <v>3974</v>
      </c>
      <c r="P393" s="926"/>
      <c r="Q393" s="940">
        <v>1</v>
      </c>
      <c r="R393" s="940">
        <v>1</v>
      </c>
      <c r="S393" s="944" t="s">
        <v>3974</v>
      </c>
      <c r="T393" s="926" t="s">
        <v>3974</v>
      </c>
      <c r="U393" s="926" t="s">
        <v>3974</v>
      </c>
      <c r="V393" s="926" t="s">
        <v>3974</v>
      </c>
      <c r="W393" s="926" t="s">
        <v>3974</v>
      </c>
      <c r="X393" s="1032"/>
      <c r="Y393" s="1119" t="s">
        <v>6016</v>
      </c>
      <c r="Z393" s="1119" t="s">
        <v>6071</v>
      </c>
      <c r="AA393" s="1119" t="s">
        <v>6072</v>
      </c>
    </row>
    <row r="394" spans="1:27" ht="81.75" customHeight="1">
      <c r="A394" s="1085" t="s">
        <v>6110</v>
      </c>
      <c r="B394" s="1085" t="s">
        <v>6111</v>
      </c>
      <c r="C394" s="1086" t="s">
        <v>6112</v>
      </c>
      <c r="D394" s="750" t="s">
        <v>6113</v>
      </c>
      <c r="E394" s="925">
        <v>1</v>
      </c>
      <c r="F394" s="1119" t="s">
        <v>6077</v>
      </c>
      <c r="G394" s="1119" t="s">
        <v>6078</v>
      </c>
      <c r="H394" s="1119" t="s">
        <v>6114</v>
      </c>
      <c r="I394" s="1124" t="s">
        <v>6080</v>
      </c>
      <c r="J394" s="1119" t="s">
        <v>6059</v>
      </c>
      <c r="K394" s="1119" t="s">
        <v>6060</v>
      </c>
      <c r="L394" s="749"/>
      <c r="M394" s="749"/>
      <c r="N394" s="749"/>
      <c r="O394" s="926" t="s">
        <v>3974</v>
      </c>
      <c r="P394" s="926"/>
      <c r="Q394" s="940">
        <v>1</v>
      </c>
      <c r="R394" s="940">
        <v>1</v>
      </c>
      <c r="S394" s="944" t="s">
        <v>3974</v>
      </c>
      <c r="T394" s="926" t="s">
        <v>3974</v>
      </c>
      <c r="U394" s="926" t="s">
        <v>3974</v>
      </c>
      <c r="V394" s="926" t="s">
        <v>3974</v>
      </c>
      <c r="W394" s="926" t="s">
        <v>3974</v>
      </c>
      <c r="X394" s="1032"/>
      <c r="Y394" s="1119" t="s">
        <v>6016</v>
      </c>
      <c r="Z394" s="1119" t="s">
        <v>6081</v>
      </c>
      <c r="AA394" s="1119" t="s">
        <v>6115</v>
      </c>
    </row>
    <row r="395" spans="1:27" ht="135.75" customHeight="1">
      <c r="A395" s="1085" t="s">
        <v>6116</v>
      </c>
      <c r="B395" s="1085" t="s">
        <v>6117</v>
      </c>
      <c r="C395" s="1086" t="s">
        <v>6118</v>
      </c>
      <c r="D395" s="750" t="s">
        <v>6119</v>
      </c>
      <c r="E395" s="925">
        <v>1</v>
      </c>
      <c r="F395" s="1119" t="s">
        <v>6032</v>
      </c>
      <c r="G395" s="1119" t="s">
        <v>6120</v>
      </c>
      <c r="H395" s="1119" t="s">
        <v>6121</v>
      </c>
      <c r="I395" s="1124" t="s">
        <v>6122</v>
      </c>
      <c r="J395" s="1119" t="s">
        <v>6123</v>
      </c>
      <c r="K395" s="1119" t="s">
        <v>6037</v>
      </c>
      <c r="L395" s="749"/>
      <c r="M395" s="749"/>
      <c r="N395" s="749"/>
      <c r="O395" s="926" t="s">
        <v>3974</v>
      </c>
      <c r="P395" s="926"/>
      <c r="Q395" s="940">
        <v>1</v>
      </c>
      <c r="R395" s="940">
        <v>1</v>
      </c>
      <c r="S395" s="944" t="s">
        <v>3974</v>
      </c>
      <c r="T395" s="926" t="s">
        <v>3974</v>
      </c>
      <c r="U395" s="926" t="s">
        <v>3974</v>
      </c>
      <c r="V395" s="926" t="s">
        <v>3974</v>
      </c>
      <c r="W395" s="926" t="s">
        <v>3974</v>
      </c>
      <c r="X395" s="1032"/>
      <c r="Y395" s="1119" t="s">
        <v>6016</v>
      </c>
      <c r="Z395" s="1119" t="s">
        <v>6124</v>
      </c>
      <c r="AA395" s="1119" t="s">
        <v>6125</v>
      </c>
    </row>
    <row r="396" spans="1:27" ht="135.75" customHeight="1">
      <c r="A396" s="1085" t="s">
        <v>6126</v>
      </c>
      <c r="B396" s="1085" t="s">
        <v>6127</v>
      </c>
      <c r="C396" s="1086" t="s">
        <v>6128</v>
      </c>
      <c r="D396" s="750" t="s">
        <v>6129</v>
      </c>
      <c r="E396" s="925">
        <v>1</v>
      </c>
      <c r="F396" s="1119" t="s">
        <v>6130</v>
      </c>
      <c r="G396" s="1119" t="s">
        <v>6131</v>
      </c>
      <c r="H396" s="1119" t="s">
        <v>6132</v>
      </c>
      <c r="I396" s="1124" t="s">
        <v>6133</v>
      </c>
      <c r="J396" s="1119" t="s">
        <v>6134</v>
      </c>
      <c r="K396" s="1119" t="s">
        <v>6037</v>
      </c>
      <c r="L396" s="749"/>
      <c r="M396" s="749"/>
      <c r="N396" s="749"/>
      <c r="O396" s="926" t="s">
        <v>3974</v>
      </c>
      <c r="P396" s="926"/>
      <c r="Q396" s="940">
        <v>1</v>
      </c>
      <c r="R396" s="940">
        <v>1</v>
      </c>
      <c r="S396" s="944" t="s">
        <v>3974</v>
      </c>
      <c r="T396" s="926" t="s">
        <v>3974</v>
      </c>
      <c r="U396" s="926" t="s">
        <v>3974</v>
      </c>
      <c r="V396" s="926" t="s">
        <v>3974</v>
      </c>
      <c r="W396" s="926" t="s">
        <v>3974</v>
      </c>
      <c r="X396" s="1032"/>
      <c r="Y396" s="1119" t="s">
        <v>6016</v>
      </c>
      <c r="Z396" s="1119" t="s">
        <v>6135</v>
      </c>
      <c r="AA396" s="1119" t="s">
        <v>6136</v>
      </c>
    </row>
    <row r="397" spans="1:27" ht="108.75" customHeight="1">
      <c r="A397" s="1085" t="s">
        <v>6137</v>
      </c>
      <c r="B397" s="1085" t="s">
        <v>6138</v>
      </c>
      <c r="C397" s="1086" t="s">
        <v>6139</v>
      </c>
      <c r="D397" s="750" t="s">
        <v>6140</v>
      </c>
      <c r="E397" s="925">
        <v>1</v>
      </c>
      <c r="F397" s="1119" t="s">
        <v>6141</v>
      </c>
      <c r="G397" s="1119" t="s">
        <v>6142</v>
      </c>
      <c r="H397" s="1119" t="s">
        <v>6143</v>
      </c>
      <c r="I397" s="1124" t="s">
        <v>6144</v>
      </c>
      <c r="J397" s="1119" t="s">
        <v>6123</v>
      </c>
      <c r="K397" s="1119" t="s">
        <v>6037</v>
      </c>
      <c r="L397" s="749"/>
      <c r="M397" s="749"/>
      <c r="N397" s="749"/>
      <c r="O397" s="926" t="s">
        <v>3974</v>
      </c>
      <c r="P397" s="926"/>
      <c r="Q397" s="940">
        <v>1</v>
      </c>
      <c r="R397" s="940">
        <v>1</v>
      </c>
      <c r="S397" s="944" t="s">
        <v>3974</v>
      </c>
      <c r="T397" s="926" t="s">
        <v>3974</v>
      </c>
      <c r="U397" s="926" t="s">
        <v>3974</v>
      </c>
      <c r="V397" s="926" t="s">
        <v>3974</v>
      </c>
      <c r="W397" s="926" t="s">
        <v>3974</v>
      </c>
      <c r="X397" s="1032"/>
      <c r="Y397" s="1119" t="s">
        <v>6016</v>
      </c>
      <c r="Z397" s="1119" t="s">
        <v>6124</v>
      </c>
      <c r="AA397" s="1119" t="s">
        <v>6145</v>
      </c>
    </row>
    <row r="398" spans="1:27" ht="135.75" customHeight="1">
      <c r="A398" s="1085" t="s">
        <v>1182</v>
      </c>
      <c r="B398" s="1085" t="s">
        <v>6146</v>
      </c>
      <c r="C398" s="1086" t="s">
        <v>6147</v>
      </c>
      <c r="D398" s="750" t="s">
        <v>6148</v>
      </c>
      <c r="E398" s="925">
        <v>1</v>
      </c>
      <c r="F398" s="1119" t="s">
        <v>6149</v>
      </c>
      <c r="G398" s="1119" t="s">
        <v>6150</v>
      </c>
      <c r="H398" s="1119" t="s">
        <v>6151</v>
      </c>
      <c r="I398" s="1124" t="s">
        <v>6152</v>
      </c>
      <c r="J398" s="1119" t="s">
        <v>6134</v>
      </c>
      <c r="K398" s="1119" t="s">
        <v>6037</v>
      </c>
      <c r="L398" s="749"/>
      <c r="M398" s="749"/>
      <c r="N398" s="749"/>
      <c r="O398" s="926" t="s">
        <v>3974</v>
      </c>
      <c r="P398" s="926"/>
      <c r="Q398" s="940">
        <v>1</v>
      </c>
      <c r="R398" s="940">
        <v>1</v>
      </c>
      <c r="S398" s="944" t="s">
        <v>3974</v>
      </c>
      <c r="T398" s="926" t="s">
        <v>3974</v>
      </c>
      <c r="U398" s="926" t="s">
        <v>3974</v>
      </c>
      <c r="V398" s="926" t="s">
        <v>3974</v>
      </c>
      <c r="W398" s="926" t="s">
        <v>3974</v>
      </c>
      <c r="X398" s="1032"/>
      <c r="Y398" s="1119" t="s">
        <v>6016</v>
      </c>
      <c r="Z398" s="1119" t="s">
        <v>6153</v>
      </c>
      <c r="AA398" s="1119" t="s">
        <v>6154</v>
      </c>
    </row>
    <row r="399" spans="1:27" ht="135.75" customHeight="1">
      <c r="A399" s="1085" t="s">
        <v>6155</v>
      </c>
      <c r="B399" s="1085" t="s">
        <v>6156</v>
      </c>
      <c r="C399" s="1086" t="s">
        <v>6157</v>
      </c>
      <c r="D399" s="750" t="s">
        <v>6158</v>
      </c>
      <c r="E399" s="925">
        <v>1</v>
      </c>
      <c r="F399" s="1119" t="s">
        <v>6032</v>
      </c>
      <c r="G399" s="1119" t="s">
        <v>6159</v>
      </c>
      <c r="H399" s="1119" t="s">
        <v>6160</v>
      </c>
      <c r="I399" s="1119" t="s">
        <v>6161</v>
      </c>
      <c r="J399" s="1119" t="s">
        <v>6123</v>
      </c>
      <c r="K399" s="1119" t="s">
        <v>6037</v>
      </c>
      <c r="L399" s="749"/>
      <c r="M399" s="749"/>
      <c r="N399" s="749"/>
      <c r="O399" s="926" t="s">
        <v>3974</v>
      </c>
      <c r="P399" s="926"/>
      <c r="Q399" s="940">
        <v>1</v>
      </c>
      <c r="R399" s="940">
        <v>1</v>
      </c>
      <c r="S399" s="944" t="s">
        <v>3974</v>
      </c>
      <c r="T399" s="926" t="s">
        <v>3974</v>
      </c>
      <c r="U399" s="926" t="s">
        <v>3974</v>
      </c>
      <c r="V399" s="926" t="s">
        <v>3974</v>
      </c>
      <c r="W399" s="926" t="s">
        <v>3974</v>
      </c>
      <c r="X399" s="1032"/>
      <c r="Y399" s="1119" t="s">
        <v>6016</v>
      </c>
      <c r="Z399" s="1119" t="s">
        <v>6124</v>
      </c>
      <c r="AA399" s="1119" t="s">
        <v>6162</v>
      </c>
    </row>
    <row r="400" spans="1:27" ht="135.75" customHeight="1">
      <c r="A400" s="1085" t="s">
        <v>6163</v>
      </c>
      <c r="B400" s="1085" t="s">
        <v>6164</v>
      </c>
      <c r="C400" s="1086" t="s">
        <v>6165</v>
      </c>
      <c r="D400" s="750" t="s">
        <v>6166</v>
      </c>
      <c r="E400" s="925">
        <v>1</v>
      </c>
      <c r="F400" s="1119" t="s">
        <v>6167</v>
      </c>
      <c r="G400" s="1119" t="s">
        <v>6131</v>
      </c>
      <c r="H400" s="1119" t="s">
        <v>6168</v>
      </c>
      <c r="I400" s="1119" t="s">
        <v>6133</v>
      </c>
      <c r="J400" s="1119" t="s">
        <v>6134</v>
      </c>
      <c r="K400" s="1119" t="s">
        <v>6037</v>
      </c>
      <c r="L400" s="749"/>
      <c r="M400" s="749"/>
      <c r="N400" s="749"/>
      <c r="O400" s="926" t="s">
        <v>3974</v>
      </c>
      <c r="P400" s="926"/>
      <c r="Q400" s="940">
        <v>1</v>
      </c>
      <c r="R400" s="940">
        <v>1</v>
      </c>
      <c r="S400" s="944" t="s">
        <v>3974</v>
      </c>
      <c r="T400" s="926" t="s">
        <v>3974</v>
      </c>
      <c r="U400" s="926" t="s">
        <v>3974</v>
      </c>
      <c r="V400" s="926" t="s">
        <v>3974</v>
      </c>
      <c r="W400" s="926" t="s">
        <v>3974</v>
      </c>
      <c r="X400" s="1032"/>
      <c r="Y400" s="1119" t="s">
        <v>6016</v>
      </c>
      <c r="Z400" s="1119" t="s">
        <v>6169</v>
      </c>
      <c r="AA400" s="1119" t="s">
        <v>6170</v>
      </c>
    </row>
    <row r="401" spans="1:27" ht="162.75" customHeight="1">
      <c r="A401" s="1085" t="s">
        <v>6171</v>
      </c>
      <c r="B401" s="1085" t="s">
        <v>6172</v>
      </c>
      <c r="C401" s="1086" t="s">
        <v>6173</v>
      </c>
      <c r="D401" s="750" t="s">
        <v>6174</v>
      </c>
      <c r="E401" s="925">
        <v>1</v>
      </c>
      <c r="F401" s="1119" t="s">
        <v>6055</v>
      </c>
      <c r="G401" s="1119" t="s">
        <v>6175</v>
      </c>
      <c r="H401" s="1119" t="s">
        <v>6176</v>
      </c>
      <c r="I401" s="1124" t="s">
        <v>6177</v>
      </c>
      <c r="J401" s="1119" t="s">
        <v>6178</v>
      </c>
      <c r="K401" s="1119" t="s">
        <v>6037</v>
      </c>
      <c r="L401" s="749"/>
      <c r="M401" s="749"/>
      <c r="N401" s="749"/>
      <c r="O401" s="926" t="s">
        <v>3974</v>
      </c>
      <c r="P401" s="926"/>
      <c r="Q401" s="940">
        <v>1</v>
      </c>
      <c r="R401" s="940">
        <v>1</v>
      </c>
      <c r="S401" s="944" t="s">
        <v>3974</v>
      </c>
      <c r="T401" s="926" t="s">
        <v>3974</v>
      </c>
      <c r="U401" s="926" t="s">
        <v>3974</v>
      </c>
      <c r="V401" s="926" t="s">
        <v>3974</v>
      </c>
      <c r="W401" s="926" t="s">
        <v>3974</v>
      </c>
      <c r="X401" s="1032"/>
      <c r="Y401" s="1119" t="s">
        <v>6016</v>
      </c>
      <c r="Z401" s="1119" t="s">
        <v>6179</v>
      </c>
      <c r="AA401" s="1119" t="s">
        <v>6180</v>
      </c>
    </row>
    <row r="402" spans="1:27" ht="108.75" customHeight="1">
      <c r="A402" s="1085" t="s">
        <v>6181</v>
      </c>
      <c r="B402" s="1085" t="s">
        <v>6182</v>
      </c>
      <c r="C402" s="1086" t="s">
        <v>6183</v>
      </c>
      <c r="D402" s="750" t="s">
        <v>6184</v>
      </c>
      <c r="E402" s="925">
        <v>1</v>
      </c>
      <c r="F402" s="1119" t="s">
        <v>6185</v>
      </c>
      <c r="G402" s="1119" t="s">
        <v>6186</v>
      </c>
      <c r="H402" s="1119" t="s">
        <v>6187</v>
      </c>
      <c r="I402" s="1124" t="s">
        <v>6188</v>
      </c>
      <c r="J402" s="1119" t="s">
        <v>6178</v>
      </c>
      <c r="K402" s="1119" t="s">
        <v>6037</v>
      </c>
      <c r="L402" s="749"/>
      <c r="M402" s="749"/>
      <c r="N402" s="749"/>
      <c r="O402" s="926" t="s">
        <v>3974</v>
      </c>
      <c r="P402" s="926"/>
      <c r="Q402" s="940">
        <v>1</v>
      </c>
      <c r="R402" s="940">
        <v>1</v>
      </c>
      <c r="S402" s="944" t="s">
        <v>3974</v>
      </c>
      <c r="T402" s="926" t="s">
        <v>3974</v>
      </c>
      <c r="U402" s="926" t="s">
        <v>3974</v>
      </c>
      <c r="V402" s="926" t="s">
        <v>3974</v>
      </c>
      <c r="W402" s="926" t="s">
        <v>3974</v>
      </c>
      <c r="X402" s="1032"/>
      <c r="Y402" s="1119" t="s">
        <v>6016</v>
      </c>
      <c r="Z402" s="1119" t="s">
        <v>6189</v>
      </c>
      <c r="AA402" s="1119" t="s">
        <v>6190</v>
      </c>
    </row>
    <row r="403" spans="1:27" ht="108.75" customHeight="1">
      <c r="A403" s="1085" t="s">
        <v>6191</v>
      </c>
      <c r="B403" s="1085" t="s">
        <v>6192</v>
      </c>
      <c r="C403" s="1086" t="s">
        <v>6193</v>
      </c>
      <c r="D403" s="750" t="s">
        <v>6194</v>
      </c>
      <c r="E403" s="925">
        <v>1</v>
      </c>
      <c r="F403" s="1119" t="s">
        <v>6195</v>
      </c>
      <c r="G403" s="1119" t="s">
        <v>6196</v>
      </c>
      <c r="H403" s="1119" t="s">
        <v>6197</v>
      </c>
      <c r="I403" s="1124" t="s">
        <v>6198</v>
      </c>
      <c r="J403" s="1119" t="s">
        <v>6178</v>
      </c>
      <c r="K403" s="1119" t="s">
        <v>6060</v>
      </c>
      <c r="L403" s="749"/>
      <c r="M403" s="749"/>
      <c r="N403" s="749"/>
      <c r="O403" s="926" t="s">
        <v>3974</v>
      </c>
      <c r="P403" s="926"/>
      <c r="Q403" s="940">
        <v>1</v>
      </c>
      <c r="R403" s="940">
        <v>1</v>
      </c>
      <c r="S403" s="944" t="s">
        <v>3974</v>
      </c>
      <c r="T403" s="926" t="s">
        <v>3974</v>
      </c>
      <c r="U403" s="926" t="s">
        <v>3974</v>
      </c>
      <c r="V403" s="926" t="s">
        <v>3974</v>
      </c>
      <c r="W403" s="926" t="s">
        <v>3974</v>
      </c>
      <c r="X403" s="1032"/>
      <c r="Y403" s="1119" t="s">
        <v>6016</v>
      </c>
      <c r="Z403" s="1119" t="s">
        <v>6199</v>
      </c>
      <c r="AA403" s="1119" t="s">
        <v>6200</v>
      </c>
    </row>
    <row r="404" spans="1:27" ht="108.75" customHeight="1">
      <c r="A404" s="1085" t="s">
        <v>6201</v>
      </c>
      <c r="B404" s="1085" t="s">
        <v>6202</v>
      </c>
      <c r="C404" s="1086" t="s">
        <v>6203</v>
      </c>
      <c r="D404" s="750" t="s">
        <v>6204</v>
      </c>
      <c r="E404" s="925">
        <v>1</v>
      </c>
      <c r="F404" s="1119" t="s">
        <v>6205</v>
      </c>
      <c r="G404" s="1119" t="s">
        <v>6206</v>
      </c>
      <c r="H404" s="1119" t="s">
        <v>6207</v>
      </c>
      <c r="I404" s="1124" t="s">
        <v>6208</v>
      </c>
      <c r="J404" s="1119" t="s">
        <v>6178</v>
      </c>
      <c r="K404" s="1119" t="s">
        <v>6060</v>
      </c>
      <c r="L404" s="749"/>
      <c r="M404" s="749"/>
      <c r="N404" s="749"/>
      <c r="O404" s="926" t="s">
        <v>3974</v>
      </c>
      <c r="P404" s="926"/>
      <c r="Q404" s="940">
        <v>1</v>
      </c>
      <c r="R404" s="940">
        <v>1</v>
      </c>
      <c r="S404" s="944" t="s">
        <v>3974</v>
      </c>
      <c r="T404" s="926" t="s">
        <v>3974</v>
      </c>
      <c r="U404" s="926" t="s">
        <v>3974</v>
      </c>
      <c r="V404" s="926" t="s">
        <v>3974</v>
      </c>
      <c r="W404" s="926" t="s">
        <v>3974</v>
      </c>
      <c r="X404" s="1032"/>
      <c r="Y404" s="1119" t="s">
        <v>6016</v>
      </c>
      <c r="Z404" s="1119" t="s">
        <v>6209</v>
      </c>
      <c r="AA404" s="1119" t="s">
        <v>6210</v>
      </c>
    </row>
    <row r="405" spans="1:27" ht="162.75" customHeight="1">
      <c r="A405" s="1085" t="s">
        <v>6211</v>
      </c>
      <c r="B405" s="1085" t="s">
        <v>6212</v>
      </c>
      <c r="C405" s="1086" t="s">
        <v>6213</v>
      </c>
      <c r="D405" s="750" t="s">
        <v>6214</v>
      </c>
      <c r="E405" s="925">
        <v>1</v>
      </c>
      <c r="F405" s="1119" t="s">
        <v>6055</v>
      </c>
      <c r="G405" s="1119" t="s">
        <v>6215</v>
      </c>
      <c r="H405" s="1119" t="s">
        <v>6216</v>
      </c>
      <c r="I405" s="1124" t="s">
        <v>6177</v>
      </c>
      <c r="J405" s="1119" t="s">
        <v>6178</v>
      </c>
      <c r="K405" s="1119" t="s">
        <v>6037</v>
      </c>
      <c r="L405" s="749"/>
      <c r="M405" s="749"/>
      <c r="N405" s="749"/>
      <c r="O405" s="926" t="s">
        <v>3974</v>
      </c>
      <c r="P405" s="926"/>
      <c r="Q405" s="940">
        <v>1</v>
      </c>
      <c r="R405" s="940">
        <v>1</v>
      </c>
      <c r="S405" s="944" t="s">
        <v>3974</v>
      </c>
      <c r="T405" s="926" t="s">
        <v>3974</v>
      </c>
      <c r="U405" s="926" t="s">
        <v>3974</v>
      </c>
      <c r="V405" s="926" t="s">
        <v>3974</v>
      </c>
      <c r="W405" s="926" t="s">
        <v>3974</v>
      </c>
      <c r="X405" s="1032"/>
      <c r="Y405" s="1119" t="s">
        <v>6016</v>
      </c>
      <c r="Z405" s="1119" t="s">
        <v>6179</v>
      </c>
      <c r="AA405" s="1119" t="s">
        <v>6180</v>
      </c>
    </row>
    <row r="406" spans="1:27" ht="108.75" customHeight="1">
      <c r="A406" s="1085" t="s">
        <v>6217</v>
      </c>
      <c r="B406" s="1085" t="s">
        <v>6218</v>
      </c>
      <c r="C406" s="1086" t="s">
        <v>6219</v>
      </c>
      <c r="D406" s="750" t="s">
        <v>6220</v>
      </c>
      <c r="E406" s="925">
        <v>1</v>
      </c>
      <c r="F406" s="1119" t="s">
        <v>6185</v>
      </c>
      <c r="G406" s="1119" t="s">
        <v>6186</v>
      </c>
      <c r="H406" s="1119" t="s">
        <v>6221</v>
      </c>
      <c r="I406" s="1124" t="s">
        <v>6188</v>
      </c>
      <c r="J406" s="1119" t="s">
        <v>6178</v>
      </c>
      <c r="K406" s="1119" t="s">
        <v>6037</v>
      </c>
      <c r="L406" s="749"/>
      <c r="M406" s="749"/>
      <c r="N406" s="749"/>
      <c r="O406" s="926" t="s">
        <v>3974</v>
      </c>
      <c r="P406" s="926"/>
      <c r="Q406" s="940">
        <v>1</v>
      </c>
      <c r="R406" s="940">
        <v>1</v>
      </c>
      <c r="S406" s="944" t="s">
        <v>3974</v>
      </c>
      <c r="T406" s="926" t="s">
        <v>3974</v>
      </c>
      <c r="U406" s="926" t="s">
        <v>3974</v>
      </c>
      <c r="V406" s="926" t="s">
        <v>3974</v>
      </c>
      <c r="W406" s="926" t="s">
        <v>3974</v>
      </c>
      <c r="X406" s="1032"/>
      <c r="Y406" s="1119" t="s">
        <v>6016</v>
      </c>
      <c r="Z406" s="1119" t="s">
        <v>6189</v>
      </c>
      <c r="AA406" s="1119" t="s">
        <v>6190</v>
      </c>
    </row>
    <row r="407" spans="1:27" ht="108.75" customHeight="1">
      <c r="A407" s="1085" t="s">
        <v>6222</v>
      </c>
      <c r="B407" s="1085" t="s">
        <v>6223</v>
      </c>
      <c r="C407" s="1086" t="s">
        <v>6224</v>
      </c>
      <c r="D407" s="750" t="s">
        <v>6225</v>
      </c>
      <c r="E407" s="925">
        <v>1</v>
      </c>
      <c r="F407" s="1119" t="s">
        <v>6195</v>
      </c>
      <c r="G407" s="1119" t="s">
        <v>6196</v>
      </c>
      <c r="H407" s="1119" t="s">
        <v>6226</v>
      </c>
      <c r="I407" s="1124" t="s">
        <v>6198</v>
      </c>
      <c r="J407" s="1119" t="s">
        <v>6178</v>
      </c>
      <c r="K407" s="1119" t="s">
        <v>6060</v>
      </c>
      <c r="L407" s="749"/>
      <c r="M407" s="749"/>
      <c r="N407" s="749"/>
      <c r="O407" s="926" t="s">
        <v>3974</v>
      </c>
      <c r="P407" s="926"/>
      <c r="Q407" s="940">
        <v>1</v>
      </c>
      <c r="R407" s="940">
        <v>1</v>
      </c>
      <c r="S407" s="944" t="s">
        <v>3974</v>
      </c>
      <c r="T407" s="926" t="s">
        <v>3974</v>
      </c>
      <c r="U407" s="926" t="s">
        <v>3974</v>
      </c>
      <c r="V407" s="926" t="s">
        <v>3974</v>
      </c>
      <c r="W407" s="926" t="s">
        <v>3974</v>
      </c>
      <c r="X407" s="1032"/>
      <c r="Y407" s="1119" t="s">
        <v>6016</v>
      </c>
      <c r="Z407" s="1119" t="s">
        <v>6199</v>
      </c>
      <c r="AA407" s="1119" t="s">
        <v>6200</v>
      </c>
    </row>
    <row r="408" spans="1:27" ht="108.75" customHeight="1">
      <c r="A408" s="1085" t="s">
        <v>6227</v>
      </c>
      <c r="B408" s="1085" t="s">
        <v>6228</v>
      </c>
      <c r="C408" s="1086" t="s">
        <v>6229</v>
      </c>
      <c r="D408" s="750" t="s">
        <v>6230</v>
      </c>
      <c r="E408" s="925">
        <v>1</v>
      </c>
      <c r="F408" s="1119" t="s">
        <v>6205</v>
      </c>
      <c r="G408" s="1119" t="s">
        <v>6206</v>
      </c>
      <c r="H408" s="1119" t="s">
        <v>6231</v>
      </c>
      <c r="I408" s="1124" t="s">
        <v>6208</v>
      </c>
      <c r="J408" s="1119" t="s">
        <v>6178</v>
      </c>
      <c r="K408" s="1119" t="s">
        <v>6060</v>
      </c>
      <c r="L408" s="749"/>
      <c r="M408" s="749"/>
      <c r="N408" s="749"/>
      <c r="O408" s="926" t="s">
        <v>3974</v>
      </c>
      <c r="P408" s="926"/>
      <c r="Q408" s="940">
        <v>1</v>
      </c>
      <c r="R408" s="940">
        <v>1</v>
      </c>
      <c r="S408" s="944" t="s">
        <v>3974</v>
      </c>
      <c r="T408" s="926" t="s">
        <v>3974</v>
      </c>
      <c r="U408" s="926" t="s">
        <v>3974</v>
      </c>
      <c r="V408" s="926" t="s">
        <v>3974</v>
      </c>
      <c r="W408" s="926" t="s">
        <v>3974</v>
      </c>
      <c r="X408" s="1032"/>
      <c r="Y408" s="1119" t="s">
        <v>6016</v>
      </c>
      <c r="Z408" s="1119" t="s">
        <v>6209</v>
      </c>
      <c r="AA408" s="1119" t="s">
        <v>6210</v>
      </c>
    </row>
    <row r="409" spans="1:27" ht="135.75" customHeight="1">
      <c r="A409" s="1085" t="s">
        <v>6232</v>
      </c>
      <c r="B409" s="1085" t="s">
        <v>6233</v>
      </c>
      <c r="C409" s="1086" t="s">
        <v>6234</v>
      </c>
      <c r="D409" s="750" t="s">
        <v>6235</v>
      </c>
      <c r="E409" s="925">
        <v>1</v>
      </c>
      <c r="F409" s="1119" t="s">
        <v>6236</v>
      </c>
      <c r="G409" s="1119" t="s">
        <v>6237</v>
      </c>
      <c r="H409" s="1124" t="s">
        <v>6238</v>
      </c>
      <c r="I409" s="1119" t="s">
        <v>6239</v>
      </c>
      <c r="J409" s="1119" t="s">
        <v>6134</v>
      </c>
      <c r="K409" s="1119" t="s">
        <v>6060</v>
      </c>
      <c r="L409" s="749"/>
      <c r="M409" s="749"/>
      <c r="N409" s="749"/>
      <c r="O409" s="926" t="s">
        <v>3974</v>
      </c>
      <c r="P409" s="926"/>
      <c r="Q409" s="940">
        <v>1</v>
      </c>
      <c r="R409" s="940">
        <v>1</v>
      </c>
      <c r="S409" s="944" t="s">
        <v>3974</v>
      </c>
      <c r="T409" s="926" t="s">
        <v>3974</v>
      </c>
      <c r="U409" s="926" t="s">
        <v>3974</v>
      </c>
      <c r="V409" s="926" t="s">
        <v>3974</v>
      </c>
      <c r="W409" s="926" t="s">
        <v>3974</v>
      </c>
      <c r="X409" s="1032"/>
      <c r="Y409" s="1119" t="s">
        <v>6016</v>
      </c>
      <c r="Z409" s="1119" t="s">
        <v>6240</v>
      </c>
      <c r="AA409" s="1119" t="s">
        <v>6241</v>
      </c>
    </row>
    <row r="410" spans="1:27" ht="135.75" customHeight="1">
      <c r="A410" s="1085" t="s">
        <v>6242</v>
      </c>
      <c r="B410" s="1085" t="s">
        <v>6243</v>
      </c>
      <c r="C410" s="1086" t="s">
        <v>6244</v>
      </c>
      <c r="D410" s="750" t="s">
        <v>6245</v>
      </c>
      <c r="E410" s="925">
        <v>1</v>
      </c>
      <c r="F410" s="1119" t="s">
        <v>6236</v>
      </c>
      <c r="G410" s="1119" t="s">
        <v>6237</v>
      </c>
      <c r="H410" s="1124" t="s">
        <v>6246</v>
      </c>
      <c r="I410" s="1119" t="s">
        <v>6239</v>
      </c>
      <c r="J410" s="1119" t="s">
        <v>6134</v>
      </c>
      <c r="K410" s="1119" t="s">
        <v>6060</v>
      </c>
      <c r="L410" s="749"/>
      <c r="M410" s="749"/>
      <c r="N410" s="749"/>
      <c r="O410" s="926" t="s">
        <v>3974</v>
      </c>
      <c r="P410" s="926"/>
      <c r="Q410" s="940">
        <v>1</v>
      </c>
      <c r="R410" s="940">
        <v>1</v>
      </c>
      <c r="S410" s="944" t="s">
        <v>3974</v>
      </c>
      <c r="T410" s="926" t="s">
        <v>3974</v>
      </c>
      <c r="U410" s="926" t="s">
        <v>3974</v>
      </c>
      <c r="V410" s="926" t="s">
        <v>3974</v>
      </c>
      <c r="W410" s="926" t="s">
        <v>3974</v>
      </c>
      <c r="X410" s="1032"/>
      <c r="Y410" s="1119" t="s">
        <v>6016</v>
      </c>
      <c r="Z410" s="1119" t="s">
        <v>6240</v>
      </c>
      <c r="AA410" s="1119" t="s">
        <v>6241</v>
      </c>
    </row>
    <row r="411" spans="1:27" ht="122.25" customHeight="1">
      <c r="A411" s="1085" t="s">
        <v>6247</v>
      </c>
      <c r="B411" s="1085" t="s">
        <v>6248</v>
      </c>
      <c r="C411" s="1086" t="s">
        <v>6249</v>
      </c>
      <c r="D411" s="750" t="s">
        <v>6250</v>
      </c>
      <c r="E411" s="925">
        <v>1</v>
      </c>
      <c r="F411" s="1119" t="s">
        <v>6251</v>
      </c>
      <c r="G411" s="1119" t="s">
        <v>6252</v>
      </c>
      <c r="H411" s="1119" t="s">
        <v>6253</v>
      </c>
      <c r="I411" s="1124" t="s">
        <v>6254</v>
      </c>
      <c r="J411" s="1119" t="s">
        <v>6123</v>
      </c>
      <c r="K411" s="1119" t="s">
        <v>6037</v>
      </c>
      <c r="L411" s="749"/>
      <c r="M411" s="749"/>
      <c r="N411" s="749"/>
      <c r="O411" s="926" t="s">
        <v>3974</v>
      </c>
      <c r="P411" s="926"/>
      <c r="Q411" s="940">
        <v>1</v>
      </c>
      <c r="R411" s="940">
        <v>1</v>
      </c>
      <c r="S411" s="944" t="s">
        <v>3974</v>
      </c>
      <c r="T411" s="926" t="s">
        <v>3974</v>
      </c>
      <c r="U411" s="926" t="s">
        <v>3974</v>
      </c>
      <c r="V411" s="926" t="s">
        <v>3974</v>
      </c>
      <c r="W411" s="926" t="s">
        <v>3974</v>
      </c>
      <c r="X411" s="1032"/>
      <c r="Y411" s="1119" t="s">
        <v>6016</v>
      </c>
      <c r="Z411" s="1119" t="s">
        <v>6255</v>
      </c>
      <c r="AA411" s="1119" t="s">
        <v>6256</v>
      </c>
    </row>
    <row r="412" spans="1:27" ht="27.75" customHeight="1">
      <c r="A412" s="1001" t="s">
        <v>1290</v>
      </c>
      <c r="B412" s="1001" t="s">
        <v>6257</v>
      </c>
      <c r="C412" s="1087" t="s">
        <v>6258</v>
      </c>
      <c r="D412" s="749">
        <v>1501</v>
      </c>
      <c r="E412" s="925"/>
      <c r="F412" s="749"/>
      <c r="G412" s="752"/>
      <c r="H412" s="749"/>
      <c r="I412" s="938"/>
      <c r="J412" s="749"/>
      <c r="K412" s="749"/>
      <c r="L412" s="749"/>
      <c r="M412" s="749"/>
      <c r="N412" s="749"/>
      <c r="O412" s="926" t="s">
        <v>3974</v>
      </c>
      <c r="P412" s="926"/>
      <c r="Q412" s="940">
        <v>1</v>
      </c>
      <c r="R412" s="940">
        <v>1</v>
      </c>
      <c r="S412" s="944" t="s">
        <v>3974</v>
      </c>
      <c r="T412" s="926" t="s">
        <v>3974</v>
      </c>
      <c r="U412" s="926" t="s">
        <v>3974</v>
      </c>
      <c r="V412" s="926" t="s">
        <v>3974</v>
      </c>
      <c r="W412" s="926" t="s">
        <v>3974</v>
      </c>
      <c r="X412" s="1032"/>
      <c r="Y412" s="749"/>
      <c r="Z412" s="752"/>
      <c r="AA412" s="752"/>
    </row>
    <row r="413" spans="1:27" ht="27.75" customHeight="1">
      <c r="A413" s="1001" t="s">
        <v>1293</v>
      </c>
      <c r="B413" s="1001" t="s">
        <v>6259</v>
      </c>
      <c r="C413" s="1087" t="s">
        <v>6260</v>
      </c>
      <c r="D413" s="749">
        <v>1502</v>
      </c>
      <c r="E413" s="925"/>
      <c r="F413" s="749"/>
      <c r="G413" s="752"/>
      <c r="H413" s="749"/>
      <c r="I413" s="938"/>
      <c r="J413" s="749"/>
      <c r="K413" s="749"/>
      <c r="L413" s="749"/>
      <c r="M413" s="749"/>
      <c r="N413" s="749"/>
      <c r="O413" s="926" t="s">
        <v>3974</v>
      </c>
      <c r="P413" s="926"/>
      <c r="Q413" s="940">
        <v>1</v>
      </c>
      <c r="R413" s="940">
        <v>1</v>
      </c>
      <c r="S413" s="944" t="s">
        <v>3974</v>
      </c>
      <c r="T413" s="926" t="s">
        <v>3974</v>
      </c>
      <c r="U413" s="926" t="s">
        <v>3974</v>
      </c>
      <c r="V413" s="926" t="s">
        <v>3974</v>
      </c>
      <c r="W413" s="926" t="s">
        <v>3974</v>
      </c>
      <c r="X413" s="1032"/>
      <c r="Y413" s="749"/>
      <c r="Z413" s="752"/>
      <c r="AA413" s="752"/>
    </row>
    <row r="414" spans="1:27" ht="27" customHeight="1">
      <c r="A414" s="1001" t="s">
        <v>1295</v>
      </c>
      <c r="B414" s="1001" t="s">
        <v>6261</v>
      </c>
      <c r="C414" s="1087" t="s">
        <v>6262</v>
      </c>
      <c r="D414" s="749">
        <v>1503</v>
      </c>
      <c r="E414" s="925"/>
      <c r="F414" s="749"/>
      <c r="G414" s="752"/>
      <c r="H414" s="749"/>
      <c r="I414" s="938"/>
      <c r="J414" s="749"/>
      <c r="K414" s="749"/>
      <c r="L414" s="749"/>
      <c r="M414" s="749"/>
      <c r="N414" s="749"/>
      <c r="O414" s="926" t="s">
        <v>3974</v>
      </c>
      <c r="P414" s="926"/>
      <c r="Q414" s="940">
        <v>1</v>
      </c>
      <c r="R414" s="940">
        <v>1</v>
      </c>
      <c r="S414" s="944" t="s">
        <v>3974</v>
      </c>
      <c r="T414" s="926" t="s">
        <v>3974</v>
      </c>
      <c r="U414" s="926" t="s">
        <v>3974</v>
      </c>
      <c r="V414" s="926" t="s">
        <v>3974</v>
      </c>
      <c r="W414" s="926" t="s">
        <v>3974</v>
      </c>
      <c r="X414" s="1032"/>
      <c r="Y414" s="749"/>
      <c r="Z414" s="752"/>
      <c r="AA414" s="752"/>
    </row>
    <row r="415" spans="1:27" ht="27" customHeight="1">
      <c r="A415" s="1001" t="s">
        <v>1297</v>
      </c>
      <c r="B415" s="1001" t="s">
        <v>6263</v>
      </c>
      <c r="C415" s="1087" t="s">
        <v>6264</v>
      </c>
      <c r="D415" s="749">
        <v>1504</v>
      </c>
      <c r="E415" s="925"/>
      <c r="F415" s="749"/>
      <c r="G415" s="752"/>
      <c r="H415" s="749"/>
      <c r="I415" s="938"/>
      <c r="J415" s="749"/>
      <c r="K415" s="749"/>
      <c r="L415" s="749"/>
      <c r="M415" s="749"/>
      <c r="N415" s="749"/>
      <c r="O415" s="926" t="s">
        <v>3974</v>
      </c>
      <c r="P415" s="926"/>
      <c r="Q415" s="940">
        <v>1</v>
      </c>
      <c r="R415" s="940">
        <v>1</v>
      </c>
      <c r="S415" s="944" t="s">
        <v>3974</v>
      </c>
      <c r="T415" s="926" t="s">
        <v>3974</v>
      </c>
      <c r="U415" s="926" t="s">
        <v>3974</v>
      </c>
      <c r="V415" s="926" t="s">
        <v>3974</v>
      </c>
      <c r="W415" s="926" t="s">
        <v>3974</v>
      </c>
      <c r="X415" s="1032"/>
      <c r="Y415" s="749"/>
      <c r="Z415" s="752"/>
      <c r="AA415" s="752"/>
    </row>
    <row r="416" spans="1:27" ht="14.25" customHeight="1">
      <c r="A416" s="1001" t="s">
        <v>1299</v>
      </c>
      <c r="B416" s="1001" t="s">
        <v>6265</v>
      </c>
      <c r="C416" s="1087" t="s">
        <v>6266</v>
      </c>
      <c r="D416" s="749">
        <v>1505</v>
      </c>
      <c r="E416" s="925"/>
      <c r="F416" s="749"/>
      <c r="G416" s="752"/>
      <c r="H416" s="749"/>
      <c r="I416" s="938"/>
      <c r="J416" s="749"/>
      <c r="K416" s="749"/>
      <c r="L416" s="749"/>
      <c r="M416" s="749"/>
      <c r="N416" s="749"/>
      <c r="O416" s="926" t="s">
        <v>3974</v>
      </c>
      <c r="P416" s="926"/>
      <c r="Q416" s="940">
        <v>1</v>
      </c>
      <c r="R416" s="940">
        <v>1</v>
      </c>
      <c r="S416" s="944" t="s">
        <v>3974</v>
      </c>
      <c r="T416" s="926" t="s">
        <v>3974</v>
      </c>
      <c r="U416" s="926" t="s">
        <v>3974</v>
      </c>
      <c r="V416" s="926" t="s">
        <v>3974</v>
      </c>
      <c r="W416" s="926" t="s">
        <v>3974</v>
      </c>
      <c r="X416" s="1032"/>
      <c r="Y416" s="749"/>
      <c r="Z416" s="752"/>
      <c r="AA416" s="752"/>
    </row>
    <row r="417" spans="1:27" ht="27" customHeight="1">
      <c r="A417" s="1001" t="s">
        <v>1301</v>
      </c>
      <c r="B417" s="1001" t="s">
        <v>6267</v>
      </c>
      <c r="C417" s="1087" t="s">
        <v>6268</v>
      </c>
      <c r="D417" s="749">
        <v>1506</v>
      </c>
      <c r="E417" s="925"/>
      <c r="F417" s="749"/>
      <c r="G417" s="752"/>
      <c r="H417" s="749"/>
      <c r="I417" s="938"/>
      <c r="J417" s="749"/>
      <c r="K417" s="749"/>
      <c r="L417" s="749"/>
      <c r="M417" s="749"/>
      <c r="N417" s="749"/>
      <c r="O417" s="926" t="s">
        <v>3974</v>
      </c>
      <c r="P417" s="926"/>
      <c r="Q417" s="940">
        <v>1</v>
      </c>
      <c r="R417" s="940">
        <v>1</v>
      </c>
      <c r="S417" s="944" t="s">
        <v>3974</v>
      </c>
      <c r="T417" s="926" t="s">
        <v>3974</v>
      </c>
      <c r="U417" s="926" t="s">
        <v>3974</v>
      </c>
      <c r="V417" s="926" t="s">
        <v>3974</v>
      </c>
      <c r="W417" s="926" t="s">
        <v>3974</v>
      </c>
      <c r="X417" s="1032"/>
      <c r="Y417" s="749"/>
      <c r="Z417" s="752"/>
      <c r="AA417" s="752"/>
    </row>
    <row r="418" spans="1:27" ht="27" customHeight="1">
      <c r="A418" s="1001" t="s">
        <v>1303</v>
      </c>
      <c r="B418" s="1001" t="s">
        <v>6269</v>
      </c>
      <c r="C418" s="1087" t="s">
        <v>6270</v>
      </c>
      <c r="D418" s="749">
        <v>1507</v>
      </c>
      <c r="E418" s="925"/>
      <c r="F418" s="749"/>
      <c r="G418" s="752"/>
      <c r="H418" s="749"/>
      <c r="I418" s="938"/>
      <c r="J418" s="749"/>
      <c r="K418" s="749"/>
      <c r="L418" s="749"/>
      <c r="M418" s="749"/>
      <c r="N418" s="749"/>
      <c r="O418" s="926" t="s">
        <v>3974</v>
      </c>
      <c r="P418" s="926"/>
      <c r="Q418" s="940">
        <v>1</v>
      </c>
      <c r="R418" s="940">
        <v>1</v>
      </c>
      <c r="S418" s="944" t="s">
        <v>3974</v>
      </c>
      <c r="T418" s="926" t="s">
        <v>3974</v>
      </c>
      <c r="U418" s="926" t="s">
        <v>3974</v>
      </c>
      <c r="V418" s="926" t="s">
        <v>3974</v>
      </c>
      <c r="W418" s="926" t="s">
        <v>3974</v>
      </c>
      <c r="X418" s="1032"/>
      <c r="Y418" s="749"/>
      <c r="Z418" s="752"/>
      <c r="AA418" s="752"/>
    </row>
    <row r="419" spans="1:27" ht="14.25" customHeight="1">
      <c r="A419" s="1001" t="s">
        <v>1305</v>
      </c>
      <c r="B419" s="1001" t="s">
        <v>6271</v>
      </c>
      <c r="C419" s="1087" t="s">
        <v>6272</v>
      </c>
      <c r="D419" s="749">
        <v>1508</v>
      </c>
      <c r="E419" s="925"/>
      <c r="F419" s="749"/>
      <c r="G419" s="752"/>
      <c r="H419" s="749"/>
      <c r="I419" s="938"/>
      <c r="J419" s="749"/>
      <c r="K419" s="749"/>
      <c r="L419" s="749"/>
      <c r="M419" s="749"/>
      <c r="N419" s="749"/>
      <c r="O419" s="926" t="s">
        <v>3974</v>
      </c>
      <c r="P419" s="926"/>
      <c r="Q419" s="940">
        <v>1</v>
      </c>
      <c r="R419" s="940">
        <v>1</v>
      </c>
      <c r="S419" s="944" t="s">
        <v>3974</v>
      </c>
      <c r="T419" s="926" t="s">
        <v>3974</v>
      </c>
      <c r="U419" s="926" t="s">
        <v>3974</v>
      </c>
      <c r="V419" s="926" t="s">
        <v>3974</v>
      </c>
      <c r="W419" s="926" t="s">
        <v>3974</v>
      </c>
      <c r="X419" s="1032"/>
      <c r="Y419" s="749"/>
      <c r="Z419" s="752"/>
      <c r="AA419" s="752"/>
    </row>
    <row r="420" spans="1:27" ht="14.25" customHeight="1">
      <c r="A420" s="1001" t="s">
        <v>1307</v>
      </c>
      <c r="B420" s="1001" t="s">
        <v>6273</v>
      </c>
      <c r="C420" s="1087" t="s">
        <v>6274</v>
      </c>
      <c r="D420" s="749">
        <v>1509</v>
      </c>
      <c r="E420" s="925"/>
      <c r="F420" s="749"/>
      <c r="G420" s="752"/>
      <c r="H420" s="749"/>
      <c r="I420" s="938"/>
      <c r="J420" s="749"/>
      <c r="K420" s="749"/>
      <c r="L420" s="749"/>
      <c r="M420" s="749"/>
      <c r="N420" s="749"/>
      <c r="O420" s="926" t="s">
        <v>3974</v>
      </c>
      <c r="P420" s="926"/>
      <c r="Q420" s="940">
        <v>1</v>
      </c>
      <c r="R420" s="940">
        <v>1</v>
      </c>
      <c r="S420" s="944" t="s">
        <v>3974</v>
      </c>
      <c r="T420" s="926" t="s">
        <v>3974</v>
      </c>
      <c r="U420" s="926" t="s">
        <v>3974</v>
      </c>
      <c r="V420" s="926" t="s">
        <v>3974</v>
      </c>
      <c r="W420" s="926" t="s">
        <v>3974</v>
      </c>
      <c r="X420" s="1032"/>
      <c r="Y420" s="749"/>
      <c r="Z420" s="752"/>
      <c r="AA420" s="752"/>
    </row>
    <row r="421" spans="1:27" ht="27.75" customHeight="1">
      <c r="A421" s="1001" t="s">
        <v>1309</v>
      </c>
      <c r="B421" s="1001" t="s">
        <v>6275</v>
      </c>
      <c r="C421" s="1087" t="s">
        <v>6276</v>
      </c>
      <c r="D421" s="749">
        <v>1510</v>
      </c>
      <c r="E421" s="925"/>
      <c r="F421" s="749"/>
      <c r="G421" s="752"/>
      <c r="H421" s="749"/>
      <c r="I421" s="938"/>
      <c r="J421" s="749"/>
      <c r="K421" s="749"/>
      <c r="L421" s="749"/>
      <c r="M421" s="749"/>
      <c r="N421" s="749"/>
      <c r="O421" s="926" t="s">
        <v>3974</v>
      </c>
      <c r="P421" s="926"/>
      <c r="Q421" s="940">
        <v>1</v>
      </c>
      <c r="R421" s="940">
        <v>1</v>
      </c>
      <c r="S421" s="944" t="s">
        <v>3974</v>
      </c>
      <c r="T421" s="926" t="s">
        <v>3974</v>
      </c>
      <c r="U421" s="926" t="s">
        <v>3974</v>
      </c>
      <c r="V421" s="926" t="s">
        <v>3974</v>
      </c>
      <c r="W421" s="926" t="s">
        <v>3974</v>
      </c>
      <c r="X421" s="1032"/>
      <c r="Y421" s="749"/>
      <c r="Z421" s="752"/>
      <c r="AA421" s="752"/>
    </row>
    <row r="422" spans="1:27" ht="27.75" customHeight="1">
      <c r="A422" s="1001" t="s">
        <v>1311</v>
      </c>
      <c r="B422" s="1001" t="s">
        <v>6277</v>
      </c>
      <c r="C422" s="1087" t="s">
        <v>6278</v>
      </c>
      <c r="D422" s="749">
        <v>1511</v>
      </c>
      <c r="E422" s="925"/>
      <c r="F422" s="749"/>
      <c r="G422" s="752"/>
      <c r="H422" s="749"/>
      <c r="I422" s="938"/>
      <c r="J422" s="749"/>
      <c r="K422" s="749"/>
      <c r="L422" s="749"/>
      <c r="M422" s="749"/>
      <c r="N422" s="749"/>
      <c r="O422" s="926" t="s">
        <v>3974</v>
      </c>
      <c r="P422" s="926"/>
      <c r="Q422" s="940">
        <v>1</v>
      </c>
      <c r="R422" s="940">
        <v>1</v>
      </c>
      <c r="S422" s="944" t="s">
        <v>3974</v>
      </c>
      <c r="T422" s="926" t="s">
        <v>3974</v>
      </c>
      <c r="U422" s="926" t="s">
        <v>3974</v>
      </c>
      <c r="V422" s="926" t="s">
        <v>3974</v>
      </c>
      <c r="W422" s="926" t="s">
        <v>3974</v>
      </c>
      <c r="X422" s="1032"/>
      <c r="Y422" s="749"/>
      <c r="Z422" s="752"/>
      <c r="AA422" s="752"/>
    </row>
    <row r="423" spans="1:27" ht="14.25" customHeight="1">
      <c r="A423" s="1001" t="s">
        <v>1313</v>
      </c>
      <c r="B423" s="1001" t="s">
        <v>6279</v>
      </c>
      <c r="C423" s="1087" t="s">
        <v>6280</v>
      </c>
      <c r="D423" s="749">
        <v>1512</v>
      </c>
      <c r="E423" s="925"/>
      <c r="F423" s="749"/>
      <c r="G423" s="752"/>
      <c r="H423" s="749"/>
      <c r="I423" s="938"/>
      <c r="J423" s="749"/>
      <c r="K423" s="749"/>
      <c r="L423" s="749"/>
      <c r="M423" s="749"/>
      <c r="N423" s="749"/>
      <c r="O423" s="926" t="s">
        <v>3974</v>
      </c>
      <c r="P423" s="926"/>
      <c r="Q423" s="940">
        <v>1</v>
      </c>
      <c r="R423" s="940">
        <v>1</v>
      </c>
      <c r="S423" s="944" t="s">
        <v>3974</v>
      </c>
      <c r="T423" s="926" t="s">
        <v>3974</v>
      </c>
      <c r="U423" s="926" t="s">
        <v>3974</v>
      </c>
      <c r="V423" s="926" t="s">
        <v>3974</v>
      </c>
      <c r="W423" s="926" t="s">
        <v>3974</v>
      </c>
      <c r="X423" s="1032"/>
      <c r="Y423" s="749"/>
      <c r="Z423" s="752"/>
      <c r="AA423" s="752"/>
    </row>
    <row r="424" spans="1:27" ht="14.25" customHeight="1">
      <c r="A424" s="1001" t="s">
        <v>1315</v>
      </c>
      <c r="B424" s="1001" t="s">
        <v>6281</v>
      </c>
      <c r="C424" s="1087" t="s">
        <v>6282</v>
      </c>
      <c r="D424" s="749">
        <v>1513</v>
      </c>
      <c r="E424" s="925"/>
      <c r="F424" s="749"/>
      <c r="G424" s="752"/>
      <c r="H424" s="749"/>
      <c r="I424" s="938"/>
      <c r="J424" s="749"/>
      <c r="K424" s="749"/>
      <c r="L424" s="749"/>
      <c r="M424" s="749"/>
      <c r="N424" s="749"/>
      <c r="O424" s="926" t="s">
        <v>3974</v>
      </c>
      <c r="P424" s="926"/>
      <c r="Q424" s="940">
        <v>1</v>
      </c>
      <c r="R424" s="940">
        <v>1</v>
      </c>
      <c r="S424" s="944" t="s">
        <v>3974</v>
      </c>
      <c r="T424" s="926" t="s">
        <v>3974</v>
      </c>
      <c r="U424" s="926" t="s">
        <v>3974</v>
      </c>
      <c r="V424" s="926" t="s">
        <v>3974</v>
      </c>
      <c r="W424" s="926" t="s">
        <v>3974</v>
      </c>
      <c r="X424" s="1032"/>
      <c r="Y424" s="749"/>
      <c r="Z424" s="752"/>
      <c r="AA424" s="752"/>
    </row>
    <row r="425" spans="1:27" ht="14.25" customHeight="1">
      <c r="A425" s="1001" t="s">
        <v>1317</v>
      </c>
      <c r="B425" s="1001" t="s">
        <v>6283</v>
      </c>
      <c r="C425" s="1087" t="s">
        <v>6284</v>
      </c>
      <c r="D425" s="749">
        <v>1514</v>
      </c>
      <c r="E425" s="925"/>
      <c r="F425" s="749"/>
      <c r="G425" s="752"/>
      <c r="H425" s="749"/>
      <c r="I425" s="938"/>
      <c r="J425" s="749"/>
      <c r="K425" s="749"/>
      <c r="L425" s="749"/>
      <c r="M425" s="749"/>
      <c r="N425" s="749"/>
      <c r="O425" s="926" t="s">
        <v>3974</v>
      </c>
      <c r="P425" s="926"/>
      <c r="Q425" s="940">
        <v>1</v>
      </c>
      <c r="R425" s="940">
        <v>1</v>
      </c>
      <c r="S425" s="944" t="s">
        <v>3974</v>
      </c>
      <c r="T425" s="926" t="s">
        <v>3974</v>
      </c>
      <c r="U425" s="926" t="s">
        <v>3974</v>
      </c>
      <c r="V425" s="926" t="s">
        <v>3974</v>
      </c>
      <c r="W425" s="926" t="s">
        <v>3974</v>
      </c>
      <c r="X425" s="1032"/>
      <c r="Y425" s="749"/>
      <c r="Z425" s="752"/>
      <c r="AA425" s="752"/>
    </row>
    <row r="426" spans="1:27" ht="14.25" customHeight="1">
      <c r="A426" s="1001" t="s">
        <v>1319</v>
      </c>
      <c r="B426" s="1001" t="s">
        <v>6285</v>
      </c>
      <c r="C426" s="1087" t="s">
        <v>6286</v>
      </c>
      <c r="D426" s="749">
        <v>1515</v>
      </c>
      <c r="E426" s="925"/>
      <c r="F426" s="749"/>
      <c r="G426" s="752"/>
      <c r="H426" s="749"/>
      <c r="I426" s="938"/>
      <c r="J426" s="749"/>
      <c r="K426" s="749"/>
      <c r="L426" s="749"/>
      <c r="M426" s="749"/>
      <c r="N426" s="749"/>
      <c r="O426" s="926" t="s">
        <v>3974</v>
      </c>
      <c r="P426" s="926"/>
      <c r="Q426" s="940">
        <v>1</v>
      </c>
      <c r="R426" s="940">
        <v>1</v>
      </c>
      <c r="S426" s="944" t="s">
        <v>3974</v>
      </c>
      <c r="T426" s="926" t="s">
        <v>3974</v>
      </c>
      <c r="U426" s="926" t="s">
        <v>3974</v>
      </c>
      <c r="V426" s="926" t="s">
        <v>3974</v>
      </c>
      <c r="W426" s="926" t="s">
        <v>3974</v>
      </c>
      <c r="X426" s="1032"/>
      <c r="Y426" s="749"/>
      <c r="Z426" s="752"/>
      <c r="AA426" s="752"/>
    </row>
    <row r="427" spans="1:27" ht="27" customHeight="1">
      <c r="A427" s="1001" t="s">
        <v>1321</v>
      </c>
      <c r="B427" s="1001" t="s">
        <v>6287</v>
      </c>
      <c r="C427" s="1087" t="s">
        <v>6288</v>
      </c>
      <c r="D427" s="749">
        <v>1516</v>
      </c>
      <c r="E427" s="925"/>
      <c r="F427" s="749"/>
      <c r="G427" s="752"/>
      <c r="H427" s="749"/>
      <c r="I427" s="938"/>
      <c r="J427" s="749"/>
      <c r="K427" s="749"/>
      <c r="L427" s="749"/>
      <c r="M427" s="749"/>
      <c r="N427" s="749"/>
      <c r="O427" s="926" t="s">
        <v>3974</v>
      </c>
      <c r="P427" s="926"/>
      <c r="Q427" s="940">
        <v>1</v>
      </c>
      <c r="R427" s="940">
        <v>1</v>
      </c>
      <c r="S427" s="944" t="s">
        <v>3974</v>
      </c>
      <c r="T427" s="926" t="s">
        <v>3974</v>
      </c>
      <c r="U427" s="926" t="s">
        <v>3974</v>
      </c>
      <c r="V427" s="926" t="s">
        <v>3974</v>
      </c>
      <c r="W427" s="926" t="s">
        <v>3974</v>
      </c>
      <c r="X427" s="1032"/>
      <c r="Y427" s="749"/>
      <c r="Z427" s="752"/>
      <c r="AA427" s="752"/>
    </row>
    <row r="428" spans="1:27" ht="27" customHeight="1">
      <c r="A428" s="1001" t="s">
        <v>1323</v>
      </c>
      <c r="B428" s="1001" t="s">
        <v>6289</v>
      </c>
      <c r="C428" s="1087" t="s">
        <v>6290</v>
      </c>
      <c r="D428" s="749">
        <v>1517</v>
      </c>
      <c r="E428" s="925"/>
      <c r="F428" s="749"/>
      <c r="G428" s="752"/>
      <c r="H428" s="749"/>
      <c r="I428" s="938"/>
      <c r="J428" s="749"/>
      <c r="K428" s="749"/>
      <c r="L428" s="749"/>
      <c r="M428" s="749"/>
      <c r="N428" s="749"/>
      <c r="O428" s="926" t="s">
        <v>3974</v>
      </c>
      <c r="P428" s="926"/>
      <c r="Q428" s="940">
        <v>1</v>
      </c>
      <c r="R428" s="940">
        <v>1</v>
      </c>
      <c r="S428" s="944" t="s">
        <v>3974</v>
      </c>
      <c r="T428" s="926" t="s">
        <v>3974</v>
      </c>
      <c r="U428" s="926" t="s">
        <v>3974</v>
      </c>
      <c r="V428" s="926" t="s">
        <v>3974</v>
      </c>
      <c r="W428" s="926" t="s">
        <v>3974</v>
      </c>
      <c r="X428" s="1032"/>
      <c r="Y428" s="749"/>
      <c r="Z428" s="752"/>
      <c r="AA428" s="752"/>
    </row>
    <row r="429" spans="1:27" ht="27" customHeight="1">
      <c r="A429" s="1001" t="s">
        <v>1325</v>
      </c>
      <c r="B429" s="1001" t="s">
        <v>6291</v>
      </c>
      <c r="C429" s="1087" t="s">
        <v>6292</v>
      </c>
      <c r="D429" s="749">
        <v>1518</v>
      </c>
      <c r="E429" s="925"/>
      <c r="F429" s="749"/>
      <c r="G429" s="752"/>
      <c r="H429" s="749"/>
      <c r="I429" s="938"/>
      <c r="J429" s="749"/>
      <c r="K429" s="749"/>
      <c r="L429" s="749"/>
      <c r="M429" s="749"/>
      <c r="N429" s="749"/>
      <c r="O429" s="926" t="s">
        <v>3974</v>
      </c>
      <c r="P429" s="926"/>
      <c r="Q429" s="940">
        <v>1</v>
      </c>
      <c r="R429" s="940">
        <v>1</v>
      </c>
      <c r="S429" s="944" t="s">
        <v>3974</v>
      </c>
      <c r="T429" s="926" t="s">
        <v>3974</v>
      </c>
      <c r="U429" s="926" t="s">
        <v>3974</v>
      </c>
      <c r="V429" s="926" t="s">
        <v>3974</v>
      </c>
      <c r="W429" s="926" t="s">
        <v>3974</v>
      </c>
      <c r="X429" s="1032"/>
      <c r="Y429" s="749"/>
      <c r="Z429" s="752"/>
      <c r="AA429" s="752"/>
    </row>
    <row r="430" spans="1:27" ht="27" customHeight="1">
      <c r="A430" s="1001" t="s">
        <v>1327</v>
      </c>
      <c r="B430" s="1001" t="s">
        <v>6293</v>
      </c>
      <c r="C430" s="1087" t="s">
        <v>6294</v>
      </c>
      <c r="D430" s="749">
        <v>1519</v>
      </c>
      <c r="E430" s="925"/>
      <c r="F430" s="749"/>
      <c r="G430" s="752"/>
      <c r="H430" s="749"/>
      <c r="I430" s="938"/>
      <c r="J430" s="749"/>
      <c r="K430" s="749"/>
      <c r="L430" s="749"/>
      <c r="M430" s="749"/>
      <c r="N430" s="749"/>
      <c r="O430" s="926" t="s">
        <v>3974</v>
      </c>
      <c r="P430" s="926"/>
      <c r="Q430" s="940">
        <v>1</v>
      </c>
      <c r="R430" s="940">
        <v>1</v>
      </c>
      <c r="S430" s="944" t="s">
        <v>3974</v>
      </c>
      <c r="T430" s="926" t="s">
        <v>3974</v>
      </c>
      <c r="U430" s="926" t="s">
        <v>3974</v>
      </c>
      <c r="V430" s="926" t="s">
        <v>3974</v>
      </c>
      <c r="W430" s="926" t="s">
        <v>3974</v>
      </c>
      <c r="X430" s="1032"/>
      <c r="Y430" s="749"/>
      <c r="Z430" s="752"/>
      <c r="AA430" s="752"/>
    </row>
    <row r="431" spans="1:27" ht="27" customHeight="1">
      <c r="A431" s="1001" t="s">
        <v>1329</v>
      </c>
      <c r="B431" s="1001" t="s">
        <v>6295</v>
      </c>
      <c r="C431" s="1087" t="s">
        <v>6296</v>
      </c>
      <c r="D431" s="749">
        <v>1520</v>
      </c>
      <c r="E431" s="925"/>
      <c r="F431" s="749"/>
      <c r="G431" s="752"/>
      <c r="H431" s="749"/>
      <c r="I431" s="938"/>
      <c r="J431" s="749"/>
      <c r="K431" s="749"/>
      <c r="L431" s="749"/>
      <c r="M431" s="749"/>
      <c r="N431" s="749"/>
      <c r="O431" s="926" t="s">
        <v>3974</v>
      </c>
      <c r="P431" s="926"/>
      <c r="Q431" s="940">
        <v>1</v>
      </c>
      <c r="R431" s="940">
        <v>1</v>
      </c>
      <c r="S431" s="944" t="s">
        <v>3974</v>
      </c>
      <c r="T431" s="926" t="s">
        <v>3974</v>
      </c>
      <c r="U431" s="926" t="s">
        <v>3974</v>
      </c>
      <c r="V431" s="926" t="s">
        <v>3974</v>
      </c>
      <c r="W431" s="926" t="s">
        <v>3974</v>
      </c>
      <c r="X431" s="1032"/>
      <c r="Y431" s="749"/>
      <c r="Z431" s="752"/>
      <c r="AA431" s="752"/>
    </row>
    <row r="432" spans="1:27" ht="27" customHeight="1">
      <c r="A432" s="1001" t="s">
        <v>1331</v>
      </c>
      <c r="B432" s="1001" t="s">
        <v>6297</v>
      </c>
      <c r="C432" s="1087" t="s">
        <v>6298</v>
      </c>
      <c r="D432" s="749">
        <v>1521</v>
      </c>
      <c r="E432" s="925"/>
      <c r="F432" s="749"/>
      <c r="G432" s="752"/>
      <c r="H432" s="749"/>
      <c r="I432" s="938"/>
      <c r="J432" s="749"/>
      <c r="K432" s="749"/>
      <c r="L432" s="749"/>
      <c r="M432" s="749"/>
      <c r="N432" s="749"/>
      <c r="O432" s="926" t="s">
        <v>3974</v>
      </c>
      <c r="P432" s="926"/>
      <c r="Q432" s="940">
        <v>1</v>
      </c>
      <c r="R432" s="940">
        <v>1</v>
      </c>
      <c r="S432" s="944" t="s">
        <v>3974</v>
      </c>
      <c r="T432" s="926" t="s">
        <v>3974</v>
      </c>
      <c r="U432" s="926" t="s">
        <v>3974</v>
      </c>
      <c r="V432" s="926" t="s">
        <v>3974</v>
      </c>
      <c r="W432" s="926" t="s">
        <v>3974</v>
      </c>
      <c r="X432" s="1032"/>
      <c r="Y432" s="749"/>
      <c r="Z432" s="752"/>
      <c r="AA432" s="752"/>
    </row>
    <row r="433" spans="1:28" ht="27" customHeight="1">
      <c r="A433" s="1001" t="s">
        <v>1333</v>
      </c>
      <c r="B433" s="1001" t="s">
        <v>6299</v>
      </c>
      <c r="C433" s="1087" t="s">
        <v>6300</v>
      </c>
      <c r="D433" s="749">
        <v>1522</v>
      </c>
      <c r="E433" s="925"/>
      <c r="F433" s="749"/>
      <c r="G433" s="752"/>
      <c r="H433" s="749"/>
      <c r="I433" s="938"/>
      <c r="J433" s="749"/>
      <c r="K433" s="749"/>
      <c r="L433" s="749"/>
      <c r="M433" s="749"/>
      <c r="N433" s="749"/>
      <c r="O433" s="926" t="s">
        <v>3974</v>
      </c>
      <c r="P433" s="926"/>
      <c r="Q433" s="940">
        <v>1</v>
      </c>
      <c r="R433" s="940">
        <v>1</v>
      </c>
      <c r="S433" s="944" t="s">
        <v>3974</v>
      </c>
      <c r="T433" s="926" t="s">
        <v>3974</v>
      </c>
      <c r="U433" s="926" t="s">
        <v>3974</v>
      </c>
      <c r="V433" s="926" t="s">
        <v>3974</v>
      </c>
      <c r="W433" s="926" t="s">
        <v>3974</v>
      </c>
      <c r="X433" s="1032"/>
      <c r="Y433" s="749"/>
      <c r="Z433" s="752"/>
      <c r="AA433" s="752"/>
    </row>
    <row r="434" spans="1:28" ht="27.75" customHeight="1">
      <c r="A434" s="1001" t="s">
        <v>1335</v>
      </c>
      <c r="B434" s="1001" t="s">
        <v>6301</v>
      </c>
      <c r="C434" s="1087" t="s">
        <v>6302</v>
      </c>
      <c r="D434" s="749">
        <v>1523</v>
      </c>
      <c r="E434" s="925"/>
      <c r="F434" s="749"/>
      <c r="G434" s="752"/>
      <c r="H434" s="749"/>
      <c r="I434" s="938"/>
      <c r="J434" s="749"/>
      <c r="K434" s="749"/>
      <c r="L434" s="749"/>
      <c r="M434" s="749"/>
      <c r="N434" s="749"/>
      <c r="O434" s="926" t="s">
        <v>3974</v>
      </c>
      <c r="P434" s="926"/>
      <c r="Q434" s="940">
        <v>1</v>
      </c>
      <c r="R434" s="940">
        <v>1</v>
      </c>
      <c r="S434" s="944" t="s">
        <v>3974</v>
      </c>
      <c r="T434" s="926" t="s">
        <v>3974</v>
      </c>
      <c r="U434" s="926" t="s">
        <v>3974</v>
      </c>
      <c r="V434" s="926" t="s">
        <v>3974</v>
      </c>
      <c r="W434" s="926" t="s">
        <v>3974</v>
      </c>
      <c r="X434" s="1032"/>
      <c r="Y434" s="749"/>
      <c r="Z434" s="752"/>
      <c r="AA434" s="752"/>
    </row>
    <row r="435" spans="1:28" ht="27" customHeight="1">
      <c r="A435" s="1001" t="s">
        <v>1337</v>
      </c>
      <c r="B435" s="1001" t="s">
        <v>6303</v>
      </c>
      <c r="C435" s="1087" t="s">
        <v>6304</v>
      </c>
      <c r="D435" s="749">
        <v>1524</v>
      </c>
      <c r="E435" s="925"/>
      <c r="F435" s="749"/>
      <c r="G435" s="752"/>
      <c r="H435" s="749"/>
      <c r="I435" s="938"/>
      <c r="J435" s="749"/>
      <c r="K435" s="749"/>
      <c r="L435" s="749"/>
      <c r="M435" s="749"/>
      <c r="N435" s="749"/>
      <c r="O435" s="926" t="s">
        <v>3974</v>
      </c>
      <c r="P435" s="926"/>
      <c r="Q435" s="940">
        <v>1</v>
      </c>
      <c r="R435" s="940">
        <v>1</v>
      </c>
      <c r="S435" s="944" t="s">
        <v>3974</v>
      </c>
      <c r="T435" s="926" t="s">
        <v>3974</v>
      </c>
      <c r="U435" s="926" t="s">
        <v>3974</v>
      </c>
      <c r="V435" s="926" t="s">
        <v>3974</v>
      </c>
      <c r="W435" s="926" t="s">
        <v>3974</v>
      </c>
      <c r="X435" s="1032"/>
      <c r="Y435" s="749"/>
      <c r="Z435" s="752"/>
      <c r="AA435" s="752"/>
    </row>
    <row r="436" spans="1:28" ht="27" customHeight="1">
      <c r="A436" s="1001" t="s">
        <v>1339</v>
      </c>
      <c r="B436" s="1001" t="s">
        <v>6305</v>
      </c>
      <c r="C436" s="1087" t="s">
        <v>6306</v>
      </c>
      <c r="D436" s="749">
        <v>1525</v>
      </c>
      <c r="E436" s="925"/>
      <c r="F436" s="749"/>
      <c r="G436" s="752"/>
      <c r="H436" s="749"/>
      <c r="I436" s="938"/>
      <c r="J436" s="749"/>
      <c r="K436" s="749"/>
      <c r="L436" s="749"/>
      <c r="M436" s="749"/>
      <c r="N436" s="749"/>
      <c r="O436" s="926" t="s">
        <v>3974</v>
      </c>
      <c r="P436" s="926"/>
      <c r="Q436" s="940">
        <v>1</v>
      </c>
      <c r="R436" s="940">
        <v>1</v>
      </c>
      <c r="S436" s="944" t="s">
        <v>3974</v>
      </c>
      <c r="T436" s="926" t="s">
        <v>3974</v>
      </c>
      <c r="U436" s="926" t="s">
        <v>3974</v>
      </c>
      <c r="V436" s="926" t="s">
        <v>3974</v>
      </c>
      <c r="W436" s="926" t="s">
        <v>3974</v>
      </c>
      <c r="X436" s="1032"/>
      <c r="Y436" s="749"/>
      <c r="Z436" s="752"/>
      <c r="AA436" s="752"/>
    </row>
    <row r="437" spans="1:28" ht="14.25" customHeight="1">
      <c r="A437" s="1001" t="s">
        <v>1341</v>
      </c>
      <c r="B437" s="1001" t="s">
        <v>6303</v>
      </c>
      <c r="C437" s="1087" t="s">
        <v>6307</v>
      </c>
      <c r="D437" s="749">
        <v>1526</v>
      </c>
      <c r="E437" s="925"/>
      <c r="F437" s="749"/>
      <c r="G437" s="752"/>
      <c r="H437" s="749"/>
      <c r="I437" s="938"/>
      <c r="J437" s="749"/>
      <c r="K437" s="749"/>
      <c r="L437" s="749"/>
      <c r="M437" s="749"/>
      <c r="N437" s="749"/>
      <c r="O437" s="926" t="s">
        <v>3974</v>
      </c>
      <c r="P437" s="926"/>
      <c r="Q437" s="940">
        <v>1</v>
      </c>
      <c r="R437" s="940">
        <v>1</v>
      </c>
      <c r="S437" s="944" t="s">
        <v>3974</v>
      </c>
      <c r="T437" s="926" t="s">
        <v>3974</v>
      </c>
      <c r="U437" s="926" t="s">
        <v>3974</v>
      </c>
      <c r="V437" s="926" t="s">
        <v>3974</v>
      </c>
      <c r="W437" s="926" t="s">
        <v>3974</v>
      </c>
      <c r="X437" s="1032"/>
      <c r="Y437" s="749"/>
      <c r="Z437" s="752"/>
      <c r="AA437" s="752"/>
    </row>
    <row r="438" spans="1:28" ht="14.25" customHeight="1">
      <c r="A438" s="1001" t="s">
        <v>1343</v>
      </c>
      <c r="B438" s="1001" t="s">
        <v>6308</v>
      </c>
      <c r="C438" s="1087" t="s">
        <v>6309</v>
      </c>
      <c r="D438" s="749">
        <v>1527</v>
      </c>
      <c r="E438" s="925"/>
      <c r="F438" s="749"/>
      <c r="G438" s="752"/>
      <c r="H438" s="749"/>
      <c r="I438" s="938"/>
      <c r="J438" s="749"/>
      <c r="K438" s="749"/>
      <c r="L438" s="749"/>
      <c r="M438" s="749"/>
      <c r="N438" s="749"/>
      <c r="O438" s="926" t="s">
        <v>3974</v>
      </c>
      <c r="P438" s="926"/>
      <c r="Q438" s="940">
        <v>1</v>
      </c>
      <c r="R438" s="940">
        <v>1</v>
      </c>
      <c r="S438" s="944" t="s">
        <v>3974</v>
      </c>
      <c r="T438" s="926" t="s">
        <v>3974</v>
      </c>
      <c r="U438" s="926" t="s">
        <v>3974</v>
      </c>
      <c r="V438" s="926" t="s">
        <v>3974</v>
      </c>
      <c r="W438" s="926" t="s">
        <v>3974</v>
      </c>
      <c r="X438" s="1032"/>
      <c r="Y438" s="749"/>
      <c r="Z438" s="752"/>
      <c r="AA438" s="752"/>
    </row>
    <row r="439" spans="1:28" ht="41.25" customHeight="1">
      <c r="A439" s="895" t="s">
        <v>6310</v>
      </c>
      <c r="B439" s="935" t="s">
        <v>6311</v>
      </c>
      <c r="C439" s="3269" t="s">
        <v>6312</v>
      </c>
      <c r="D439" s="750" t="s">
        <v>6313</v>
      </c>
      <c r="E439" s="925">
        <v>0</v>
      </c>
      <c r="F439" s="925" t="s">
        <v>6314</v>
      </c>
      <c r="G439" s="752" t="s">
        <v>6315</v>
      </c>
      <c r="H439" s="937" t="s">
        <v>6316</v>
      </c>
      <c r="I439" s="938" t="s">
        <v>6317</v>
      </c>
      <c r="J439" s="749" t="s">
        <v>3974</v>
      </c>
      <c r="K439" s="960" t="s">
        <v>4179</v>
      </c>
      <c r="L439" s="960"/>
      <c r="M439" s="749" t="s">
        <v>3979</v>
      </c>
      <c r="N439" s="749" t="s">
        <v>3979</v>
      </c>
      <c r="O439" s="926" t="s">
        <v>3974</v>
      </c>
      <c r="P439" s="926"/>
      <c r="Q439" s="940">
        <v>1</v>
      </c>
      <c r="R439" s="940">
        <v>1</v>
      </c>
      <c r="S439" s="944" t="s">
        <v>3974</v>
      </c>
      <c r="T439" s="926" t="s">
        <v>3974</v>
      </c>
      <c r="U439" s="926" t="s">
        <v>3974</v>
      </c>
      <c r="V439" s="926" t="s">
        <v>3974</v>
      </c>
      <c r="W439" s="926" t="s">
        <v>3974</v>
      </c>
      <c r="X439" s="1032" t="s">
        <v>3975</v>
      </c>
      <c r="Y439" s="749" t="s">
        <v>662</v>
      </c>
      <c r="Z439" s="752" t="s">
        <v>6315</v>
      </c>
      <c r="AA439" s="752" t="s">
        <v>6318</v>
      </c>
      <c r="AB439" s="321" t="s">
        <v>6319</v>
      </c>
    </row>
    <row r="440" spans="1:28" ht="68.25" customHeight="1">
      <c r="A440" s="895" t="s">
        <v>6320</v>
      </c>
      <c r="B440" s="935" t="s">
        <v>6321</v>
      </c>
      <c r="C440" s="3270" t="s">
        <v>6322</v>
      </c>
      <c r="D440" s="750" t="s">
        <v>6323</v>
      </c>
      <c r="E440" s="925">
        <v>1</v>
      </c>
      <c r="F440" s="925" t="s">
        <v>6324</v>
      </c>
      <c r="G440" s="752" t="s">
        <v>6325</v>
      </c>
      <c r="H440" s="937" t="s">
        <v>6324</v>
      </c>
      <c r="I440" s="938" t="s">
        <v>6326</v>
      </c>
      <c r="J440" s="749" t="s">
        <v>3974</v>
      </c>
      <c r="K440" s="960" t="s">
        <v>4179</v>
      </c>
      <c r="L440" s="960"/>
      <c r="M440" s="749" t="s">
        <v>3979</v>
      </c>
      <c r="N440" s="749" t="s">
        <v>3979</v>
      </c>
      <c r="O440" s="926" t="s">
        <v>3974</v>
      </c>
      <c r="P440" s="926"/>
      <c r="Q440" s="940">
        <v>1</v>
      </c>
      <c r="R440" s="940">
        <v>1</v>
      </c>
      <c r="S440" s="944" t="s">
        <v>3974</v>
      </c>
      <c r="T440" s="926" t="s">
        <v>3974</v>
      </c>
      <c r="U440" s="926" t="s">
        <v>3974</v>
      </c>
      <c r="V440" s="926" t="s">
        <v>3974</v>
      </c>
      <c r="W440" s="926" t="s">
        <v>3974</v>
      </c>
      <c r="X440" s="1032" t="s">
        <v>3979</v>
      </c>
      <c r="Y440" s="749" t="s">
        <v>662</v>
      </c>
      <c r="Z440" s="752" t="s">
        <v>4878</v>
      </c>
      <c r="AA440" s="752" t="s">
        <v>6327</v>
      </c>
    </row>
    <row r="441" spans="1:28" ht="68.25" customHeight="1">
      <c r="A441" s="895" t="s">
        <v>6328</v>
      </c>
      <c r="B441" s="935" t="s">
        <v>6329</v>
      </c>
      <c r="C441" s="3271" t="s">
        <v>6330</v>
      </c>
      <c r="D441" s="750" t="s">
        <v>6331</v>
      </c>
      <c r="E441" s="925">
        <v>0</v>
      </c>
      <c r="F441" s="925" t="s">
        <v>6332</v>
      </c>
      <c r="G441" s="752" t="s">
        <v>6333</v>
      </c>
      <c r="H441" s="937" t="s">
        <v>6316</v>
      </c>
      <c r="I441" s="938" t="s">
        <v>6334</v>
      </c>
      <c r="J441" s="749" t="s">
        <v>3974</v>
      </c>
      <c r="K441" s="960" t="s">
        <v>4179</v>
      </c>
      <c r="L441" s="960"/>
      <c r="M441" s="749" t="s">
        <v>3979</v>
      </c>
      <c r="N441" s="749" t="s">
        <v>3979</v>
      </c>
      <c r="O441" s="926" t="s">
        <v>3974</v>
      </c>
      <c r="P441" s="926"/>
      <c r="Q441" s="940">
        <v>1</v>
      </c>
      <c r="R441" s="940">
        <v>1</v>
      </c>
      <c r="S441" s="944" t="s">
        <v>3974</v>
      </c>
      <c r="T441" s="926" t="s">
        <v>3974</v>
      </c>
      <c r="U441" s="926" t="s">
        <v>3974</v>
      </c>
      <c r="V441" s="926" t="s">
        <v>3974</v>
      </c>
      <c r="W441" s="926" t="s">
        <v>3974</v>
      </c>
      <c r="X441" s="1032" t="s">
        <v>3979</v>
      </c>
      <c r="Y441" s="749" t="s">
        <v>662</v>
      </c>
      <c r="Z441" s="752" t="s">
        <v>6335</v>
      </c>
      <c r="AA441" s="752" t="s">
        <v>6336</v>
      </c>
    </row>
    <row r="442" spans="1:28" ht="41.25" customHeight="1">
      <c r="A442" s="895" t="s">
        <v>6337</v>
      </c>
      <c r="B442" s="935" t="s">
        <v>6338</v>
      </c>
      <c r="C442" s="3272" t="s">
        <v>6339</v>
      </c>
      <c r="D442" s="750" t="s">
        <v>6340</v>
      </c>
      <c r="E442" s="925">
        <v>0</v>
      </c>
      <c r="F442" s="925" t="s">
        <v>6316</v>
      </c>
      <c r="G442" s="752" t="s">
        <v>6341</v>
      </c>
      <c r="H442" s="937" t="s">
        <v>6316</v>
      </c>
      <c r="I442" s="938" t="s">
        <v>6317</v>
      </c>
      <c r="J442" s="749" t="s">
        <v>3974</v>
      </c>
      <c r="K442" s="960" t="s">
        <v>4179</v>
      </c>
      <c r="L442" s="960"/>
      <c r="M442" s="749" t="s">
        <v>3979</v>
      </c>
      <c r="N442" s="749" t="s">
        <v>3979</v>
      </c>
      <c r="O442" s="926" t="s">
        <v>3974</v>
      </c>
      <c r="P442" s="926"/>
      <c r="Q442" s="940">
        <v>1</v>
      </c>
      <c r="R442" s="940">
        <v>1</v>
      </c>
      <c r="S442" s="944" t="s">
        <v>3974</v>
      </c>
      <c r="T442" s="926" t="s">
        <v>3974</v>
      </c>
      <c r="U442" s="926" t="s">
        <v>3974</v>
      </c>
      <c r="V442" s="926" t="s">
        <v>3974</v>
      </c>
      <c r="W442" s="926" t="s">
        <v>3974</v>
      </c>
      <c r="X442" s="1032" t="s">
        <v>3979</v>
      </c>
      <c r="Y442" s="749" t="s">
        <v>662</v>
      </c>
      <c r="Z442" s="752" t="s">
        <v>6342</v>
      </c>
      <c r="AA442" s="752" t="s">
        <v>6318</v>
      </c>
    </row>
    <row r="443" spans="1:28" ht="122.25" customHeight="1">
      <c r="A443" s="895" t="s">
        <v>6343</v>
      </c>
      <c r="B443" s="935" t="s">
        <v>6344</v>
      </c>
      <c r="C443" s="3273" t="s">
        <v>6345</v>
      </c>
      <c r="D443" s="750" t="s">
        <v>6346</v>
      </c>
      <c r="E443" s="925">
        <v>0</v>
      </c>
      <c r="F443" s="925" t="s">
        <v>6316</v>
      </c>
      <c r="G443" s="752" t="s">
        <v>6347</v>
      </c>
      <c r="H443" s="937" t="s">
        <v>6316</v>
      </c>
      <c r="I443" s="938" t="s">
        <v>6348</v>
      </c>
      <c r="J443" s="749" t="s">
        <v>3974</v>
      </c>
      <c r="K443" s="960" t="s">
        <v>4179</v>
      </c>
      <c r="L443" s="960"/>
      <c r="M443" s="749" t="s">
        <v>3979</v>
      </c>
      <c r="N443" s="749" t="s">
        <v>3979</v>
      </c>
      <c r="O443" s="926" t="s">
        <v>3974</v>
      </c>
      <c r="P443" s="926"/>
      <c r="Q443" s="940">
        <v>1</v>
      </c>
      <c r="R443" s="940">
        <v>1</v>
      </c>
      <c r="S443" s="944" t="s">
        <v>3974</v>
      </c>
      <c r="T443" s="926" t="s">
        <v>3974</v>
      </c>
      <c r="U443" s="926" t="s">
        <v>3974</v>
      </c>
      <c r="V443" s="926" t="s">
        <v>3974</v>
      </c>
      <c r="W443" s="926" t="s">
        <v>3974</v>
      </c>
      <c r="X443" s="1032" t="s">
        <v>3979</v>
      </c>
      <c r="Y443" s="749" t="s">
        <v>662</v>
      </c>
      <c r="Z443" s="752" t="s">
        <v>6349</v>
      </c>
      <c r="AA443" s="752" t="s">
        <v>6350</v>
      </c>
    </row>
    <row r="444" spans="1:28" ht="108.75" customHeight="1">
      <c r="A444" s="895" t="s">
        <v>6351</v>
      </c>
      <c r="B444" s="935" t="s">
        <v>6352</v>
      </c>
      <c r="C444" s="3274" t="s">
        <v>6353</v>
      </c>
      <c r="D444" s="750" t="s">
        <v>6354</v>
      </c>
      <c r="E444" s="925">
        <v>1</v>
      </c>
      <c r="F444" s="925" t="s">
        <v>6316</v>
      </c>
      <c r="G444" s="752" t="s">
        <v>6355</v>
      </c>
      <c r="H444" s="937" t="s">
        <v>6316</v>
      </c>
      <c r="I444" s="938" t="s">
        <v>6356</v>
      </c>
      <c r="J444" s="749" t="s">
        <v>3974</v>
      </c>
      <c r="K444" s="960" t="s">
        <v>4179</v>
      </c>
      <c r="L444" s="960"/>
      <c r="M444" s="749" t="s">
        <v>3979</v>
      </c>
      <c r="N444" s="749" t="s">
        <v>3979</v>
      </c>
      <c r="O444" s="926" t="s">
        <v>3974</v>
      </c>
      <c r="P444" s="926"/>
      <c r="Q444" s="940">
        <v>1</v>
      </c>
      <c r="R444" s="940">
        <v>1</v>
      </c>
      <c r="S444" s="944" t="s">
        <v>3974</v>
      </c>
      <c r="T444" s="926" t="s">
        <v>3974</v>
      </c>
      <c r="U444" s="926" t="s">
        <v>3974</v>
      </c>
      <c r="V444" s="926" t="s">
        <v>3974</v>
      </c>
      <c r="W444" s="926" t="s">
        <v>3974</v>
      </c>
      <c r="X444" s="1032" t="s">
        <v>3979</v>
      </c>
      <c r="Y444" s="749" t="s">
        <v>662</v>
      </c>
      <c r="Z444" s="752" t="s">
        <v>6349</v>
      </c>
      <c r="AA444" s="752" t="s">
        <v>6350</v>
      </c>
    </row>
    <row r="445" spans="1:28" ht="41.25" customHeight="1">
      <c r="A445" s="895" t="s">
        <v>6357</v>
      </c>
      <c r="B445" s="935" t="s">
        <v>6358</v>
      </c>
      <c r="C445" s="3275" t="s">
        <v>6359</v>
      </c>
      <c r="D445" s="750" t="s">
        <v>6360</v>
      </c>
      <c r="E445" s="925">
        <v>0</v>
      </c>
      <c r="F445" s="942" t="s">
        <v>4116</v>
      </c>
      <c r="G445" s="752" t="s">
        <v>6361</v>
      </c>
      <c r="H445" s="926" t="s">
        <v>4116</v>
      </c>
      <c r="I445" s="938" t="s">
        <v>6317</v>
      </c>
      <c r="J445" s="749" t="s">
        <v>3974</v>
      </c>
      <c r="K445" s="960" t="s">
        <v>4179</v>
      </c>
      <c r="L445" s="960"/>
      <c r="M445" s="749" t="s">
        <v>3979</v>
      </c>
      <c r="N445" s="749" t="s">
        <v>3979</v>
      </c>
      <c r="O445" s="926" t="s">
        <v>3974</v>
      </c>
      <c r="P445" s="926"/>
      <c r="Q445" s="940">
        <v>1</v>
      </c>
      <c r="R445" s="940">
        <v>1</v>
      </c>
      <c r="S445" s="944" t="s">
        <v>3974</v>
      </c>
      <c r="T445" s="926" t="s">
        <v>3974</v>
      </c>
      <c r="U445" s="926" t="s">
        <v>3974</v>
      </c>
      <c r="V445" s="926" t="s">
        <v>3974</v>
      </c>
      <c r="W445" s="926" t="s">
        <v>3974</v>
      </c>
      <c r="X445" s="1032" t="s">
        <v>3979</v>
      </c>
      <c r="Y445" s="749" t="s">
        <v>662</v>
      </c>
      <c r="Z445" s="752" t="s">
        <v>6362</v>
      </c>
      <c r="AA445" s="752" t="s">
        <v>6363</v>
      </c>
    </row>
    <row r="446" spans="1:28" ht="45.75" customHeight="1">
      <c r="A446" s="895" t="s">
        <v>6364</v>
      </c>
      <c r="B446" s="935" t="s">
        <v>6365</v>
      </c>
      <c r="C446" s="1088" t="s">
        <v>6366</v>
      </c>
      <c r="D446" s="750" t="s">
        <v>6367</v>
      </c>
      <c r="E446" s="925">
        <v>0</v>
      </c>
      <c r="F446" s="942" t="s">
        <v>6368</v>
      </c>
      <c r="G446" s="752" t="s">
        <v>6369</v>
      </c>
      <c r="H446" s="926" t="s">
        <v>6368</v>
      </c>
      <c r="I446" s="938" t="s">
        <v>6317</v>
      </c>
      <c r="J446" s="749" t="s">
        <v>3974</v>
      </c>
      <c r="K446" s="960" t="s">
        <v>4179</v>
      </c>
      <c r="L446" s="960"/>
      <c r="M446" s="749" t="s">
        <v>3979</v>
      </c>
      <c r="N446" s="749" t="s">
        <v>3979</v>
      </c>
      <c r="O446" s="926" t="s">
        <v>3974</v>
      </c>
      <c r="P446" s="926"/>
      <c r="Q446" s="940">
        <v>1</v>
      </c>
      <c r="R446" s="940">
        <v>1</v>
      </c>
      <c r="S446" s="944" t="s">
        <v>3974</v>
      </c>
      <c r="T446" s="926" t="s">
        <v>3974</v>
      </c>
      <c r="U446" s="926" t="s">
        <v>3974</v>
      </c>
      <c r="V446" s="926" t="s">
        <v>3974</v>
      </c>
      <c r="W446" s="926" t="s">
        <v>3974</v>
      </c>
      <c r="X446" s="1032" t="s">
        <v>3979</v>
      </c>
      <c r="Y446" s="749" t="s">
        <v>662</v>
      </c>
      <c r="Z446" s="752" t="s">
        <v>4878</v>
      </c>
      <c r="AA446" s="752" t="s">
        <v>4483</v>
      </c>
    </row>
    <row r="447" spans="1:28" ht="15.75" customHeight="1">
      <c r="A447" s="41" t="s">
        <v>985</v>
      </c>
      <c r="B447" s="42" t="s">
        <v>6370</v>
      </c>
      <c r="C447" s="885" t="s">
        <v>6371</v>
      </c>
      <c r="D447" s="19" t="s">
        <v>6372</v>
      </c>
      <c r="E447" s="28">
        <v>1</v>
      </c>
      <c r="F447" s="1061" t="s">
        <v>6373</v>
      </c>
      <c r="G447" s="1106" t="s">
        <v>6374</v>
      </c>
      <c r="H447" s="27" t="s">
        <v>6375</v>
      </c>
      <c r="I447" s="46"/>
      <c r="J447" s="27"/>
      <c r="K447" s="27"/>
      <c r="L447" s="27"/>
      <c r="M447" s="27"/>
      <c r="N447" s="27"/>
      <c r="O447" s="926" t="s">
        <v>3974</v>
      </c>
      <c r="P447" s="926"/>
      <c r="Q447" s="940">
        <v>1</v>
      </c>
      <c r="R447" s="940">
        <v>1</v>
      </c>
      <c r="S447" s="944" t="s">
        <v>3974</v>
      </c>
      <c r="T447" s="926" t="s">
        <v>3974</v>
      </c>
      <c r="U447" s="926" t="s">
        <v>3974</v>
      </c>
      <c r="V447" s="926" t="s">
        <v>3974</v>
      </c>
      <c r="W447" s="926" t="s">
        <v>3974</v>
      </c>
      <c r="X447" s="27"/>
      <c r="Y447" s="27"/>
      <c r="Z447" s="44" t="s">
        <v>6376</v>
      </c>
      <c r="AA447" s="44" t="s">
        <v>6377</v>
      </c>
    </row>
    <row r="448" spans="1:28" ht="15.75" customHeight="1">
      <c r="A448" s="41" t="s">
        <v>988</v>
      </c>
      <c r="B448" s="27" t="s">
        <v>6378</v>
      </c>
      <c r="C448" s="885" t="s">
        <v>6379</v>
      </c>
      <c r="D448" s="19" t="s">
        <v>6380</v>
      </c>
      <c r="E448" s="28">
        <v>1</v>
      </c>
      <c r="F448" s="1061" t="s">
        <v>6373</v>
      </c>
      <c r="G448" s="1106" t="s">
        <v>6381</v>
      </c>
      <c r="H448" s="1061" t="s">
        <v>6382</v>
      </c>
      <c r="I448" s="46"/>
      <c r="J448" s="27"/>
      <c r="K448" s="27"/>
      <c r="L448" s="27"/>
      <c r="M448" s="27"/>
      <c r="N448" s="27"/>
      <c r="O448" s="926" t="s">
        <v>3974</v>
      </c>
      <c r="P448" s="926"/>
      <c r="Q448" s="940">
        <v>1</v>
      </c>
      <c r="R448" s="940">
        <v>1</v>
      </c>
      <c r="S448" s="944" t="s">
        <v>3974</v>
      </c>
      <c r="T448" s="926" t="s">
        <v>3974</v>
      </c>
      <c r="U448" s="926" t="s">
        <v>3974</v>
      </c>
      <c r="V448" s="926" t="s">
        <v>3974</v>
      </c>
      <c r="W448" s="926" t="s">
        <v>3974</v>
      </c>
      <c r="X448" s="27"/>
      <c r="Y448" s="27"/>
      <c r="Z448" s="44" t="s">
        <v>6376</v>
      </c>
      <c r="AA448" s="44" t="s">
        <v>6377</v>
      </c>
    </row>
    <row r="449" spans="1:28" ht="21" customHeight="1">
      <c r="A449" s="41" t="s">
        <v>990</v>
      </c>
      <c r="B449" s="28" t="s">
        <v>6383</v>
      </c>
      <c r="C449" s="885" t="s">
        <v>6384</v>
      </c>
      <c r="D449" s="19" t="s">
        <v>6385</v>
      </c>
      <c r="E449" s="28">
        <v>1</v>
      </c>
      <c r="F449" s="1061" t="s">
        <v>6373</v>
      </c>
      <c r="G449" s="1106" t="s">
        <v>6386</v>
      </c>
      <c r="H449" s="1061" t="s">
        <v>6387</v>
      </c>
      <c r="I449" s="46"/>
      <c r="J449" s="27"/>
      <c r="K449" s="27"/>
      <c r="L449" s="27"/>
      <c r="M449" s="27"/>
      <c r="N449" s="27"/>
      <c r="O449" s="926" t="s">
        <v>3974</v>
      </c>
      <c r="P449" s="926"/>
      <c r="Q449" s="940">
        <v>1</v>
      </c>
      <c r="R449" s="940">
        <v>1</v>
      </c>
      <c r="S449" s="944" t="s">
        <v>3974</v>
      </c>
      <c r="T449" s="926" t="s">
        <v>3974</v>
      </c>
      <c r="U449" s="926" t="s">
        <v>3974</v>
      </c>
      <c r="V449" s="926" t="s">
        <v>3974</v>
      </c>
      <c r="W449" s="926" t="s">
        <v>3974</v>
      </c>
      <c r="X449" s="27"/>
      <c r="Y449" s="27"/>
      <c r="Z449" s="44" t="s">
        <v>6388</v>
      </c>
      <c r="AA449" s="44" t="s">
        <v>6377</v>
      </c>
    </row>
    <row r="450" spans="1:28" ht="30.75" customHeight="1">
      <c r="A450" s="1140" t="s">
        <v>992</v>
      </c>
      <c r="B450" s="1141" t="s">
        <v>6389</v>
      </c>
      <c r="C450" s="1170" t="s">
        <v>6390</v>
      </c>
      <c r="D450" s="1171" t="s">
        <v>6391</v>
      </c>
      <c r="E450" s="1172" t="s">
        <v>506</v>
      </c>
      <c r="F450" s="1173" t="s">
        <v>6373</v>
      </c>
      <c r="G450" s="1174"/>
      <c r="H450" s="1173"/>
      <c r="I450" s="1187"/>
      <c r="J450" s="1201"/>
      <c r="K450" s="1201"/>
      <c r="L450" s="1201"/>
      <c r="M450" s="1201"/>
      <c r="N450" s="1201"/>
      <c r="O450" s="1252" t="s">
        <v>3974</v>
      </c>
      <c r="P450" s="1252"/>
      <c r="Q450" s="1257">
        <v>1</v>
      </c>
      <c r="R450" s="1257">
        <v>1</v>
      </c>
      <c r="S450" s="1258" t="s">
        <v>3974</v>
      </c>
      <c r="T450" s="1252" t="s">
        <v>3974</v>
      </c>
      <c r="U450" s="1252" t="s">
        <v>3974</v>
      </c>
      <c r="V450" s="1252" t="s">
        <v>3974</v>
      </c>
      <c r="W450" s="1252" t="s">
        <v>3974</v>
      </c>
      <c r="X450" s="1201"/>
      <c r="Y450" s="1201"/>
      <c r="Z450" s="1332" t="s">
        <v>6376</v>
      </c>
      <c r="AA450" s="1332" t="s">
        <v>6377</v>
      </c>
      <c r="AB450" s="1336"/>
    </row>
    <row r="451" spans="1:28" ht="30.75" customHeight="1">
      <c r="A451" s="1337" t="s">
        <v>994</v>
      </c>
      <c r="B451" s="1340" t="s">
        <v>6392</v>
      </c>
      <c r="C451" s="1341" t="s">
        <v>6393</v>
      </c>
      <c r="D451" s="1343" t="s">
        <v>6394</v>
      </c>
      <c r="E451" s="1344" t="s">
        <v>506</v>
      </c>
      <c r="F451" s="1345" t="s">
        <v>6373</v>
      </c>
      <c r="G451" s="1346"/>
      <c r="H451" s="1345"/>
      <c r="I451" s="1347"/>
      <c r="J451" s="1348"/>
      <c r="K451" s="1348"/>
      <c r="L451" s="1348"/>
      <c r="M451" s="1348"/>
      <c r="N451" s="1348"/>
      <c r="O451" s="1350" t="s">
        <v>3974</v>
      </c>
      <c r="P451" s="1350"/>
      <c r="Q451" s="1351">
        <v>1</v>
      </c>
      <c r="R451" s="1351">
        <v>1</v>
      </c>
      <c r="S451" s="1352" t="s">
        <v>3974</v>
      </c>
      <c r="T451" s="1350" t="s">
        <v>3974</v>
      </c>
      <c r="U451" s="1350" t="s">
        <v>3974</v>
      </c>
      <c r="V451" s="1350" t="s">
        <v>3974</v>
      </c>
      <c r="W451" s="1350" t="s">
        <v>3974</v>
      </c>
      <c r="X451" s="1348"/>
      <c r="Y451" s="1348"/>
      <c r="Z451" s="1353" t="s">
        <v>6388</v>
      </c>
      <c r="AA451" s="1353" t="s">
        <v>6377</v>
      </c>
      <c r="AB451" s="1336"/>
    </row>
    <row r="452" spans="1:28" s="1354" customFormat="1" ht="14.25" customHeight="1">
      <c r="A452" s="1355" t="s">
        <v>996</v>
      </c>
      <c r="B452" s="1356" t="s">
        <v>6395</v>
      </c>
      <c r="C452" s="1357" t="s">
        <v>6396</v>
      </c>
      <c r="D452" s="1392" t="s">
        <v>6397</v>
      </c>
      <c r="E452" s="1356">
        <v>1</v>
      </c>
      <c r="F452" s="1358" t="s">
        <v>6373</v>
      </c>
      <c r="G452" s="1359" t="s">
        <v>6398</v>
      </c>
      <c r="H452" s="1358" t="s">
        <v>6399</v>
      </c>
      <c r="I452" s="1360"/>
      <c r="J452" s="1358"/>
      <c r="K452" s="1358"/>
      <c r="L452" s="1358"/>
      <c r="M452" s="1358"/>
      <c r="N452" s="1358"/>
      <c r="O452" s="1361" t="s">
        <v>3974</v>
      </c>
      <c r="P452" s="1361"/>
      <c r="Q452" s="1362">
        <v>1</v>
      </c>
      <c r="R452" s="1362">
        <v>1</v>
      </c>
      <c r="S452" s="1428" t="s">
        <v>3974</v>
      </c>
      <c r="T452" s="1361" t="s">
        <v>3974</v>
      </c>
      <c r="U452" s="1361" t="s">
        <v>3974</v>
      </c>
      <c r="V452" s="1361" t="s">
        <v>3974</v>
      </c>
      <c r="W452" s="1361" t="s">
        <v>3974</v>
      </c>
      <c r="X452" s="1358"/>
      <c r="Y452" s="1358"/>
      <c r="Z452" s="1429"/>
      <c r="AA452" s="1429"/>
      <c r="AB452" s="1431"/>
    </row>
    <row r="453" spans="1:28" ht="30.75" customHeight="1">
      <c r="A453" s="1140" t="s">
        <v>998</v>
      </c>
      <c r="B453" s="1434" t="s">
        <v>6400</v>
      </c>
      <c r="C453" s="1170" t="s">
        <v>6401</v>
      </c>
      <c r="D453" s="1171" t="s">
        <v>6402</v>
      </c>
      <c r="E453" s="1172" t="s">
        <v>506</v>
      </c>
      <c r="F453" s="1173" t="s">
        <v>6373</v>
      </c>
      <c r="G453" s="1174"/>
      <c r="H453" s="1173"/>
      <c r="I453" s="1187"/>
      <c r="J453" s="1201"/>
      <c r="K453" s="1201"/>
      <c r="L453" s="1201"/>
      <c r="M453" s="1201"/>
      <c r="N453" s="1201"/>
      <c r="O453" s="1252" t="s">
        <v>3974</v>
      </c>
      <c r="P453" s="1252"/>
      <c r="Q453" s="1257">
        <v>1</v>
      </c>
      <c r="R453" s="1257">
        <v>1</v>
      </c>
      <c r="S453" s="1258" t="s">
        <v>3974</v>
      </c>
      <c r="T453" s="1252" t="s">
        <v>3974</v>
      </c>
      <c r="U453" s="1252" t="s">
        <v>3974</v>
      </c>
      <c r="V453" s="1252" t="s">
        <v>3974</v>
      </c>
      <c r="W453" s="1252" t="s">
        <v>3974</v>
      </c>
      <c r="X453" s="1201"/>
      <c r="Y453" s="1201"/>
      <c r="Z453" s="1332" t="s">
        <v>6388</v>
      </c>
      <c r="AA453" s="1332" t="s">
        <v>6377</v>
      </c>
      <c r="AB453" s="1336"/>
    </row>
    <row r="454" spans="1:28" ht="15.75" customHeight="1">
      <c r="A454" s="1435" t="s">
        <v>1000</v>
      </c>
      <c r="B454" s="1436" t="s">
        <v>6403</v>
      </c>
      <c r="C454" s="1437" t="s">
        <v>6404</v>
      </c>
      <c r="D454" s="1438" t="s">
        <v>6405</v>
      </c>
      <c r="E454" s="1446" t="s">
        <v>506</v>
      </c>
      <c r="F454" s="1447" t="s">
        <v>6373</v>
      </c>
      <c r="G454" s="1448" t="s">
        <v>6406</v>
      </c>
      <c r="H454" s="1447" t="s">
        <v>6375</v>
      </c>
      <c r="I454" s="1449"/>
      <c r="J454" s="1348"/>
      <c r="K454" s="1348"/>
      <c r="L454" s="1348"/>
      <c r="M454" s="1348"/>
      <c r="N454" s="1348"/>
      <c r="O454" s="1350" t="s">
        <v>3974</v>
      </c>
      <c r="P454" s="1350"/>
      <c r="Q454" s="1351">
        <v>1</v>
      </c>
      <c r="R454" s="1351">
        <v>1</v>
      </c>
      <c r="S454" s="1352" t="s">
        <v>3974</v>
      </c>
      <c r="T454" s="1350" t="s">
        <v>3974</v>
      </c>
      <c r="U454" s="1350" t="s">
        <v>3974</v>
      </c>
      <c r="V454" s="1350" t="s">
        <v>3974</v>
      </c>
      <c r="W454" s="1350" t="s">
        <v>3974</v>
      </c>
      <c r="X454" s="1348"/>
      <c r="Y454" s="1348"/>
      <c r="Z454" s="1353" t="s">
        <v>6388</v>
      </c>
      <c r="AA454" s="1353" t="s">
        <v>6377</v>
      </c>
      <c r="AB454" s="1336"/>
    </row>
    <row r="455" spans="1:28" ht="14.25" customHeight="1">
      <c r="A455" s="1451"/>
      <c r="B455" s="1452" t="s">
        <v>6407</v>
      </c>
      <c r="C455" s="1173" t="s">
        <v>6408</v>
      </c>
      <c r="D455" s="1171" t="s">
        <v>6409</v>
      </c>
      <c r="E455" s="1172" t="s">
        <v>506</v>
      </c>
      <c r="F455" s="1453" t="s">
        <v>6373</v>
      </c>
      <c r="G455" s="1454" t="s">
        <v>6410</v>
      </c>
      <c r="H455" s="1173"/>
      <c r="I455" s="1187"/>
      <c r="J455" s="1295"/>
      <c r="K455" s="1295"/>
      <c r="L455" s="1295"/>
      <c r="M455" s="1295"/>
      <c r="N455" s="1295"/>
      <c r="O455" s="1370"/>
      <c r="P455" s="1370"/>
      <c r="Q455" s="1295"/>
      <c r="R455" s="1295"/>
      <c r="S455" s="1455"/>
      <c r="T455" s="1295"/>
      <c r="U455" s="1295"/>
      <c r="V455" s="1295"/>
      <c r="W455" s="1295"/>
      <c r="X455" s="1295"/>
      <c r="Y455" s="1295"/>
      <c r="Z455" s="1158" t="s">
        <v>6411</v>
      </c>
      <c r="AA455" s="1206" t="s">
        <v>6412</v>
      </c>
      <c r="AB455" s="1336"/>
    </row>
    <row r="456" spans="1:28" ht="14.25" customHeight="1">
      <c r="A456" s="1456"/>
      <c r="B456" s="1340" t="s">
        <v>6413</v>
      </c>
      <c r="C456" s="1345" t="s">
        <v>6414</v>
      </c>
      <c r="D456" s="1343" t="s">
        <v>6415</v>
      </c>
      <c r="E456" s="1344" t="s">
        <v>506</v>
      </c>
      <c r="F456" s="1453" t="s">
        <v>6373</v>
      </c>
      <c r="G456" s="1457" t="s">
        <v>6416</v>
      </c>
      <c r="H456" s="1345"/>
      <c r="I456" s="1347"/>
      <c r="J456" s="1295"/>
      <c r="K456" s="1295"/>
      <c r="L456" s="1295"/>
      <c r="M456" s="1295"/>
      <c r="N456" s="1295"/>
      <c r="O456" s="1370"/>
      <c r="P456" s="1370"/>
      <c r="Q456" s="1295"/>
      <c r="R456" s="1295"/>
      <c r="S456" s="1455"/>
      <c r="T456" s="1295"/>
      <c r="U456" s="1295"/>
      <c r="V456" s="1295"/>
      <c r="W456" s="1295"/>
      <c r="X456" s="1295"/>
      <c r="Y456" s="1295"/>
      <c r="Z456" s="1207" t="s">
        <v>6417</v>
      </c>
      <c r="AA456" s="1208" t="s">
        <v>6418</v>
      </c>
      <c r="AB456" s="1336"/>
    </row>
    <row r="457" spans="1:28" ht="14.25" customHeight="1">
      <c r="A457" s="1456"/>
      <c r="B457" s="1340" t="s">
        <v>6419</v>
      </c>
      <c r="C457" s="1345" t="s">
        <v>6420</v>
      </c>
      <c r="D457" s="1343" t="s">
        <v>6421</v>
      </c>
      <c r="E457" s="1344" t="s">
        <v>506</v>
      </c>
      <c r="F457" s="1453" t="s">
        <v>6373</v>
      </c>
      <c r="G457" s="1345" t="s">
        <v>6420</v>
      </c>
      <c r="H457" s="1345"/>
      <c r="I457" s="1347"/>
      <c r="J457" s="1295"/>
      <c r="K457" s="1295"/>
      <c r="L457" s="1295"/>
      <c r="M457" s="1295"/>
      <c r="N457" s="1295"/>
      <c r="O457" s="1370"/>
      <c r="P457" s="1370"/>
      <c r="Q457" s="1295"/>
      <c r="R457" s="1295"/>
      <c r="S457" s="1455"/>
      <c r="T457" s="1295"/>
      <c r="U457" s="1295"/>
      <c r="V457" s="1295"/>
      <c r="W457" s="1295"/>
      <c r="X457" s="1295"/>
      <c r="Y457" s="1295"/>
      <c r="Z457" s="1207" t="s">
        <v>6422</v>
      </c>
      <c r="AA457" s="1208" t="s">
        <v>6423</v>
      </c>
      <c r="AB457" s="1336"/>
    </row>
    <row r="458" spans="1:28" ht="14.25" customHeight="1">
      <c r="A458" s="1456"/>
      <c r="B458" s="1340" t="s">
        <v>6424</v>
      </c>
      <c r="C458" s="1346" t="s">
        <v>6425</v>
      </c>
      <c r="D458" s="1343" t="s">
        <v>6426</v>
      </c>
      <c r="E458" s="1344" t="s">
        <v>506</v>
      </c>
      <c r="F458" s="1453" t="s">
        <v>6373</v>
      </c>
      <c r="G458" s="1346" t="s">
        <v>6427</v>
      </c>
      <c r="H458" s="1345"/>
      <c r="I458" s="1347"/>
      <c r="J458" s="1295"/>
      <c r="K458" s="1295"/>
      <c r="L458" s="1295"/>
      <c r="M458" s="1295"/>
      <c r="N458" s="1295"/>
      <c r="O458" s="1370"/>
      <c r="P458" s="1370"/>
      <c r="Q458" s="1295"/>
      <c r="R458" s="1295"/>
      <c r="S458" s="1455"/>
      <c r="T458" s="1295"/>
      <c r="U458" s="1295"/>
      <c r="V458" s="1295"/>
      <c r="W458" s="1295"/>
      <c r="X458" s="1295"/>
      <c r="Y458" s="1295"/>
      <c r="Z458" s="1206" t="s">
        <v>6428</v>
      </c>
      <c r="AA458" s="1208" t="s">
        <v>6377</v>
      </c>
      <c r="AB458" s="1336"/>
    </row>
    <row r="459" spans="1:28" ht="14.25" customHeight="1">
      <c r="A459" s="1456"/>
      <c r="B459" s="1340" t="s">
        <v>6429</v>
      </c>
      <c r="C459" s="1346" t="s">
        <v>6430</v>
      </c>
      <c r="D459" s="1343" t="s">
        <v>6431</v>
      </c>
      <c r="E459" s="1344" t="s">
        <v>506</v>
      </c>
      <c r="F459" s="1453" t="s">
        <v>6373</v>
      </c>
      <c r="G459" s="1346"/>
      <c r="H459" s="1345"/>
      <c r="I459" s="1347"/>
      <c r="J459" s="1295"/>
      <c r="K459" s="1295"/>
      <c r="L459" s="1295"/>
      <c r="M459" s="1295"/>
      <c r="N459" s="1295"/>
      <c r="O459" s="1370"/>
      <c r="P459" s="1370"/>
      <c r="Q459" s="1295"/>
      <c r="R459" s="1295"/>
      <c r="S459" s="1455"/>
      <c r="T459" s="1295"/>
      <c r="U459" s="1295"/>
      <c r="V459" s="1295"/>
      <c r="W459" s="1295"/>
      <c r="X459" s="1295"/>
      <c r="Y459" s="1295"/>
      <c r="Z459" s="1208" t="s">
        <v>6428</v>
      </c>
      <c r="AA459" s="1208" t="s">
        <v>6377</v>
      </c>
      <c r="AB459" s="1336"/>
    </row>
    <row r="460" spans="1:28" ht="14.25" customHeight="1">
      <c r="A460" s="1456"/>
      <c r="B460" s="1340" t="s">
        <v>6432</v>
      </c>
      <c r="C460" s="1458" t="s">
        <v>6433</v>
      </c>
      <c r="D460" s="1459" t="s">
        <v>6434</v>
      </c>
      <c r="E460" s="1344" t="s">
        <v>506</v>
      </c>
      <c r="F460" s="1453" t="s">
        <v>6373</v>
      </c>
      <c r="G460" s="1346"/>
      <c r="H460" s="1345"/>
      <c r="I460" s="1347"/>
      <c r="J460" s="1295"/>
      <c r="K460" s="1295"/>
      <c r="L460" s="1295"/>
      <c r="M460" s="1295"/>
      <c r="N460" s="1295"/>
      <c r="O460" s="1370"/>
      <c r="P460" s="1370"/>
      <c r="Q460" s="1295"/>
      <c r="R460" s="1295"/>
      <c r="S460" s="1455"/>
      <c r="T460" s="1295"/>
      <c r="U460" s="1295"/>
      <c r="V460" s="1295"/>
      <c r="W460" s="1295"/>
      <c r="X460" s="1295"/>
      <c r="Y460" s="1295"/>
      <c r="Z460" s="1158" t="s">
        <v>6435</v>
      </c>
      <c r="AA460" s="1206" t="s">
        <v>6436</v>
      </c>
      <c r="AB460" s="1336"/>
    </row>
    <row r="461" spans="1:28" ht="14.25" customHeight="1">
      <c r="A461" s="1456"/>
      <c r="B461" s="1340" t="s">
        <v>6437</v>
      </c>
      <c r="C461" s="1174" t="s">
        <v>6438</v>
      </c>
      <c r="D461" s="1343" t="s">
        <v>6439</v>
      </c>
      <c r="E461" s="1344" t="s">
        <v>506</v>
      </c>
      <c r="F461" s="1453" t="s">
        <v>6373</v>
      </c>
      <c r="G461" s="1346"/>
      <c r="H461" s="1345"/>
      <c r="I461" s="1347"/>
      <c r="J461" s="1295"/>
      <c r="K461" s="1295"/>
      <c r="L461" s="1295"/>
      <c r="M461" s="1295"/>
      <c r="N461" s="1295"/>
      <c r="O461" s="1370"/>
      <c r="P461" s="1370"/>
      <c r="Q461" s="1295"/>
      <c r="R461" s="1295"/>
      <c r="S461" s="1455"/>
      <c r="T461" s="1295"/>
      <c r="U461" s="1295"/>
      <c r="V461" s="1295"/>
      <c r="W461" s="1295"/>
      <c r="X461" s="1295"/>
      <c r="Y461" s="1295"/>
      <c r="Z461" s="1158" t="s">
        <v>6440</v>
      </c>
      <c r="AA461" s="1206" t="s">
        <v>6441</v>
      </c>
      <c r="AB461" s="1336"/>
    </row>
    <row r="462" spans="1:28" ht="14.25" customHeight="1">
      <c r="A462" s="1456"/>
      <c r="B462" s="1340" t="s">
        <v>6442</v>
      </c>
      <c r="C462" s="1458" t="s">
        <v>6443</v>
      </c>
      <c r="D462" s="1459" t="s">
        <v>6444</v>
      </c>
      <c r="E462" s="1344" t="s">
        <v>506</v>
      </c>
      <c r="F462" s="1453" t="s">
        <v>6373</v>
      </c>
      <c r="G462" s="1346"/>
      <c r="H462" s="1345"/>
      <c r="I462" s="1347"/>
      <c r="J462" s="1295"/>
      <c r="K462" s="1295"/>
      <c r="L462" s="1295"/>
      <c r="M462" s="1295"/>
      <c r="N462" s="1295"/>
      <c r="O462" s="1370"/>
      <c r="P462" s="1370"/>
      <c r="Q462" s="1295"/>
      <c r="R462" s="1295"/>
      <c r="S462" s="1455"/>
      <c r="T462" s="1295"/>
      <c r="U462" s="1295"/>
      <c r="V462" s="1295"/>
      <c r="W462" s="1295"/>
      <c r="X462" s="1295"/>
      <c r="Y462" s="1295"/>
      <c r="Z462" s="1207" t="s">
        <v>6445</v>
      </c>
      <c r="AA462" s="1208" t="s">
        <v>6446</v>
      </c>
      <c r="AB462" s="1336"/>
    </row>
    <row r="463" spans="1:28" ht="14.25" customHeight="1">
      <c r="A463" s="1092" t="s">
        <v>1978</v>
      </c>
      <c r="B463" s="1092" t="s">
        <v>6447</v>
      </c>
      <c r="C463" s="1181" t="s">
        <v>6448</v>
      </c>
      <c r="D463" s="1116" t="s">
        <v>6449</v>
      </c>
      <c r="E463" s="1092">
        <v>1</v>
      </c>
      <c r="F463" s="1092"/>
      <c r="G463" s="1402" t="s">
        <v>6450</v>
      </c>
      <c r="H463" s="1181"/>
      <c r="I463" s="1415"/>
      <c r="J463" s="1103"/>
      <c r="Z463" s="1371" t="s">
        <v>6451</v>
      </c>
      <c r="AA463" s="1371" t="s">
        <v>4483</v>
      </c>
    </row>
    <row r="464" spans="1:28" ht="14.25" customHeight="1">
      <c r="A464" s="1092" t="s">
        <v>1981</v>
      </c>
      <c r="B464" s="1092" t="s">
        <v>6452</v>
      </c>
      <c r="C464" s="1181" t="s">
        <v>6453</v>
      </c>
      <c r="D464" s="1116" t="s">
        <v>6454</v>
      </c>
      <c r="E464" s="1092">
        <v>1</v>
      </c>
      <c r="F464" s="1092"/>
      <c r="G464" s="1402" t="s">
        <v>6455</v>
      </c>
      <c r="H464" s="1181"/>
      <c r="I464" s="1415"/>
      <c r="J464" s="1103"/>
      <c r="Z464" s="1371" t="s">
        <v>6456</v>
      </c>
      <c r="AA464" s="1371" t="s">
        <v>4483</v>
      </c>
    </row>
    <row r="465" spans="1:27" ht="14.25" customHeight="1">
      <c r="A465" s="1092" t="s">
        <v>1983</v>
      </c>
      <c r="B465" s="1092" t="s">
        <v>6457</v>
      </c>
      <c r="C465" s="1181" t="s">
        <v>6458</v>
      </c>
      <c r="D465" s="1116" t="s">
        <v>6459</v>
      </c>
      <c r="E465" s="1092">
        <v>1</v>
      </c>
      <c r="F465" s="1092"/>
      <c r="G465" s="1402" t="s">
        <v>6455</v>
      </c>
      <c r="H465" s="1181"/>
      <c r="I465" s="1415"/>
      <c r="J465" s="1103"/>
      <c r="Z465" s="1371" t="s">
        <v>6460</v>
      </c>
      <c r="AA465" s="1371" t="s">
        <v>4483</v>
      </c>
    </row>
    <row r="466" spans="1:27" ht="14.25" customHeight="1">
      <c r="A466" s="1092" t="s">
        <v>1985</v>
      </c>
      <c r="B466" s="1092" t="s">
        <v>6461</v>
      </c>
      <c r="C466" s="1181" t="s">
        <v>6462</v>
      </c>
      <c r="D466" s="1116" t="s">
        <v>6463</v>
      </c>
      <c r="E466" s="1092">
        <v>1</v>
      </c>
      <c r="F466" s="1092"/>
      <c r="G466" s="1402" t="s">
        <v>6464</v>
      </c>
      <c r="H466" s="1181"/>
      <c r="I466" s="1415"/>
      <c r="J466" s="1103"/>
      <c r="Z466" s="1371" t="s">
        <v>6451</v>
      </c>
      <c r="AA466" s="1371" t="s">
        <v>4483</v>
      </c>
    </row>
    <row r="467" spans="1:27" ht="14.25" customHeight="1">
      <c r="A467" s="1092" t="s">
        <v>1987</v>
      </c>
      <c r="B467" s="1092" t="s">
        <v>6465</v>
      </c>
      <c r="C467" s="1181" t="s">
        <v>6466</v>
      </c>
      <c r="D467" s="1116" t="s">
        <v>6467</v>
      </c>
      <c r="E467" s="1092">
        <v>1</v>
      </c>
      <c r="F467" s="1092"/>
      <c r="G467" s="1402" t="s">
        <v>6468</v>
      </c>
      <c r="H467" s="1181"/>
      <c r="I467" s="1415"/>
      <c r="J467" s="1103"/>
      <c r="Z467" s="1103" t="s">
        <v>6469</v>
      </c>
      <c r="AA467" s="1371" t="s">
        <v>4483</v>
      </c>
    </row>
    <row r="468" spans="1:27" ht="14.25" customHeight="1">
      <c r="A468" s="1092" t="s">
        <v>1989</v>
      </c>
      <c r="B468" s="1092" t="s">
        <v>6470</v>
      </c>
      <c r="C468" s="1181" t="s">
        <v>6471</v>
      </c>
      <c r="D468" s="1116" t="s">
        <v>6472</v>
      </c>
      <c r="E468" s="1092">
        <v>1</v>
      </c>
      <c r="F468" s="1092"/>
      <c r="G468" s="1402" t="s">
        <v>6468</v>
      </c>
      <c r="H468" s="1181"/>
      <c r="I468" s="1415"/>
      <c r="J468" s="1103"/>
      <c r="Z468" s="1371" t="s">
        <v>6473</v>
      </c>
      <c r="AA468" s="1371" t="s">
        <v>4483</v>
      </c>
    </row>
    <row r="469" spans="1:27" ht="14.25" customHeight="1">
      <c r="A469" s="1092" t="s">
        <v>1991</v>
      </c>
      <c r="B469" s="1092" t="s">
        <v>6474</v>
      </c>
      <c r="C469" s="1181" t="s">
        <v>6475</v>
      </c>
      <c r="D469" s="1116" t="s">
        <v>6476</v>
      </c>
      <c r="E469" s="1092">
        <v>1</v>
      </c>
      <c r="F469" s="1092"/>
      <c r="G469" s="1402" t="s">
        <v>6477</v>
      </c>
      <c r="H469" s="1181"/>
      <c r="I469" s="1415"/>
      <c r="J469" s="1103"/>
      <c r="Z469" s="1371" t="s">
        <v>6451</v>
      </c>
      <c r="AA469" s="1371" t="s">
        <v>4483</v>
      </c>
    </row>
    <row r="470" spans="1:27" ht="14.25" customHeight="1">
      <c r="A470" s="1364" t="s">
        <v>2016</v>
      </c>
      <c r="B470" s="1092" t="s">
        <v>6478</v>
      </c>
      <c r="C470" s="1364" t="s">
        <v>6479</v>
      </c>
      <c r="D470" s="1116" t="s">
        <v>6480</v>
      </c>
      <c r="E470" s="1092">
        <v>1</v>
      </c>
      <c r="F470" s="1092" t="s">
        <v>6481</v>
      </c>
      <c r="G470" s="1419" t="s">
        <v>6482</v>
      </c>
      <c r="H470" s="1181" t="s">
        <v>6483</v>
      </c>
      <c r="I470" s="1415" t="s">
        <v>6484</v>
      </c>
      <c r="J470" s="1103"/>
    </row>
    <row r="471" spans="1:27" ht="14.25" customHeight="1">
      <c r="A471" s="1364" t="s">
        <v>2019</v>
      </c>
      <c r="B471" s="1092" t="s">
        <v>6485</v>
      </c>
      <c r="C471" s="1364" t="s">
        <v>6486</v>
      </c>
      <c r="D471" s="1116" t="s">
        <v>6487</v>
      </c>
      <c r="E471" s="1092">
        <v>1</v>
      </c>
      <c r="F471" s="1092" t="s">
        <v>6488</v>
      </c>
      <c r="G471" s="1419" t="s">
        <v>6489</v>
      </c>
      <c r="H471" s="1181" t="s">
        <v>6483</v>
      </c>
      <c r="I471" s="1415" t="s">
        <v>6490</v>
      </c>
      <c r="J471" s="1103"/>
    </row>
    <row r="472" spans="1:27" ht="14.25" customHeight="1">
      <c r="A472" s="1364" t="s">
        <v>2021</v>
      </c>
      <c r="B472" s="1092" t="s">
        <v>6491</v>
      </c>
      <c r="C472" s="1364" t="s">
        <v>6492</v>
      </c>
      <c r="D472" s="1116" t="s">
        <v>6493</v>
      </c>
      <c r="E472" s="1092">
        <v>1</v>
      </c>
      <c r="F472" s="1092" t="s">
        <v>6488</v>
      </c>
      <c r="G472" s="1419" t="s">
        <v>6494</v>
      </c>
      <c r="H472" s="1181" t="s">
        <v>6483</v>
      </c>
      <c r="I472" s="1415" t="s">
        <v>6490</v>
      </c>
      <c r="J472" s="1103"/>
    </row>
    <row r="473" spans="1:27" ht="40.5" customHeight="1">
      <c r="A473" s="1364" t="s">
        <v>2023</v>
      </c>
      <c r="B473" s="1092" t="s">
        <v>6495</v>
      </c>
      <c r="C473" s="3276" t="s">
        <v>6496</v>
      </c>
      <c r="D473" s="1116" t="s">
        <v>6497</v>
      </c>
      <c r="E473" s="1092">
        <v>1</v>
      </c>
      <c r="F473" s="1092" t="s">
        <v>6488</v>
      </c>
      <c r="G473" s="1419" t="s">
        <v>6498</v>
      </c>
      <c r="H473" s="1181" t="s">
        <v>6483</v>
      </c>
      <c r="I473" s="1415" t="s">
        <v>6490</v>
      </c>
      <c r="J473" s="1103"/>
    </row>
    <row r="474" spans="1:27" ht="14.25" customHeight="1">
      <c r="A474" s="1364" t="s">
        <v>2025</v>
      </c>
      <c r="B474" s="1092" t="s">
        <v>6499</v>
      </c>
      <c r="C474" s="1364" t="s">
        <v>6500</v>
      </c>
      <c r="D474" s="1116" t="s">
        <v>6501</v>
      </c>
      <c r="E474" s="1092">
        <v>1</v>
      </c>
      <c r="F474" s="1092" t="s">
        <v>6488</v>
      </c>
      <c r="G474" s="1419" t="s">
        <v>6502</v>
      </c>
      <c r="H474" s="1181" t="s">
        <v>6483</v>
      </c>
      <c r="I474" s="1415" t="s">
        <v>6503</v>
      </c>
      <c r="J474" s="1103"/>
    </row>
    <row r="475" spans="1:27" ht="14.25" customHeight="1">
      <c r="A475" s="1364" t="s">
        <v>2027</v>
      </c>
      <c r="B475" s="1092" t="s">
        <v>6504</v>
      </c>
      <c r="C475" s="1364" t="s">
        <v>6505</v>
      </c>
      <c r="D475" s="1116" t="s">
        <v>6506</v>
      </c>
      <c r="E475" s="1092">
        <v>1</v>
      </c>
      <c r="F475" s="1092" t="s">
        <v>6481</v>
      </c>
      <c r="G475" s="1419" t="s">
        <v>6507</v>
      </c>
      <c r="H475" s="1181" t="s">
        <v>6481</v>
      </c>
      <c r="I475" s="1415" t="s">
        <v>6508</v>
      </c>
      <c r="J475" s="1103"/>
    </row>
  </sheetData>
  <autoFilter ref="E1:E1048576" xr:uid="{00000000-0009-0000-0000-000007000000}"/>
  <mergeCells count="80">
    <mergeCell ref="A1:AA1"/>
    <mergeCell ref="A174:A175"/>
    <mergeCell ref="H277:H279"/>
    <mergeCell ref="H283:H285"/>
    <mergeCell ref="A283:A285"/>
    <mergeCell ref="F253:F255"/>
    <mergeCell ref="H259:H261"/>
    <mergeCell ref="A250:A252"/>
    <mergeCell ref="F2:G2"/>
    <mergeCell ref="F262:F264"/>
    <mergeCell ref="A280:A282"/>
    <mergeCell ref="A253:A255"/>
    <mergeCell ref="F250:F252"/>
    <mergeCell ref="A292:A294"/>
    <mergeCell ref="A165:A167"/>
    <mergeCell ref="F271:F273"/>
    <mergeCell ref="H268:H270"/>
    <mergeCell ref="Z3:Z4"/>
    <mergeCell ref="G3:G4"/>
    <mergeCell ref="H256:H258"/>
    <mergeCell ref="A178:A180"/>
    <mergeCell ref="A286:A288"/>
    <mergeCell ref="H286:H288"/>
    <mergeCell ref="F3:F4"/>
    <mergeCell ref="T3:T4"/>
    <mergeCell ref="A259:A261"/>
    <mergeCell ref="A274:A276"/>
    <mergeCell ref="F292:F294"/>
    <mergeCell ref="A289:A291"/>
    <mergeCell ref="A256:A258"/>
    <mergeCell ref="A33:A35"/>
    <mergeCell ref="F274:F276"/>
    <mergeCell ref="H250:H252"/>
    <mergeCell ref="A188:A190"/>
    <mergeCell ref="F265:F267"/>
    <mergeCell ref="F247:F249"/>
    <mergeCell ref="F286:F288"/>
    <mergeCell ref="F259:F261"/>
    <mergeCell ref="H280:H282"/>
    <mergeCell ref="A315:A317"/>
    <mergeCell ref="H2:K2"/>
    <mergeCell ref="H253:H255"/>
    <mergeCell ref="A262:A264"/>
    <mergeCell ref="N3:N4"/>
    <mergeCell ref="H265:H267"/>
    <mergeCell ref="H271:H273"/>
    <mergeCell ref="A271:A273"/>
    <mergeCell ref="F268:F270"/>
    <mergeCell ref="A277:A279"/>
    <mergeCell ref="A265:A267"/>
    <mergeCell ref="I3:I4"/>
    <mergeCell ref="F256:F258"/>
    <mergeCell ref="H292:H294"/>
    <mergeCell ref="F280:F282"/>
    <mergeCell ref="D2:D4"/>
    <mergeCell ref="E2:E4"/>
    <mergeCell ref="A247:A249"/>
    <mergeCell ref="Y2:AA2"/>
    <mergeCell ref="X2:X4"/>
    <mergeCell ref="A268:A270"/>
    <mergeCell ref="S3:S4"/>
    <mergeCell ref="A2:C3"/>
    <mergeCell ref="Q3:R3"/>
    <mergeCell ref="Y3:Y4"/>
    <mergeCell ref="U3:U4"/>
    <mergeCell ref="K3:K4"/>
    <mergeCell ref="M3:M4"/>
    <mergeCell ref="L2:L4"/>
    <mergeCell ref="J3:J4"/>
    <mergeCell ref="AA3:AA4"/>
    <mergeCell ref="H247:H249"/>
    <mergeCell ref="V3:W3"/>
    <mergeCell ref="F277:F279"/>
    <mergeCell ref="H289:H291"/>
    <mergeCell ref="H274:H276"/>
    <mergeCell ref="H262:H264"/>
    <mergeCell ref="H3:H4"/>
    <mergeCell ref="O3:O4"/>
    <mergeCell ref="F289:F291"/>
    <mergeCell ref="F283:F285"/>
  </mergeCells>
  <phoneticPr fontId="1" type="noConversion"/>
  <dataValidations count="5">
    <dataValidation type="list" allowBlank="1" showInputMessage="1" showErrorMessage="1" sqref="Q264:R264 Q256:R257 Q253:R254 Q292:R294" xr:uid="{00000000-0002-0000-0700-000000000000}">
      <formula1>"50%,100%,0%,查表"</formula1>
    </dataValidation>
    <dataValidation type="list" allowBlank="1" showInputMessage="1" showErrorMessage="1" sqref="M5:N19 M22:N22 M30:N32 M36:N83 M88:N98 M100:N101 M122:N132 M134:N135 M152:N270 M274:N282 M286:M314 M319:N446 N20:N21 N23 N286:N291 N295:N314 O287:P287 O295:P295 O302:P302 O319:P325 Q255:R255 Q291:X291 T249:U270 T274:U282 T286:W290 T292:U314 T319:X325 U239:U248 V239:X247 V249:X250 V252:X253 V255:W273 V280:X282 V285:W285 V295:X314 V317:X317 W248:X248 W251:X251 W254:X254 W283:W284 W315:X316 X5:X32 X36:X115 X118:X149 X152:X238 X255:X267 X271:X279 X286 X288:X290 X292:X294 X318 X326:X446" xr:uid="{00000000-0002-0000-0700-000001000000}">
      <formula1>"允许,禁止"</formula1>
    </dataValidation>
    <dataValidation type="list" allowBlank="1" showInputMessage="1" showErrorMessage="1" sqref="V248 V251 V254" xr:uid="{00000000-0002-0000-0700-000002000000}">
      <formula1>"允许,禁止,50%"</formula1>
    </dataValidation>
    <dataValidation type="list" allowBlank="1" showInputMessage="1" showErrorMessage="1" sqref="V274:W279" xr:uid="{00000000-0002-0000-0700-000003000000}">
      <formula1>"允许,禁止,\"</formula1>
    </dataValidation>
    <dataValidation type="list" allowBlank="1" showInputMessage="1" showErrorMessage="1" sqref="K20:K31 Q8:R11 Q16:R19 Q21:R22 Q24:R25 Q27:R32 Q36:R92 Q96:R108 Q110:R115 Q118:R126 Q130:R142 Q144:R149 Q152:R252 Q258:R263 Q265:R267 Q274:R282 Q286:R286 Q288:R288 Q296:R298 Q300:R301 Q303:R308 Q310:R314 Q326:R462 R12:R15 V283:V284 V315:V316" xr:uid="{00000000-0002-0000-0700-000004000000}">
      <formula1>"50%,100%,0%"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2767-3C8A-4CC5-94ED-80EEA11BDB8F}">
  <sheetPr>
    <outlinePr summaryBelow="0" summaryRight="0"/>
  </sheetPr>
  <dimension ref="A1:E35"/>
  <sheetViews>
    <sheetView workbookViewId="0">
      <selection sqref="A1:E1"/>
    </sheetView>
  </sheetViews>
  <sheetFormatPr defaultColWidth="9" defaultRowHeight="14.25" customHeight="1"/>
  <cols>
    <col min="1" max="1" width="23.875" style="254" customWidth="1"/>
    <col min="3" max="3" width="14.875" style="254" customWidth="1"/>
    <col min="5" max="5" width="70.625" style="254" customWidth="1"/>
  </cols>
  <sheetData>
    <row r="1" spans="1:5" ht="14.25" customHeight="1">
      <c r="A1" s="3404" t="s">
        <v>6509</v>
      </c>
      <c r="B1" s="3404"/>
      <c r="C1" s="3404"/>
      <c r="D1" s="3404"/>
      <c r="E1" s="3404"/>
    </row>
    <row r="2" spans="1:5" ht="28.5" customHeight="1">
      <c r="A2" s="909" t="s">
        <v>6510</v>
      </c>
      <c r="B2" s="910">
        <v>0</v>
      </c>
      <c r="C2" s="909">
        <v>0</v>
      </c>
      <c r="D2" s="909">
        <v>8</v>
      </c>
      <c r="E2" s="910" t="s">
        <v>6511</v>
      </c>
    </row>
    <row r="3" spans="1:5" ht="28.5" customHeight="1">
      <c r="A3" s="909" t="s">
        <v>6512</v>
      </c>
      <c r="B3" s="910">
        <v>1</v>
      </c>
      <c r="C3" s="909">
        <v>0</v>
      </c>
      <c r="D3" s="909">
        <v>8</v>
      </c>
      <c r="E3" s="910" t="s">
        <v>6513</v>
      </c>
    </row>
    <row r="4" spans="1:5" ht="42" customHeight="1">
      <c r="A4" s="909" t="s">
        <v>6514</v>
      </c>
      <c r="B4" s="910">
        <v>2</v>
      </c>
      <c r="C4" s="909">
        <v>0</v>
      </c>
      <c r="D4" s="909">
        <v>8</v>
      </c>
      <c r="E4" s="910" t="s">
        <v>6515</v>
      </c>
    </row>
    <row r="5" spans="1:5" ht="42" customHeight="1">
      <c r="A5" s="909" t="s">
        <v>6516</v>
      </c>
      <c r="B5" s="910">
        <v>3</v>
      </c>
      <c r="C5" s="909">
        <v>0</v>
      </c>
      <c r="D5" s="909">
        <v>8</v>
      </c>
      <c r="E5" s="910" t="s">
        <v>6517</v>
      </c>
    </row>
    <row r="6" spans="1:5" ht="27.75" customHeight="1">
      <c r="A6" s="909" t="s">
        <v>6518</v>
      </c>
      <c r="B6" s="910">
        <v>4</v>
      </c>
      <c r="C6" s="909">
        <v>0</v>
      </c>
      <c r="D6" s="909">
        <v>8</v>
      </c>
      <c r="E6" s="910" t="s">
        <v>6519</v>
      </c>
    </row>
    <row r="7" spans="1:5" ht="41.25" customHeight="1">
      <c r="A7" s="909" t="s">
        <v>6520</v>
      </c>
      <c r="B7" s="910">
        <v>5</v>
      </c>
      <c r="C7" s="909">
        <v>0</v>
      </c>
      <c r="D7" s="909">
        <v>8</v>
      </c>
      <c r="E7" s="910" t="s">
        <v>6521</v>
      </c>
    </row>
    <row r="8" spans="1:5" ht="42" customHeight="1">
      <c r="A8" s="909" t="s">
        <v>6522</v>
      </c>
      <c r="B8" s="910">
        <v>6</v>
      </c>
      <c r="C8" s="909">
        <v>0</v>
      </c>
      <c r="D8" s="909">
        <v>8</v>
      </c>
      <c r="E8" s="910" t="s">
        <v>6523</v>
      </c>
    </row>
    <row r="9" spans="1:5" ht="42" customHeight="1">
      <c r="A9" s="909" t="s">
        <v>6524</v>
      </c>
      <c r="B9" s="910">
        <v>7</v>
      </c>
      <c r="C9" s="909">
        <v>0</v>
      </c>
      <c r="D9" s="909">
        <v>8</v>
      </c>
      <c r="E9" s="910" t="s">
        <v>6525</v>
      </c>
    </row>
    <row r="10" spans="1:5" ht="14.25" customHeight="1">
      <c r="A10" s="749"/>
      <c r="B10" s="749"/>
      <c r="C10" s="749"/>
      <c r="D10" s="749"/>
      <c r="E10" s="749"/>
    </row>
    <row r="11" spans="1:5" ht="14.25" customHeight="1">
      <c r="A11" s="3412" t="s">
        <v>6526</v>
      </c>
      <c r="B11" s="3412"/>
      <c r="C11" s="3412"/>
      <c r="D11" s="3412"/>
      <c r="E11" s="3412"/>
    </row>
    <row r="12" spans="1:5" ht="14.25" customHeight="1">
      <c r="A12" s="3412" t="s">
        <v>6527</v>
      </c>
      <c r="B12" s="3412"/>
      <c r="C12" s="3412"/>
      <c r="D12" s="3412"/>
      <c r="E12" s="3412"/>
    </row>
    <row r="13" spans="1:5" ht="14.25" customHeight="1">
      <c r="A13" s="3412" t="s">
        <v>6528</v>
      </c>
      <c r="B13" s="3412"/>
      <c r="C13" s="3412"/>
      <c r="D13" s="3412"/>
      <c r="E13" s="3412"/>
    </row>
    <row r="14" spans="1:5" ht="14.25" customHeight="1">
      <c r="A14" s="3412" t="s">
        <v>6529</v>
      </c>
      <c r="B14" s="3412"/>
      <c r="C14" s="3412"/>
      <c r="D14" s="3412"/>
      <c r="E14" s="3412"/>
    </row>
    <row r="15" spans="1:5" ht="14.25" customHeight="1">
      <c r="A15" s="3412" t="s">
        <v>6530</v>
      </c>
      <c r="B15" s="3412"/>
      <c r="C15" s="3412"/>
      <c r="D15" s="3412"/>
      <c r="E15" s="3412"/>
    </row>
    <row r="16" spans="1:5" ht="14.25" customHeight="1">
      <c r="A16" s="3412" t="s">
        <v>6531</v>
      </c>
      <c r="B16" s="3412"/>
      <c r="C16" s="3412"/>
      <c r="D16" s="3412"/>
      <c r="E16" s="3412"/>
    </row>
    <row r="17" spans="1:5" ht="14.25" customHeight="1">
      <c r="A17" s="925"/>
      <c r="B17" s="925"/>
      <c r="C17" s="925"/>
      <c r="D17" s="925"/>
      <c r="E17" s="925"/>
    </row>
    <row r="18" spans="1:5" ht="41.25" customHeight="1">
      <c r="A18" s="909" t="s">
        <v>6532</v>
      </c>
      <c r="B18" s="910">
        <v>0</v>
      </c>
      <c r="C18" s="909">
        <v>0</v>
      </c>
      <c r="D18" s="909">
        <v>8</v>
      </c>
      <c r="E18" s="910" t="s">
        <v>6533</v>
      </c>
    </row>
    <row r="19" spans="1:5" ht="42.75" customHeight="1">
      <c r="A19" s="909" t="s">
        <v>6534</v>
      </c>
      <c r="B19" s="910">
        <v>1</v>
      </c>
      <c r="C19" s="909">
        <v>0</v>
      </c>
      <c r="D19" s="909">
        <v>8</v>
      </c>
      <c r="E19" s="910" t="s">
        <v>6513</v>
      </c>
    </row>
    <row r="20" spans="1:5" ht="56.25" customHeight="1">
      <c r="A20" s="909" t="s">
        <v>6535</v>
      </c>
      <c r="B20" s="910">
        <v>2</v>
      </c>
      <c r="C20" s="909">
        <v>0</v>
      </c>
      <c r="D20" s="909">
        <v>8</v>
      </c>
      <c r="E20" s="910" t="s">
        <v>6515</v>
      </c>
    </row>
    <row r="21" spans="1:5" ht="56.25" customHeight="1">
      <c r="A21" s="909" t="s">
        <v>6536</v>
      </c>
      <c r="B21" s="910">
        <v>3</v>
      </c>
      <c r="C21" s="909">
        <v>0</v>
      </c>
      <c r="D21" s="909">
        <v>8</v>
      </c>
      <c r="E21" s="910" t="s">
        <v>6517</v>
      </c>
    </row>
    <row r="22" spans="1:5" ht="14.25" customHeight="1">
      <c r="A22" s="47"/>
      <c r="B22" s="48"/>
      <c r="C22" s="47"/>
      <c r="D22" s="47"/>
      <c r="E22" s="48"/>
    </row>
    <row r="23" spans="1:5" ht="14.25" customHeight="1">
      <c r="A23" s="3412" t="s">
        <v>6537</v>
      </c>
      <c r="B23" s="3412"/>
      <c r="C23" s="3412"/>
      <c r="D23" s="3412"/>
      <c r="E23" s="3412"/>
    </row>
    <row r="24" spans="1:5" ht="14.25" customHeight="1">
      <c r="A24" s="3412" t="s">
        <v>6538</v>
      </c>
      <c r="B24" s="3412"/>
      <c r="C24" s="3412"/>
      <c r="D24" s="3412"/>
      <c r="E24" s="3412"/>
    </row>
    <row r="25" spans="1:5" ht="14.25" customHeight="1">
      <c r="A25" s="3412" t="s">
        <v>6539</v>
      </c>
      <c r="B25" s="3412"/>
      <c r="C25" s="3412"/>
      <c r="D25" s="3412"/>
      <c r="E25" s="3412"/>
    </row>
    <row r="27" spans="1:5" ht="14.25" customHeight="1">
      <c r="A27" s="3404" t="s">
        <v>6540</v>
      </c>
      <c r="B27" s="3404"/>
      <c r="C27" s="3404"/>
      <c r="D27" s="3404"/>
      <c r="E27" s="3404"/>
    </row>
    <row r="28" spans="1:5" ht="14.25" customHeight="1">
      <c r="A28" s="749"/>
      <c r="B28" s="749"/>
      <c r="C28" s="749"/>
      <c r="D28" s="749"/>
      <c r="E28" s="749"/>
    </row>
    <row r="29" spans="1:5" ht="27.75" customHeight="1">
      <c r="A29" s="909" t="s">
        <v>6541</v>
      </c>
      <c r="B29" s="910" t="s">
        <v>2621</v>
      </c>
      <c r="C29" s="909">
        <v>0</v>
      </c>
      <c r="D29" s="909">
        <v>16</v>
      </c>
      <c r="E29" s="749" t="s">
        <v>6542</v>
      </c>
    </row>
    <row r="30" spans="1:5" ht="27.75" customHeight="1">
      <c r="A30" s="909" t="s">
        <v>6543</v>
      </c>
      <c r="B30" s="910">
        <v>2</v>
      </c>
      <c r="C30" s="909">
        <v>0</v>
      </c>
      <c r="D30" s="909">
        <v>8</v>
      </c>
      <c r="E30" s="749" t="s">
        <v>6544</v>
      </c>
    </row>
    <row r="31" spans="1:5" ht="27.75" customHeight="1">
      <c r="A31" s="909" t="s">
        <v>6545</v>
      </c>
      <c r="B31" s="910">
        <v>3</v>
      </c>
      <c r="C31" s="909">
        <v>0</v>
      </c>
      <c r="D31" s="909">
        <v>8</v>
      </c>
      <c r="E31" s="749" t="s">
        <v>6546</v>
      </c>
    </row>
    <row r="32" spans="1:5" ht="27.75" customHeight="1">
      <c r="A32" s="909" t="s">
        <v>6547</v>
      </c>
      <c r="B32" s="910">
        <v>4</v>
      </c>
      <c r="C32" s="909">
        <v>0</v>
      </c>
      <c r="D32" s="909">
        <v>8</v>
      </c>
      <c r="E32" s="749" t="s">
        <v>6548</v>
      </c>
    </row>
    <row r="33" spans="1:5" ht="27.75" customHeight="1">
      <c r="A33" s="909" t="s">
        <v>6549</v>
      </c>
      <c r="B33" s="910" t="s">
        <v>6550</v>
      </c>
      <c r="C33" s="909">
        <v>0</v>
      </c>
      <c r="D33" s="909">
        <v>24</v>
      </c>
      <c r="E33" s="749" t="s">
        <v>6551</v>
      </c>
    </row>
    <row r="34" spans="1:5" ht="14.25" customHeight="1">
      <c r="A34" s="3412" t="s">
        <v>6552</v>
      </c>
      <c r="B34" s="3412"/>
      <c r="C34" s="3412"/>
      <c r="D34" s="3412"/>
      <c r="E34" s="3412"/>
    </row>
    <row r="35" spans="1:5" ht="14.25" customHeight="1">
      <c r="A35" s="3412" t="s">
        <v>6553</v>
      </c>
      <c r="B35" s="3412"/>
      <c r="C35" s="3412"/>
      <c r="D35" s="3412"/>
      <c r="E35" s="3412"/>
    </row>
  </sheetData>
  <mergeCells count="13">
    <mergeCell ref="A1:E1"/>
    <mergeCell ref="A13:E13"/>
    <mergeCell ref="A11:E11"/>
    <mergeCell ref="A25:E25"/>
    <mergeCell ref="A23:E23"/>
    <mergeCell ref="A16:E16"/>
    <mergeCell ref="A35:E35"/>
    <mergeCell ref="A34:E34"/>
    <mergeCell ref="A15:E15"/>
    <mergeCell ref="A14:E14"/>
    <mergeCell ref="A27:E27"/>
    <mergeCell ref="A24:E24"/>
    <mergeCell ref="A12:E1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8</vt:i4>
      </vt:variant>
      <vt:variant>
        <vt:lpstr>命名范围</vt:lpstr>
      </vt:variant>
      <vt:variant>
        <vt:i4>4</vt:i4>
      </vt:variant>
    </vt:vector>
  </HeadingPairs>
  <TitlesOfParts>
    <vt:vector size="12" baseType="lpstr">
      <vt:lpstr>修改记录</vt:lpstr>
      <vt:lpstr>VCU Tips</vt:lpstr>
      <vt:lpstr>概述</vt:lpstr>
      <vt:lpstr>CAN1</vt:lpstr>
      <vt:lpstr>CAN2</vt:lpstr>
      <vt:lpstr>故障码说明</vt:lpstr>
      <vt:lpstr>VCU故障码</vt:lpstr>
      <vt:lpstr>版本号及生产日期说明</vt:lpstr>
      <vt:lpstr>'CAN1'!_FilterDatabase</vt:lpstr>
      <vt:lpstr>'CAN2'!_FilterDatabase</vt:lpstr>
      <vt:lpstr>VCU故障码!_FilterDatabase</vt:lpstr>
      <vt:lpstr>'CAN1'!Print_Area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zhicong.lu</cp:lastModifiedBy>
  <dcterms:created xsi:type="dcterms:W3CDTF">2006-09-16T00:00:00Z</dcterms:created>
  <dcterms:modified xsi:type="dcterms:W3CDTF">2026-08-13T03:38:04Z</dcterms:modified>
</cp:coreProperties>
</file>